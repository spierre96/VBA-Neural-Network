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\OneDrive\Documents\Sébastien\ESILV\S07\VBA\Projet\"/>
    </mc:Choice>
  </mc:AlternateContent>
  <xr:revisionPtr revIDLastSave="0" documentId="13_ncr:1_{808CAED6-8081-4507-9358-42694B9BD3AB}" xr6:coauthVersionLast="40" xr6:coauthVersionMax="40" xr10:uidLastSave="{00000000-0000-0000-0000-000000000000}"/>
  <bookViews>
    <workbookView xWindow="0" yWindow="0" windowWidth="19200" windowHeight="6880" firstSheet="2" activeTab="5" xr2:uid="{BE2C2938-889D-4946-BC60-572E1D102C53}"/>
  </bookViews>
  <sheets>
    <sheet name="AR-GARCH" sheetId="1" r:id="rId1"/>
    <sheet name="SimplePerceptron" sheetId="2" r:id="rId2"/>
    <sheet name="MultilayerPerceptron" sheetId="3" r:id="rId3"/>
    <sheet name="ML-MomentumPerceptron" sheetId="4" r:id="rId4"/>
    <sheet name="ML-NonconstantPerceptron" sheetId="5" r:id="rId5"/>
    <sheet name="Results" sheetId="6" r:id="rId6"/>
  </sheets>
  <functionGroups builtInGroupCount="19"/>
  <definedNames>
    <definedName name="solver_adj" localSheetId="0" hidden="1">'AR-GARCH'!$K$3,'AR-GARCH'!$K$5,'AR-GARCH'!$K$6,'AR-GARCH'!$K$7,'AR-GARCH'!$K$9,'AR-GARCH'!$K$10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'AR-GARCH'!$K$13</definedName>
    <definedName name="solver_lhs2" localSheetId="0" hidden="1">'AR-GARCH'!$K$13</definedName>
    <definedName name="solver_lhs3" localSheetId="0" hidden="1">'AR-GARCH'!$K$3</definedName>
    <definedName name="solver_lhs4" localSheetId="0" hidden="1">'AR-GARCH'!$K$3</definedName>
    <definedName name="solver_lhs5" localSheetId="0" hidden="1">'AR-GARCH'!$K$5</definedName>
    <definedName name="solver_lhs6" localSheetId="0" hidden="1">'AR-GARCH'!$K$6</definedName>
    <definedName name="solver_lhs7" localSheetId="0" hidden="1">'AR-GARCH'!$K$7</definedName>
    <definedName name="solver_lhs8" localSheetId="0" hidden="1">'AR-GARCH'!$M$4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'AR-GARCH'!$K$12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1</definedName>
    <definedName name="solver_rhs1" localSheetId="0" hidden="1">1.1</definedName>
    <definedName name="solver_rhs2" localSheetId="0" hidden="1">0.8</definedName>
    <definedName name="solver_rhs3" localSheetId="0" hidden="1">1</definedName>
    <definedName name="solver_rhs4" localSheetId="0" hidden="1">0.0001</definedName>
    <definedName name="solver_rhs5" localSheetId="0" hidden="1">0.00001</definedName>
    <definedName name="solver_rhs6" localSheetId="0" hidden="1">0.00001</definedName>
    <definedName name="solver_rhs7" localSheetId="0" hidden="1">0.00001</definedName>
    <definedName name="solver_rhs8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7" i="6" l="1"/>
  <c r="R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5" i="1"/>
  <c r="E17" i="6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G17" i="6"/>
  <c r="P5" i="1"/>
  <c r="G2" i="6" l="1"/>
  <c r="K16" i="1"/>
  <c r="C21" i="6"/>
  <c r="C20" i="6"/>
  <c r="C19" i="6"/>
  <c r="C18" i="6"/>
  <c r="C13" i="6"/>
  <c r="C12" i="6"/>
  <c r="F5" i="4"/>
  <c r="G5" i="4" s="1"/>
  <c r="F6" i="4"/>
  <c r="G6" i="4"/>
  <c r="G7" i="4"/>
  <c r="F7" i="4"/>
  <c r="G5" i="5"/>
  <c r="G6" i="5"/>
  <c r="G7" i="5"/>
  <c r="F5" i="5"/>
  <c r="F6" i="5"/>
  <c r="F7" i="5"/>
  <c r="F735" i="5"/>
  <c r="C735" i="5"/>
  <c r="D735" i="5" s="1"/>
  <c r="F734" i="5"/>
  <c r="C734" i="5"/>
  <c r="D734" i="5" s="1"/>
  <c r="F733" i="5"/>
  <c r="C733" i="5"/>
  <c r="D733" i="5" s="1"/>
  <c r="F732" i="5"/>
  <c r="C732" i="5"/>
  <c r="D732" i="5" s="1"/>
  <c r="F731" i="5"/>
  <c r="C731" i="5"/>
  <c r="D731" i="5" s="1"/>
  <c r="F730" i="5"/>
  <c r="C730" i="5"/>
  <c r="D730" i="5" s="1"/>
  <c r="F729" i="5"/>
  <c r="C729" i="5"/>
  <c r="D729" i="5" s="1"/>
  <c r="F728" i="5"/>
  <c r="C728" i="5"/>
  <c r="D728" i="5" s="1"/>
  <c r="F727" i="5"/>
  <c r="C727" i="5"/>
  <c r="D727" i="5" s="1"/>
  <c r="F726" i="5"/>
  <c r="C726" i="5"/>
  <c r="D726" i="5" s="1"/>
  <c r="F725" i="5"/>
  <c r="C725" i="5"/>
  <c r="D725" i="5" s="1"/>
  <c r="F724" i="5"/>
  <c r="C724" i="5"/>
  <c r="D724" i="5" s="1"/>
  <c r="F723" i="5"/>
  <c r="C723" i="5"/>
  <c r="D723" i="5" s="1"/>
  <c r="F722" i="5"/>
  <c r="C722" i="5"/>
  <c r="D722" i="5" s="1"/>
  <c r="F721" i="5"/>
  <c r="C721" i="5"/>
  <c r="D721" i="5" s="1"/>
  <c r="F720" i="5"/>
  <c r="C720" i="5"/>
  <c r="D720" i="5" s="1"/>
  <c r="F719" i="5"/>
  <c r="C719" i="5"/>
  <c r="D719" i="5" s="1"/>
  <c r="F718" i="5"/>
  <c r="C718" i="5"/>
  <c r="D718" i="5" s="1"/>
  <c r="F717" i="5"/>
  <c r="C717" i="5"/>
  <c r="D717" i="5" s="1"/>
  <c r="F716" i="5"/>
  <c r="C716" i="5"/>
  <c r="D716" i="5" s="1"/>
  <c r="F715" i="5"/>
  <c r="C715" i="5"/>
  <c r="D715" i="5" s="1"/>
  <c r="F714" i="5"/>
  <c r="C714" i="5"/>
  <c r="D714" i="5" s="1"/>
  <c r="F713" i="5"/>
  <c r="C713" i="5"/>
  <c r="D713" i="5" s="1"/>
  <c r="F712" i="5"/>
  <c r="C712" i="5"/>
  <c r="D712" i="5" s="1"/>
  <c r="F711" i="5"/>
  <c r="C711" i="5"/>
  <c r="D711" i="5" s="1"/>
  <c r="F710" i="5"/>
  <c r="C710" i="5"/>
  <c r="D710" i="5" s="1"/>
  <c r="F709" i="5"/>
  <c r="C709" i="5"/>
  <c r="D709" i="5" s="1"/>
  <c r="F708" i="5"/>
  <c r="C708" i="5"/>
  <c r="D708" i="5" s="1"/>
  <c r="F707" i="5"/>
  <c r="C707" i="5"/>
  <c r="D707" i="5" s="1"/>
  <c r="F706" i="5"/>
  <c r="C706" i="5"/>
  <c r="D706" i="5" s="1"/>
  <c r="F705" i="5"/>
  <c r="C705" i="5"/>
  <c r="D705" i="5" s="1"/>
  <c r="F704" i="5"/>
  <c r="C704" i="5"/>
  <c r="D704" i="5" s="1"/>
  <c r="F703" i="5"/>
  <c r="C703" i="5"/>
  <c r="D703" i="5" s="1"/>
  <c r="F702" i="5"/>
  <c r="C702" i="5"/>
  <c r="D702" i="5" s="1"/>
  <c r="F701" i="5"/>
  <c r="C701" i="5"/>
  <c r="D701" i="5" s="1"/>
  <c r="F700" i="5"/>
  <c r="C700" i="5"/>
  <c r="D700" i="5" s="1"/>
  <c r="F699" i="5"/>
  <c r="C699" i="5"/>
  <c r="D699" i="5" s="1"/>
  <c r="F698" i="5"/>
  <c r="C698" i="5"/>
  <c r="D698" i="5" s="1"/>
  <c r="F697" i="5"/>
  <c r="C697" i="5"/>
  <c r="D697" i="5" s="1"/>
  <c r="F696" i="5"/>
  <c r="C696" i="5"/>
  <c r="D696" i="5" s="1"/>
  <c r="F695" i="5"/>
  <c r="C695" i="5"/>
  <c r="D695" i="5" s="1"/>
  <c r="F694" i="5"/>
  <c r="C694" i="5"/>
  <c r="D694" i="5" s="1"/>
  <c r="F693" i="5"/>
  <c r="C693" i="5"/>
  <c r="D693" i="5" s="1"/>
  <c r="F692" i="5"/>
  <c r="C692" i="5"/>
  <c r="D692" i="5" s="1"/>
  <c r="F691" i="5"/>
  <c r="C691" i="5"/>
  <c r="D691" i="5" s="1"/>
  <c r="F690" i="5"/>
  <c r="C690" i="5"/>
  <c r="D690" i="5" s="1"/>
  <c r="F689" i="5"/>
  <c r="C689" i="5"/>
  <c r="D689" i="5" s="1"/>
  <c r="F688" i="5"/>
  <c r="C688" i="5"/>
  <c r="D688" i="5" s="1"/>
  <c r="F687" i="5"/>
  <c r="C687" i="5"/>
  <c r="D687" i="5" s="1"/>
  <c r="F686" i="5"/>
  <c r="C686" i="5"/>
  <c r="D686" i="5" s="1"/>
  <c r="F685" i="5"/>
  <c r="C685" i="5"/>
  <c r="D685" i="5" s="1"/>
  <c r="F684" i="5"/>
  <c r="C684" i="5"/>
  <c r="D684" i="5" s="1"/>
  <c r="F683" i="5"/>
  <c r="C683" i="5"/>
  <c r="D683" i="5" s="1"/>
  <c r="F682" i="5"/>
  <c r="C682" i="5"/>
  <c r="D682" i="5" s="1"/>
  <c r="F681" i="5"/>
  <c r="C681" i="5"/>
  <c r="D681" i="5" s="1"/>
  <c r="F680" i="5"/>
  <c r="C680" i="5"/>
  <c r="D680" i="5" s="1"/>
  <c r="F679" i="5"/>
  <c r="D679" i="5"/>
  <c r="C679" i="5"/>
  <c r="F678" i="5"/>
  <c r="C678" i="5"/>
  <c r="D678" i="5" s="1"/>
  <c r="F677" i="5"/>
  <c r="C677" i="5"/>
  <c r="D677" i="5" s="1"/>
  <c r="F676" i="5"/>
  <c r="C676" i="5"/>
  <c r="D676" i="5" s="1"/>
  <c r="F675" i="5"/>
  <c r="D675" i="5"/>
  <c r="C675" i="5"/>
  <c r="F674" i="5"/>
  <c r="C674" i="5"/>
  <c r="D674" i="5" s="1"/>
  <c r="F673" i="5"/>
  <c r="C673" i="5"/>
  <c r="D673" i="5" s="1"/>
  <c r="F672" i="5"/>
  <c r="C672" i="5"/>
  <c r="D672" i="5" s="1"/>
  <c r="F671" i="5"/>
  <c r="D671" i="5"/>
  <c r="C671" i="5"/>
  <c r="F670" i="5"/>
  <c r="C670" i="5"/>
  <c r="D670" i="5" s="1"/>
  <c r="F669" i="5"/>
  <c r="C669" i="5"/>
  <c r="D669" i="5" s="1"/>
  <c r="F668" i="5"/>
  <c r="C668" i="5"/>
  <c r="D668" i="5" s="1"/>
  <c r="F667" i="5"/>
  <c r="D667" i="5"/>
  <c r="C667" i="5"/>
  <c r="F666" i="5"/>
  <c r="C666" i="5"/>
  <c r="D666" i="5" s="1"/>
  <c r="F665" i="5"/>
  <c r="C665" i="5"/>
  <c r="D665" i="5" s="1"/>
  <c r="F664" i="5"/>
  <c r="C664" i="5"/>
  <c r="D664" i="5" s="1"/>
  <c r="F663" i="5"/>
  <c r="D663" i="5"/>
  <c r="C663" i="5"/>
  <c r="F662" i="5"/>
  <c r="C662" i="5"/>
  <c r="D662" i="5" s="1"/>
  <c r="F661" i="5"/>
  <c r="C661" i="5"/>
  <c r="D661" i="5" s="1"/>
  <c r="F660" i="5"/>
  <c r="C660" i="5"/>
  <c r="D660" i="5" s="1"/>
  <c r="F659" i="5"/>
  <c r="D659" i="5"/>
  <c r="C659" i="5"/>
  <c r="F658" i="5"/>
  <c r="C658" i="5"/>
  <c r="D658" i="5" s="1"/>
  <c r="F657" i="5"/>
  <c r="C657" i="5"/>
  <c r="D657" i="5" s="1"/>
  <c r="F656" i="5"/>
  <c r="C656" i="5"/>
  <c r="D656" i="5" s="1"/>
  <c r="F655" i="5"/>
  <c r="D655" i="5"/>
  <c r="C655" i="5"/>
  <c r="F654" i="5"/>
  <c r="C654" i="5"/>
  <c r="D654" i="5" s="1"/>
  <c r="F653" i="5"/>
  <c r="C653" i="5"/>
  <c r="D653" i="5" s="1"/>
  <c r="F652" i="5"/>
  <c r="C652" i="5"/>
  <c r="D652" i="5" s="1"/>
  <c r="F651" i="5"/>
  <c r="D651" i="5"/>
  <c r="C651" i="5"/>
  <c r="F650" i="5"/>
  <c r="C650" i="5"/>
  <c r="D650" i="5" s="1"/>
  <c r="F649" i="5"/>
  <c r="C649" i="5"/>
  <c r="D649" i="5" s="1"/>
  <c r="F648" i="5"/>
  <c r="C648" i="5"/>
  <c r="D648" i="5" s="1"/>
  <c r="F647" i="5"/>
  <c r="D647" i="5"/>
  <c r="C647" i="5"/>
  <c r="F646" i="5"/>
  <c r="C646" i="5"/>
  <c r="D646" i="5" s="1"/>
  <c r="F645" i="5"/>
  <c r="C645" i="5"/>
  <c r="D645" i="5" s="1"/>
  <c r="F644" i="5"/>
  <c r="C644" i="5"/>
  <c r="D644" i="5" s="1"/>
  <c r="F643" i="5"/>
  <c r="D643" i="5"/>
  <c r="C643" i="5"/>
  <c r="F642" i="5"/>
  <c r="C642" i="5"/>
  <c r="D642" i="5" s="1"/>
  <c r="F641" i="5"/>
  <c r="C641" i="5"/>
  <c r="D641" i="5" s="1"/>
  <c r="F640" i="5"/>
  <c r="C640" i="5"/>
  <c r="D640" i="5" s="1"/>
  <c r="F639" i="5"/>
  <c r="D639" i="5"/>
  <c r="C639" i="5"/>
  <c r="F638" i="5"/>
  <c r="C638" i="5"/>
  <c r="D638" i="5" s="1"/>
  <c r="F637" i="5"/>
  <c r="C637" i="5"/>
  <c r="D637" i="5" s="1"/>
  <c r="F636" i="5"/>
  <c r="C636" i="5"/>
  <c r="D636" i="5" s="1"/>
  <c r="F635" i="5"/>
  <c r="D635" i="5"/>
  <c r="C635" i="5"/>
  <c r="F634" i="5"/>
  <c r="C634" i="5"/>
  <c r="D634" i="5" s="1"/>
  <c r="F633" i="5"/>
  <c r="G633" i="5" s="1"/>
  <c r="D633" i="5"/>
  <c r="C633" i="5"/>
  <c r="F632" i="5"/>
  <c r="C632" i="5"/>
  <c r="D632" i="5" s="1"/>
  <c r="F631" i="5"/>
  <c r="D631" i="5"/>
  <c r="C631" i="5"/>
  <c r="F630" i="5"/>
  <c r="C630" i="5"/>
  <c r="D630" i="5" s="1"/>
  <c r="F629" i="5"/>
  <c r="D629" i="5"/>
  <c r="C629" i="5"/>
  <c r="F628" i="5"/>
  <c r="C628" i="5"/>
  <c r="D628" i="5" s="1"/>
  <c r="F627" i="5"/>
  <c r="D627" i="5"/>
  <c r="C627" i="5"/>
  <c r="F626" i="5"/>
  <c r="C626" i="5"/>
  <c r="D626" i="5" s="1"/>
  <c r="F625" i="5"/>
  <c r="G625" i="5" s="1"/>
  <c r="D625" i="5"/>
  <c r="C625" i="5"/>
  <c r="F624" i="5"/>
  <c r="C624" i="5"/>
  <c r="D624" i="5" s="1"/>
  <c r="F623" i="5"/>
  <c r="D623" i="5"/>
  <c r="C623" i="5"/>
  <c r="F622" i="5"/>
  <c r="C622" i="5"/>
  <c r="D622" i="5" s="1"/>
  <c r="F621" i="5"/>
  <c r="G621" i="5" s="1"/>
  <c r="D621" i="5"/>
  <c r="C621" i="5"/>
  <c r="F620" i="5"/>
  <c r="C620" i="5"/>
  <c r="D620" i="5" s="1"/>
  <c r="F619" i="5"/>
  <c r="D619" i="5"/>
  <c r="C619" i="5"/>
  <c r="F618" i="5"/>
  <c r="C618" i="5"/>
  <c r="D618" i="5" s="1"/>
  <c r="F617" i="5"/>
  <c r="G617" i="5" s="1"/>
  <c r="D617" i="5"/>
  <c r="C617" i="5"/>
  <c r="F616" i="5"/>
  <c r="C616" i="5"/>
  <c r="D616" i="5" s="1"/>
  <c r="F615" i="5"/>
  <c r="D615" i="5"/>
  <c r="C615" i="5"/>
  <c r="F614" i="5"/>
  <c r="C614" i="5"/>
  <c r="D614" i="5" s="1"/>
  <c r="F613" i="5"/>
  <c r="D613" i="5"/>
  <c r="C613" i="5"/>
  <c r="F612" i="5"/>
  <c r="C612" i="5"/>
  <c r="D612" i="5" s="1"/>
  <c r="F611" i="5"/>
  <c r="D611" i="5"/>
  <c r="C611" i="5"/>
  <c r="F610" i="5"/>
  <c r="C610" i="5"/>
  <c r="D610" i="5" s="1"/>
  <c r="F609" i="5"/>
  <c r="D609" i="5"/>
  <c r="C609" i="5"/>
  <c r="F608" i="5"/>
  <c r="C608" i="5"/>
  <c r="D608" i="5" s="1"/>
  <c r="F607" i="5"/>
  <c r="G607" i="5" s="1"/>
  <c r="D607" i="5"/>
  <c r="C607" i="5"/>
  <c r="F606" i="5"/>
  <c r="C606" i="5"/>
  <c r="D606" i="5" s="1"/>
  <c r="F605" i="5"/>
  <c r="C605" i="5"/>
  <c r="D605" i="5" s="1"/>
  <c r="F604" i="5"/>
  <c r="D604" i="5"/>
  <c r="C604" i="5"/>
  <c r="F603" i="5"/>
  <c r="D603" i="5"/>
  <c r="C603" i="5"/>
  <c r="F602" i="5"/>
  <c r="C602" i="5"/>
  <c r="D602" i="5" s="1"/>
  <c r="F601" i="5"/>
  <c r="C601" i="5"/>
  <c r="D601" i="5" s="1"/>
  <c r="F600" i="5"/>
  <c r="D600" i="5"/>
  <c r="C600" i="5"/>
  <c r="F599" i="5"/>
  <c r="D599" i="5"/>
  <c r="C599" i="5"/>
  <c r="F598" i="5"/>
  <c r="C598" i="5"/>
  <c r="D598" i="5" s="1"/>
  <c r="F597" i="5"/>
  <c r="C597" i="5"/>
  <c r="D597" i="5" s="1"/>
  <c r="F596" i="5"/>
  <c r="D596" i="5"/>
  <c r="C596" i="5"/>
  <c r="F595" i="5"/>
  <c r="D595" i="5"/>
  <c r="C595" i="5"/>
  <c r="F594" i="5"/>
  <c r="C594" i="5"/>
  <c r="D594" i="5" s="1"/>
  <c r="F593" i="5"/>
  <c r="C593" i="5"/>
  <c r="D593" i="5" s="1"/>
  <c r="F592" i="5"/>
  <c r="D592" i="5"/>
  <c r="C592" i="5"/>
  <c r="F591" i="5"/>
  <c r="G591" i="5" s="1"/>
  <c r="D591" i="5"/>
  <c r="C591" i="5"/>
  <c r="F590" i="5"/>
  <c r="C590" i="5"/>
  <c r="D590" i="5" s="1"/>
  <c r="F589" i="5"/>
  <c r="C589" i="5"/>
  <c r="D589" i="5" s="1"/>
  <c r="F588" i="5"/>
  <c r="D588" i="5"/>
  <c r="C588" i="5"/>
  <c r="F587" i="5"/>
  <c r="D587" i="5"/>
  <c r="C587" i="5"/>
  <c r="F586" i="5"/>
  <c r="C586" i="5"/>
  <c r="D586" i="5" s="1"/>
  <c r="F585" i="5"/>
  <c r="C585" i="5"/>
  <c r="D585" i="5" s="1"/>
  <c r="F584" i="5"/>
  <c r="D584" i="5"/>
  <c r="C584" i="5"/>
  <c r="F583" i="5"/>
  <c r="D583" i="5"/>
  <c r="C583" i="5"/>
  <c r="F582" i="5"/>
  <c r="C582" i="5"/>
  <c r="D582" i="5" s="1"/>
  <c r="F581" i="5"/>
  <c r="C581" i="5"/>
  <c r="D581" i="5" s="1"/>
  <c r="F580" i="5"/>
  <c r="D580" i="5"/>
  <c r="C580" i="5"/>
  <c r="F579" i="5"/>
  <c r="G579" i="5" s="1"/>
  <c r="D579" i="5"/>
  <c r="C579" i="5"/>
  <c r="F578" i="5"/>
  <c r="C578" i="5"/>
  <c r="D578" i="5" s="1"/>
  <c r="F577" i="5"/>
  <c r="C577" i="5"/>
  <c r="D577" i="5" s="1"/>
  <c r="F576" i="5"/>
  <c r="D576" i="5"/>
  <c r="C576" i="5"/>
  <c r="F575" i="5"/>
  <c r="G575" i="5" s="1"/>
  <c r="D575" i="5"/>
  <c r="C575" i="5"/>
  <c r="F574" i="5"/>
  <c r="C574" i="5"/>
  <c r="D574" i="5" s="1"/>
  <c r="F573" i="5"/>
  <c r="C573" i="5"/>
  <c r="D573" i="5" s="1"/>
  <c r="F572" i="5"/>
  <c r="D572" i="5"/>
  <c r="C572" i="5"/>
  <c r="F571" i="5"/>
  <c r="D571" i="5"/>
  <c r="C571" i="5"/>
  <c r="F570" i="5"/>
  <c r="C570" i="5"/>
  <c r="D570" i="5" s="1"/>
  <c r="F569" i="5"/>
  <c r="C569" i="5"/>
  <c r="D569" i="5" s="1"/>
  <c r="F568" i="5"/>
  <c r="D568" i="5"/>
  <c r="C568" i="5"/>
  <c r="F567" i="5"/>
  <c r="D567" i="5"/>
  <c r="C567" i="5"/>
  <c r="F566" i="5"/>
  <c r="C566" i="5"/>
  <c r="D566" i="5" s="1"/>
  <c r="F565" i="5"/>
  <c r="C565" i="5"/>
  <c r="D565" i="5" s="1"/>
  <c r="F564" i="5"/>
  <c r="C564" i="5"/>
  <c r="D564" i="5" s="1"/>
  <c r="F563" i="5"/>
  <c r="C563" i="5"/>
  <c r="D563" i="5" s="1"/>
  <c r="F562" i="5"/>
  <c r="C562" i="5"/>
  <c r="D562" i="5" s="1"/>
  <c r="F561" i="5"/>
  <c r="C561" i="5"/>
  <c r="D561" i="5" s="1"/>
  <c r="F560" i="5"/>
  <c r="C560" i="5"/>
  <c r="D560" i="5" s="1"/>
  <c r="F559" i="5"/>
  <c r="C559" i="5"/>
  <c r="D559" i="5" s="1"/>
  <c r="F558" i="5"/>
  <c r="C558" i="5"/>
  <c r="D558" i="5" s="1"/>
  <c r="F557" i="5"/>
  <c r="G557" i="5" s="1"/>
  <c r="C557" i="5"/>
  <c r="D557" i="5" s="1"/>
  <c r="F556" i="5"/>
  <c r="G556" i="5" s="1"/>
  <c r="C556" i="5"/>
  <c r="D556" i="5" s="1"/>
  <c r="F555" i="5"/>
  <c r="C555" i="5"/>
  <c r="D555" i="5" s="1"/>
  <c r="F554" i="5"/>
  <c r="C554" i="5"/>
  <c r="D554" i="5" s="1"/>
  <c r="F553" i="5"/>
  <c r="C553" i="5"/>
  <c r="D553" i="5" s="1"/>
  <c r="F552" i="5"/>
  <c r="G552" i="5" s="1"/>
  <c r="C552" i="5"/>
  <c r="D552" i="5" s="1"/>
  <c r="F551" i="5"/>
  <c r="C551" i="5"/>
  <c r="D551" i="5" s="1"/>
  <c r="F550" i="5"/>
  <c r="C550" i="5"/>
  <c r="D550" i="5" s="1"/>
  <c r="F549" i="5"/>
  <c r="G549" i="5" s="1"/>
  <c r="C549" i="5"/>
  <c r="D549" i="5" s="1"/>
  <c r="F548" i="5"/>
  <c r="G548" i="5" s="1"/>
  <c r="C548" i="5"/>
  <c r="D548" i="5" s="1"/>
  <c r="F547" i="5"/>
  <c r="C547" i="5"/>
  <c r="D547" i="5" s="1"/>
  <c r="F546" i="5"/>
  <c r="C546" i="5"/>
  <c r="D546" i="5" s="1"/>
  <c r="F545" i="5"/>
  <c r="C545" i="5"/>
  <c r="D545" i="5" s="1"/>
  <c r="F544" i="5"/>
  <c r="G544" i="5" s="1"/>
  <c r="C544" i="5"/>
  <c r="D544" i="5" s="1"/>
  <c r="F543" i="5"/>
  <c r="C543" i="5"/>
  <c r="D543" i="5" s="1"/>
  <c r="F542" i="5"/>
  <c r="C542" i="5"/>
  <c r="D542" i="5" s="1"/>
  <c r="F541" i="5"/>
  <c r="G541" i="5" s="1"/>
  <c r="C541" i="5"/>
  <c r="D541" i="5" s="1"/>
  <c r="F540" i="5"/>
  <c r="G540" i="5" s="1"/>
  <c r="C540" i="5"/>
  <c r="D540" i="5" s="1"/>
  <c r="F539" i="5"/>
  <c r="C539" i="5"/>
  <c r="D539" i="5" s="1"/>
  <c r="F538" i="5"/>
  <c r="C538" i="5"/>
  <c r="D538" i="5" s="1"/>
  <c r="F537" i="5"/>
  <c r="C537" i="5"/>
  <c r="D537" i="5" s="1"/>
  <c r="F536" i="5"/>
  <c r="G536" i="5" s="1"/>
  <c r="C536" i="5"/>
  <c r="D536" i="5" s="1"/>
  <c r="F535" i="5"/>
  <c r="G535" i="5" s="1"/>
  <c r="C535" i="5"/>
  <c r="D535" i="5" s="1"/>
  <c r="F534" i="5"/>
  <c r="C534" i="5"/>
  <c r="D534" i="5" s="1"/>
  <c r="F533" i="5"/>
  <c r="G533" i="5" s="1"/>
  <c r="C533" i="5"/>
  <c r="D533" i="5" s="1"/>
  <c r="F532" i="5"/>
  <c r="G532" i="5" s="1"/>
  <c r="C532" i="5"/>
  <c r="D532" i="5" s="1"/>
  <c r="F531" i="5"/>
  <c r="C531" i="5"/>
  <c r="D531" i="5" s="1"/>
  <c r="F530" i="5"/>
  <c r="C530" i="5"/>
  <c r="D530" i="5" s="1"/>
  <c r="F529" i="5"/>
  <c r="C529" i="5"/>
  <c r="D529" i="5" s="1"/>
  <c r="F528" i="5"/>
  <c r="G528" i="5" s="1"/>
  <c r="C528" i="5"/>
  <c r="D528" i="5" s="1"/>
  <c r="F527" i="5"/>
  <c r="G527" i="5" s="1"/>
  <c r="C527" i="5"/>
  <c r="D527" i="5" s="1"/>
  <c r="F526" i="5"/>
  <c r="C526" i="5"/>
  <c r="D526" i="5" s="1"/>
  <c r="F525" i="5"/>
  <c r="G525" i="5" s="1"/>
  <c r="C525" i="5"/>
  <c r="D525" i="5" s="1"/>
  <c r="F524" i="5"/>
  <c r="G524" i="5" s="1"/>
  <c r="C524" i="5"/>
  <c r="D524" i="5" s="1"/>
  <c r="F523" i="5"/>
  <c r="C523" i="5"/>
  <c r="D523" i="5" s="1"/>
  <c r="F522" i="5"/>
  <c r="C522" i="5"/>
  <c r="D522" i="5" s="1"/>
  <c r="F521" i="5"/>
  <c r="C521" i="5"/>
  <c r="D521" i="5" s="1"/>
  <c r="F520" i="5"/>
  <c r="G520" i="5" s="1"/>
  <c r="C520" i="5"/>
  <c r="D520" i="5" s="1"/>
  <c r="F519" i="5"/>
  <c r="G519" i="5" s="1"/>
  <c r="C519" i="5"/>
  <c r="D519" i="5" s="1"/>
  <c r="F518" i="5"/>
  <c r="C518" i="5"/>
  <c r="D518" i="5" s="1"/>
  <c r="F517" i="5"/>
  <c r="G517" i="5" s="1"/>
  <c r="C517" i="5"/>
  <c r="D517" i="5" s="1"/>
  <c r="F516" i="5"/>
  <c r="G516" i="5" s="1"/>
  <c r="C516" i="5"/>
  <c r="D516" i="5" s="1"/>
  <c r="F515" i="5"/>
  <c r="C515" i="5"/>
  <c r="D515" i="5" s="1"/>
  <c r="F514" i="5"/>
  <c r="C514" i="5"/>
  <c r="D514" i="5" s="1"/>
  <c r="F513" i="5"/>
  <c r="C513" i="5"/>
  <c r="D513" i="5" s="1"/>
  <c r="F512" i="5"/>
  <c r="G512" i="5" s="1"/>
  <c r="C512" i="5"/>
  <c r="D512" i="5" s="1"/>
  <c r="F511" i="5"/>
  <c r="G511" i="5" s="1"/>
  <c r="C511" i="5"/>
  <c r="D511" i="5" s="1"/>
  <c r="F510" i="5"/>
  <c r="C510" i="5"/>
  <c r="D510" i="5" s="1"/>
  <c r="F509" i="5"/>
  <c r="G509" i="5" s="1"/>
  <c r="C509" i="5"/>
  <c r="D509" i="5" s="1"/>
  <c r="F508" i="5"/>
  <c r="G508" i="5" s="1"/>
  <c r="C508" i="5"/>
  <c r="D508" i="5" s="1"/>
  <c r="F507" i="5"/>
  <c r="C507" i="5"/>
  <c r="D507" i="5" s="1"/>
  <c r="F506" i="5"/>
  <c r="C506" i="5"/>
  <c r="D506" i="5" s="1"/>
  <c r="F505" i="5"/>
  <c r="C505" i="5"/>
  <c r="D505" i="5" s="1"/>
  <c r="F504" i="5"/>
  <c r="G504" i="5" s="1"/>
  <c r="C504" i="5"/>
  <c r="D504" i="5" s="1"/>
  <c r="F503" i="5"/>
  <c r="G503" i="5" s="1"/>
  <c r="C503" i="5"/>
  <c r="D503" i="5" s="1"/>
  <c r="F502" i="5"/>
  <c r="C502" i="5"/>
  <c r="D502" i="5" s="1"/>
  <c r="F501" i="5"/>
  <c r="G501" i="5" s="1"/>
  <c r="C501" i="5"/>
  <c r="D501" i="5" s="1"/>
  <c r="F500" i="5"/>
  <c r="G500" i="5" s="1"/>
  <c r="C500" i="5"/>
  <c r="D500" i="5" s="1"/>
  <c r="F499" i="5"/>
  <c r="C499" i="5"/>
  <c r="D499" i="5" s="1"/>
  <c r="F498" i="5"/>
  <c r="C498" i="5"/>
  <c r="D498" i="5" s="1"/>
  <c r="F497" i="5"/>
  <c r="C497" i="5"/>
  <c r="D497" i="5" s="1"/>
  <c r="F496" i="5"/>
  <c r="G496" i="5" s="1"/>
  <c r="C496" i="5"/>
  <c r="D496" i="5" s="1"/>
  <c r="F495" i="5"/>
  <c r="G495" i="5" s="1"/>
  <c r="C495" i="5"/>
  <c r="D495" i="5" s="1"/>
  <c r="F494" i="5"/>
  <c r="C494" i="5"/>
  <c r="D494" i="5" s="1"/>
  <c r="F493" i="5"/>
  <c r="G493" i="5" s="1"/>
  <c r="C493" i="5"/>
  <c r="D493" i="5" s="1"/>
  <c r="F492" i="5"/>
  <c r="G492" i="5" s="1"/>
  <c r="C492" i="5"/>
  <c r="D492" i="5" s="1"/>
  <c r="F491" i="5"/>
  <c r="C491" i="5"/>
  <c r="D491" i="5" s="1"/>
  <c r="F490" i="5"/>
  <c r="C490" i="5"/>
  <c r="D490" i="5" s="1"/>
  <c r="F489" i="5"/>
  <c r="C489" i="5"/>
  <c r="D489" i="5" s="1"/>
  <c r="F488" i="5"/>
  <c r="G488" i="5" s="1"/>
  <c r="C488" i="5"/>
  <c r="D488" i="5" s="1"/>
  <c r="F487" i="5"/>
  <c r="G487" i="5" s="1"/>
  <c r="C487" i="5"/>
  <c r="D487" i="5" s="1"/>
  <c r="F486" i="5"/>
  <c r="C486" i="5"/>
  <c r="D486" i="5" s="1"/>
  <c r="F485" i="5"/>
  <c r="G485" i="5" s="1"/>
  <c r="C485" i="5"/>
  <c r="D485" i="5" s="1"/>
  <c r="F484" i="5"/>
  <c r="G484" i="5" s="1"/>
  <c r="C484" i="5"/>
  <c r="D484" i="5" s="1"/>
  <c r="F483" i="5"/>
  <c r="C483" i="5"/>
  <c r="D483" i="5" s="1"/>
  <c r="F482" i="5"/>
  <c r="C482" i="5"/>
  <c r="D482" i="5" s="1"/>
  <c r="F481" i="5"/>
  <c r="C481" i="5"/>
  <c r="D481" i="5" s="1"/>
  <c r="F480" i="5"/>
  <c r="G480" i="5" s="1"/>
  <c r="C480" i="5"/>
  <c r="D480" i="5" s="1"/>
  <c r="F479" i="5"/>
  <c r="G479" i="5" s="1"/>
  <c r="C479" i="5"/>
  <c r="D479" i="5" s="1"/>
  <c r="F478" i="5"/>
  <c r="C478" i="5"/>
  <c r="D478" i="5" s="1"/>
  <c r="F477" i="5"/>
  <c r="G477" i="5" s="1"/>
  <c r="C477" i="5"/>
  <c r="D477" i="5" s="1"/>
  <c r="F476" i="5"/>
  <c r="G476" i="5" s="1"/>
  <c r="C476" i="5"/>
  <c r="D476" i="5" s="1"/>
  <c r="F475" i="5"/>
  <c r="C475" i="5"/>
  <c r="D475" i="5" s="1"/>
  <c r="F474" i="5"/>
  <c r="C474" i="5"/>
  <c r="D474" i="5" s="1"/>
  <c r="F473" i="5"/>
  <c r="C473" i="5"/>
  <c r="D473" i="5" s="1"/>
  <c r="F472" i="5"/>
  <c r="G472" i="5" s="1"/>
  <c r="C472" i="5"/>
  <c r="D472" i="5" s="1"/>
  <c r="F471" i="5"/>
  <c r="G471" i="5" s="1"/>
  <c r="C471" i="5"/>
  <c r="D471" i="5" s="1"/>
  <c r="F470" i="5"/>
  <c r="C470" i="5"/>
  <c r="D470" i="5" s="1"/>
  <c r="F469" i="5"/>
  <c r="G469" i="5" s="1"/>
  <c r="C469" i="5"/>
  <c r="D469" i="5" s="1"/>
  <c r="F468" i="5"/>
  <c r="G468" i="5" s="1"/>
  <c r="C468" i="5"/>
  <c r="D468" i="5" s="1"/>
  <c r="F467" i="5"/>
  <c r="C467" i="5"/>
  <c r="D467" i="5" s="1"/>
  <c r="F466" i="5"/>
  <c r="C466" i="5"/>
  <c r="D466" i="5" s="1"/>
  <c r="F465" i="5"/>
  <c r="C465" i="5"/>
  <c r="D465" i="5" s="1"/>
  <c r="F464" i="5"/>
  <c r="G464" i="5" s="1"/>
  <c r="C464" i="5"/>
  <c r="D464" i="5" s="1"/>
  <c r="F463" i="5"/>
  <c r="G463" i="5" s="1"/>
  <c r="C463" i="5"/>
  <c r="D463" i="5" s="1"/>
  <c r="F462" i="5"/>
  <c r="C462" i="5"/>
  <c r="D462" i="5" s="1"/>
  <c r="F461" i="5"/>
  <c r="G461" i="5" s="1"/>
  <c r="C461" i="5"/>
  <c r="D461" i="5" s="1"/>
  <c r="F460" i="5"/>
  <c r="G460" i="5" s="1"/>
  <c r="C460" i="5"/>
  <c r="D460" i="5" s="1"/>
  <c r="F459" i="5"/>
  <c r="C459" i="5"/>
  <c r="D459" i="5" s="1"/>
  <c r="F458" i="5"/>
  <c r="D458" i="5"/>
  <c r="C458" i="5"/>
  <c r="F457" i="5"/>
  <c r="C457" i="5"/>
  <c r="D457" i="5" s="1"/>
  <c r="F456" i="5"/>
  <c r="C456" i="5"/>
  <c r="D456" i="5" s="1"/>
  <c r="F455" i="5"/>
  <c r="C455" i="5"/>
  <c r="D455" i="5" s="1"/>
  <c r="F454" i="5"/>
  <c r="G454" i="5" s="1"/>
  <c r="C454" i="5"/>
  <c r="D454" i="5" s="1"/>
  <c r="F453" i="5"/>
  <c r="G453" i="5" s="1"/>
  <c r="C453" i="5"/>
  <c r="D453" i="5" s="1"/>
  <c r="F452" i="5"/>
  <c r="D452" i="5"/>
  <c r="C452" i="5"/>
  <c r="F451" i="5"/>
  <c r="G451" i="5" s="1"/>
  <c r="C451" i="5"/>
  <c r="D451" i="5" s="1"/>
  <c r="F450" i="5"/>
  <c r="D450" i="5"/>
  <c r="C450" i="5"/>
  <c r="F449" i="5"/>
  <c r="C449" i="5"/>
  <c r="D449" i="5" s="1"/>
  <c r="F448" i="5"/>
  <c r="C448" i="5"/>
  <c r="D448" i="5" s="1"/>
  <c r="F447" i="5"/>
  <c r="G447" i="5" s="1"/>
  <c r="C447" i="5"/>
  <c r="D447" i="5" s="1"/>
  <c r="F446" i="5"/>
  <c r="C446" i="5"/>
  <c r="D446" i="5" s="1"/>
  <c r="F445" i="5"/>
  <c r="G445" i="5" s="1"/>
  <c r="C445" i="5"/>
  <c r="D445" i="5" s="1"/>
  <c r="F444" i="5"/>
  <c r="C444" i="5"/>
  <c r="D444" i="5" s="1"/>
  <c r="F443" i="5"/>
  <c r="C443" i="5"/>
  <c r="D443" i="5" s="1"/>
  <c r="F442" i="5"/>
  <c r="D442" i="5"/>
  <c r="C442" i="5"/>
  <c r="F441" i="5"/>
  <c r="C441" i="5"/>
  <c r="D441" i="5" s="1"/>
  <c r="F440" i="5"/>
  <c r="C440" i="5"/>
  <c r="D440" i="5" s="1"/>
  <c r="F439" i="5"/>
  <c r="C439" i="5"/>
  <c r="D439" i="5" s="1"/>
  <c r="F438" i="5"/>
  <c r="C438" i="5"/>
  <c r="D438" i="5" s="1"/>
  <c r="F437" i="5"/>
  <c r="G437" i="5" s="1"/>
  <c r="C437" i="5"/>
  <c r="D437" i="5" s="1"/>
  <c r="F436" i="5"/>
  <c r="D436" i="5"/>
  <c r="C436" i="5"/>
  <c r="F435" i="5"/>
  <c r="G435" i="5" s="1"/>
  <c r="C435" i="5"/>
  <c r="D435" i="5" s="1"/>
  <c r="F434" i="5"/>
  <c r="D434" i="5"/>
  <c r="C434" i="5"/>
  <c r="F433" i="5"/>
  <c r="C433" i="5"/>
  <c r="D433" i="5" s="1"/>
  <c r="F432" i="5"/>
  <c r="C432" i="5"/>
  <c r="D432" i="5" s="1"/>
  <c r="F431" i="5"/>
  <c r="C431" i="5"/>
  <c r="D431" i="5" s="1"/>
  <c r="F430" i="5"/>
  <c r="C430" i="5"/>
  <c r="D430" i="5" s="1"/>
  <c r="F429" i="5"/>
  <c r="G429" i="5" s="1"/>
  <c r="C429" i="5"/>
  <c r="D429" i="5" s="1"/>
  <c r="F428" i="5"/>
  <c r="C428" i="5"/>
  <c r="D428" i="5" s="1"/>
  <c r="F427" i="5"/>
  <c r="C427" i="5"/>
  <c r="D427" i="5" s="1"/>
  <c r="F426" i="5"/>
  <c r="C426" i="5"/>
  <c r="D426" i="5" s="1"/>
  <c r="F425" i="5"/>
  <c r="C425" i="5"/>
  <c r="D425" i="5" s="1"/>
  <c r="F424" i="5"/>
  <c r="C424" i="5"/>
  <c r="D424" i="5" s="1"/>
  <c r="F423" i="5"/>
  <c r="G423" i="5" s="1"/>
  <c r="C423" i="5"/>
  <c r="D423" i="5" s="1"/>
  <c r="F422" i="5"/>
  <c r="C422" i="5"/>
  <c r="D422" i="5" s="1"/>
  <c r="F421" i="5"/>
  <c r="G421" i="5" s="1"/>
  <c r="C421" i="5"/>
  <c r="D421" i="5" s="1"/>
  <c r="F420" i="5"/>
  <c r="C420" i="5"/>
  <c r="D420" i="5" s="1"/>
  <c r="F419" i="5"/>
  <c r="C419" i="5"/>
  <c r="D419" i="5" s="1"/>
  <c r="F418" i="5"/>
  <c r="C418" i="5"/>
  <c r="D418" i="5" s="1"/>
  <c r="F417" i="5"/>
  <c r="C417" i="5"/>
  <c r="D417" i="5" s="1"/>
  <c r="F416" i="5"/>
  <c r="C416" i="5"/>
  <c r="D416" i="5" s="1"/>
  <c r="F415" i="5"/>
  <c r="G415" i="5" s="1"/>
  <c r="C415" i="5"/>
  <c r="D415" i="5" s="1"/>
  <c r="F414" i="5"/>
  <c r="C414" i="5"/>
  <c r="D414" i="5" s="1"/>
  <c r="F413" i="5"/>
  <c r="C413" i="5"/>
  <c r="D413" i="5" s="1"/>
  <c r="F412" i="5"/>
  <c r="G412" i="5" s="1"/>
  <c r="C412" i="5"/>
  <c r="D412" i="5" s="1"/>
  <c r="F411" i="5"/>
  <c r="G411" i="5" s="1"/>
  <c r="C411" i="5"/>
  <c r="D411" i="5" s="1"/>
  <c r="F410" i="5"/>
  <c r="C410" i="5"/>
  <c r="D410" i="5" s="1"/>
  <c r="F409" i="5"/>
  <c r="C409" i="5"/>
  <c r="D409" i="5" s="1"/>
  <c r="F408" i="5"/>
  <c r="G408" i="5" s="1"/>
  <c r="C408" i="5"/>
  <c r="D408" i="5" s="1"/>
  <c r="F407" i="5"/>
  <c r="G407" i="5" s="1"/>
  <c r="C407" i="5"/>
  <c r="D407" i="5" s="1"/>
  <c r="F406" i="5"/>
  <c r="C406" i="5"/>
  <c r="D406" i="5" s="1"/>
  <c r="F405" i="5"/>
  <c r="C405" i="5"/>
  <c r="D405" i="5" s="1"/>
  <c r="F404" i="5"/>
  <c r="G404" i="5" s="1"/>
  <c r="C404" i="5"/>
  <c r="D404" i="5" s="1"/>
  <c r="F403" i="5"/>
  <c r="G403" i="5" s="1"/>
  <c r="C403" i="5"/>
  <c r="D403" i="5" s="1"/>
  <c r="F402" i="5"/>
  <c r="C402" i="5"/>
  <c r="D402" i="5" s="1"/>
  <c r="F401" i="5"/>
  <c r="C401" i="5"/>
  <c r="D401" i="5" s="1"/>
  <c r="F400" i="5"/>
  <c r="G400" i="5" s="1"/>
  <c r="C400" i="5"/>
  <c r="D400" i="5" s="1"/>
  <c r="F399" i="5"/>
  <c r="G399" i="5" s="1"/>
  <c r="C399" i="5"/>
  <c r="D399" i="5" s="1"/>
  <c r="F398" i="5"/>
  <c r="C398" i="5"/>
  <c r="D398" i="5" s="1"/>
  <c r="F397" i="5"/>
  <c r="C397" i="5"/>
  <c r="D397" i="5" s="1"/>
  <c r="F396" i="5"/>
  <c r="G396" i="5" s="1"/>
  <c r="C396" i="5"/>
  <c r="D396" i="5" s="1"/>
  <c r="F395" i="5"/>
  <c r="G395" i="5" s="1"/>
  <c r="C395" i="5"/>
  <c r="D395" i="5" s="1"/>
  <c r="F394" i="5"/>
  <c r="C394" i="5"/>
  <c r="D394" i="5" s="1"/>
  <c r="F393" i="5"/>
  <c r="C393" i="5"/>
  <c r="D393" i="5" s="1"/>
  <c r="F392" i="5"/>
  <c r="G392" i="5" s="1"/>
  <c r="C392" i="5"/>
  <c r="D392" i="5" s="1"/>
  <c r="F391" i="5"/>
  <c r="G391" i="5" s="1"/>
  <c r="C391" i="5"/>
  <c r="D391" i="5" s="1"/>
  <c r="F390" i="5"/>
  <c r="C390" i="5"/>
  <c r="D390" i="5" s="1"/>
  <c r="F389" i="5"/>
  <c r="C389" i="5"/>
  <c r="D389" i="5" s="1"/>
  <c r="F388" i="5"/>
  <c r="G388" i="5" s="1"/>
  <c r="C388" i="5"/>
  <c r="D388" i="5" s="1"/>
  <c r="F387" i="5"/>
  <c r="G387" i="5" s="1"/>
  <c r="C387" i="5"/>
  <c r="D387" i="5" s="1"/>
  <c r="F386" i="5"/>
  <c r="C386" i="5"/>
  <c r="D386" i="5" s="1"/>
  <c r="F385" i="5"/>
  <c r="C385" i="5"/>
  <c r="D385" i="5" s="1"/>
  <c r="F384" i="5"/>
  <c r="G384" i="5" s="1"/>
  <c r="C384" i="5"/>
  <c r="D384" i="5" s="1"/>
  <c r="F383" i="5"/>
  <c r="G383" i="5" s="1"/>
  <c r="C383" i="5"/>
  <c r="D383" i="5" s="1"/>
  <c r="F382" i="5"/>
  <c r="C382" i="5"/>
  <c r="D382" i="5" s="1"/>
  <c r="F381" i="5"/>
  <c r="C381" i="5"/>
  <c r="D381" i="5" s="1"/>
  <c r="F380" i="5"/>
  <c r="G380" i="5" s="1"/>
  <c r="C380" i="5"/>
  <c r="D380" i="5" s="1"/>
  <c r="F379" i="5"/>
  <c r="G379" i="5" s="1"/>
  <c r="C379" i="5"/>
  <c r="D379" i="5" s="1"/>
  <c r="F378" i="5"/>
  <c r="C378" i="5"/>
  <c r="D378" i="5" s="1"/>
  <c r="F377" i="5"/>
  <c r="C377" i="5"/>
  <c r="D377" i="5" s="1"/>
  <c r="F376" i="5"/>
  <c r="G376" i="5" s="1"/>
  <c r="C376" i="5"/>
  <c r="D376" i="5" s="1"/>
  <c r="F375" i="5"/>
  <c r="G375" i="5" s="1"/>
  <c r="C375" i="5"/>
  <c r="D375" i="5" s="1"/>
  <c r="F374" i="5"/>
  <c r="C374" i="5"/>
  <c r="D374" i="5" s="1"/>
  <c r="F373" i="5"/>
  <c r="C373" i="5"/>
  <c r="D373" i="5" s="1"/>
  <c r="F372" i="5"/>
  <c r="G372" i="5" s="1"/>
  <c r="C372" i="5"/>
  <c r="D372" i="5" s="1"/>
  <c r="F371" i="5"/>
  <c r="G371" i="5" s="1"/>
  <c r="C371" i="5"/>
  <c r="D371" i="5" s="1"/>
  <c r="F370" i="5"/>
  <c r="C370" i="5"/>
  <c r="D370" i="5" s="1"/>
  <c r="F369" i="5"/>
  <c r="C369" i="5"/>
  <c r="D369" i="5" s="1"/>
  <c r="F368" i="5"/>
  <c r="G368" i="5" s="1"/>
  <c r="C368" i="5"/>
  <c r="D368" i="5" s="1"/>
  <c r="F367" i="5"/>
  <c r="G367" i="5" s="1"/>
  <c r="C367" i="5"/>
  <c r="D367" i="5" s="1"/>
  <c r="F366" i="5"/>
  <c r="C366" i="5"/>
  <c r="D366" i="5" s="1"/>
  <c r="F365" i="5"/>
  <c r="C365" i="5"/>
  <c r="D365" i="5" s="1"/>
  <c r="F364" i="5"/>
  <c r="G364" i="5" s="1"/>
  <c r="C364" i="5"/>
  <c r="D364" i="5" s="1"/>
  <c r="F363" i="5"/>
  <c r="G363" i="5" s="1"/>
  <c r="C363" i="5"/>
  <c r="D363" i="5" s="1"/>
  <c r="F362" i="5"/>
  <c r="C362" i="5"/>
  <c r="D362" i="5" s="1"/>
  <c r="F361" i="5"/>
  <c r="C361" i="5"/>
  <c r="D361" i="5" s="1"/>
  <c r="F360" i="5"/>
  <c r="G360" i="5" s="1"/>
  <c r="C360" i="5"/>
  <c r="D360" i="5" s="1"/>
  <c r="F359" i="5"/>
  <c r="G359" i="5" s="1"/>
  <c r="C359" i="5"/>
  <c r="D359" i="5" s="1"/>
  <c r="F358" i="5"/>
  <c r="C358" i="5"/>
  <c r="D358" i="5" s="1"/>
  <c r="F357" i="5"/>
  <c r="C357" i="5"/>
  <c r="D357" i="5" s="1"/>
  <c r="F356" i="5"/>
  <c r="G356" i="5" s="1"/>
  <c r="C356" i="5"/>
  <c r="D356" i="5" s="1"/>
  <c r="F355" i="5"/>
  <c r="G355" i="5" s="1"/>
  <c r="C355" i="5"/>
  <c r="D355" i="5" s="1"/>
  <c r="F354" i="5"/>
  <c r="C354" i="5"/>
  <c r="D354" i="5" s="1"/>
  <c r="F353" i="5"/>
  <c r="C353" i="5"/>
  <c r="D353" i="5" s="1"/>
  <c r="F352" i="5"/>
  <c r="G352" i="5" s="1"/>
  <c r="C352" i="5"/>
  <c r="D352" i="5" s="1"/>
  <c r="F351" i="5"/>
  <c r="G351" i="5" s="1"/>
  <c r="C351" i="5"/>
  <c r="D351" i="5" s="1"/>
  <c r="F350" i="5"/>
  <c r="C350" i="5"/>
  <c r="D350" i="5" s="1"/>
  <c r="F349" i="5"/>
  <c r="C349" i="5"/>
  <c r="D349" i="5" s="1"/>
  <c r="F348" i="5"/>
  <c r="G348" i="5" s="1"/>
  <c r="C348" i="5"/>
  <c r="D348" i="5" s="1"/>
  <c r="F347" i="5"/>
  <c r="G347" i="5" s="1"/>
  <c r="C347" i="5"/>
  <c r="D347" i="5" s="1"/>
  <c r="F346" i="5"/>
  <c r="C346" i="5"/>
  <c r="D346" i="5" s="1"/>
  <c r="F345" i="5"/>
  <c r="C345" i="5"/>
  <c r="D345" i="5" s="1"/>
  <c r="F344" i="5"/>
  <c r="G344" i="5" s="1"/>
  <c r="C344" i="5"/>
  <c r="D344" i="5" s="1"/>
  <c r="F343" i="5"/>
  <c r="G343" i="5" s="1"/>
  <c r="C343" i="5"/>
  <c r="D343" i="5" s="1"/>
  <c r="F342" i="5"/>
  <c r="C342" i="5"/>
  <c r="D342" i="5" s="1"/>
  <c r="F341" i="5"/>
  <c r="C341" i="5"/>
  <c r="D341" i="5" s="1"/>
  <c r="F340" i="5"/>
  <c r="G340" i="5" s="1"/>
  <c r="C340" i="5"/>
  <c r="D340" i="5" s="1"/>
  <c r="F339" i="5"/>
  <c r="G339" i="5" s="1"/>
  <c r="C339" i="5"/>
  <c r="D339" i="5" s="1"/>
  <c r="F338" i="5"/>
  <c r="C338" i="5"/>
  <c r="D338" i="5" s="1"/>
  <c r="F337" i="5"/>
  <c r="C337" i="5"/>
  <c r="D337" i="5" s="1"/>
  <c r="F336" i="5"/>
  <c r="G336" i="5" s="1"/>
  <c r="C336" i="5"/>
  <c r="D336" i="5" s="1"/>
  <c r="F335" i="5"/>
  <c r="G335" i="5" s="1"/>
  <c r="C335" i="5"/>
  <c r="D335" i="5" s="1"/>
  <c r="F334" i="5"/>
  <c r="C334" i="5"/>
  <c r="D334" i="5" s="1"/>
  <c r="F333" i="5"/>
  <c r="C333" i="5"/>
  <c r="D333" i="5" s="1"/>
  <c r="F332" i="5"/>
  <c r="G332" i="5" s="1"/>
  <c r="C332" i="5"/>
  <c r="D332" i="5" s="1"/>
  <c r="F331" i="5"/>
  <c r="G331" i="5" s="1"/>
  <c r="C331" i="5"/>
  <c r="D331" i="5" s="1"/>
  <c r="F330" i="5"/>
  <c r="C330" i="5"/>
  <c r="D330" i="5" s="1"/>
  <c r="F329" i="5"/>
  <c r="C329" i="5"/>
  <c r="D329" i="5" s="1"/>
  <c r="F328" i="5"/>
  <c r="G328" i="5" s="1"/>
  <c r="C328" i="5"/>
  <c r="D328" i="5" s="1"/>
  <c r="F327" i="5"/>
  <c r="G327" i="5" s="1"/>
  <c r="C327" i="5"/>
  <c r="D327" i="5" s="1"/>
  <c r="F326" i="5"/>
  <c r="C326" i="5"/>
  <c r="D326" i="5" s="1"/>
  <c r="F325" i="5"/>
  <c r="C325" i="5"/>
  <c r="D325" i="5" s="1"/>
  <c r="F324" i="5"/>
  <c r="G324" i="5" s="1"/>
  <c r="C324" i="5"/>
  <c r="D324" i="5" s="1"/>
  <c r="F323" i="5"/>
  <c r="G323" i="5" s="1"/>
  <c r="C323" i="5"/>
  <c r="D323" i="5" s="1"/>
  <c r="F322" i="5"/>
  <c r="C322" i="5"/>
  <c r="D322" i="5" s="1"/>
  <c r="F321" i="5"/>
  <c r="C321" i="5"/>
  <c r="D321" i="5" s="1"/>
  <c r="F320" i="5"/>
  <c r="G320" i="5" s="1"/>
  <c r="C320" i="5"/>
  <c r="D320" i="5" s="1"/>
  <c r="F319" i="5"/>
  <c r="G319" i="5" s="1"/>
  <c r="C319" i="5"/>
  <c r="D319" i="5" s="1"/>
  <c r="F318" i="5"/>
  <c r="C318" i="5"/>
  <c r="D318" i="5" s="1"/>
  <c r="F317" i="5"/>
  <c r="C317" i="5"/>
  <c r="D317" i="5" s="1"/>
  <c r="F316" i="5"/>
  <c r="G316" i="5" s="1"/>
  <c r="C316" i="5"/>
  <c r="D316" i="5" s="1"/>
  <c r="F315" i="5"/>
  <c r="G315" i="5" s="1"/>
  <c r="D315" i="5"/>
  <c r="C315" i="5"/>
  <c r="F314" i="5"/>
  <c r="G314" i="5" s="1"/>
  <c r="C314" i="5"/>
  <c r="D314" i="5" s="1"/>
  <c r="F313" i="5"/>
  <c r="D313" i="5"/>
  <c r="C313" i="5"/>
  <c r="F312" i="5"/>
  <c r="C312" i="5"/>
  <c r="D312" i="5" s="1"/>
  <c r="F311" i="5"/>
  <c r="D311" i="5"/>
  <c r="C311" i="5"/>
  <c r="F310" i="5"/>
  <c r="D310" i="5"/>
  <c r="C310" i="5"/>
  <c r="F309" i="5"/>
  <c r="D309" i="5"/>
  <c r="C309" i="5"/>
  <c r="F308" i="5"/>
  <c r="D308" i="5"/>
  <c r="C308" i="5"/>
  <c r="F307" i="5"/>
  <c r="D307" i="5"/>
  <c r="C307" i="5"/>
  <c r="F306" i="5"/>
  <c r="D306" i="5"/>
  <c r="C306" i="5"/>
  <c r="F305" i="5"/>
  <c r="D305" i="5"/>
  <c r="C305" i="5"/>
  <c r="F304" i="5"/>
  <c r="D304" i="5"/>
  <c r="C304" i="5"/>
  <c r="F303" i="5"/>
  <c r="D303" i="5"/>
  <c r="C303" i="5"/>
  <c r="F302" i="5"/>
  <c r="D302" i="5"/>
  <c r="C302" i="5"/>
  <c r="F301" i="5"/>
  <c r="D301" i="5"/>
  <c r="C301" i="5"/>
  <c r="F300" i="5"/>
  <c r="D300" i="5"/>
  <c r="C300" i="5"/>
  <c r="F299" i="5"/>
  <c r="D299" i="5"/>
  <c r="C299" i="5"/>
  <c r="F298" i="5"/>
  <c r="D298" i="5"/>
  <c r="C298" i="5"/>
  <c r="F297" i="5"/>
  <c r="D297" i="5"/>
  <c r="C297" i="5"/>
  <c r="F296" i="5"/>
  <c r="D296" i="5"/>
  <c r="C296" i="5"/>
  <c r="F295" i="5"/>
  <c r="D295" i="5"/>
  <c r="C295" i="5"/>
  <c r="F294" i="5"/>
  <c r="D294" i="5"/>
  <c r="C294" i="5"/>
  <c r="F293" i="5"/>
  <c r="D293" i="5"/>
  <c r="C293" i="5"/>
  <c r="F292" i="5"/>
  <c r="D292" i="5"/>
  <c r="C292" i="5"/>
  <c r="F291" i="5"/>
  <c r="D291" i="5"/>
  <c r="C291" i="5"/>
  <c r="F290" i="5"/>
  <c r="D290" i="5"/>
  <c r="C290" i="5"/>
  <c r="F289" i="5"/>
  <c r="D289" i="5"/>
  <c r="C289" i="5"/>
  <c r="F288" i="5"/>
  <c r="D288" i="5"/>
  <c r="C288" i="5"/>
  <c r="F287" i="5"/>
  <c r="D287" i="5"/>
  <c r="C287" i="5"/>
  <c r="F286" i="5"/>
  <c r="D286" i="5"/>
  <c r="C286" i="5"/>
  <c r="F285" i="5"/>
  <c r="D285" i="5"/>
  <c r="C285" i="5"/>
  <c r="F284" i="5"/>
  <c r="D284" i="5"/>
  <c r="C284" i="5"/>
  <c r="F283" i="5"/>
  <c r="D283" i="5"/>
  <c r="C283" i="5"/>
  <c r="F282" i="5"/>
  <c r="D282" i="5"/>
  <c r="C282" i="5"/>
  <c r="F281" i="5"/>
  <c r="D281" i="5"/>
  <c r="C281" i="5"/>
  <c r="F280" i="5"/>
  <c r="D280" i="5"/>
  <c r="C280" i="5"/>
  <c r="F279" i="5"/>
  <c r="D279" i="5"/>
  <c r="C279" i="5"/>
  <c r="F278" i="5"/>
  <c r="D278" i="5"/>
  <c r="C278" i="5"/>
  <c r="F277" i="5"/>
  <c r="D277" i="5"/>
  <c r="C277" i="5"/>
  <c r="F276" i="5"/>
  <c r="D276" i="5"/>
  <c r="C276" i="5"/>
  <c r="F275" i="5"/>
  <c r="D275" i="5"/>
  <c r="C275" i="5"/>
  <c r="F274" i="5"/>
  <c r="D274" i="5"/>
  <c r="C274" i="5"/>
  <c r="F273" i="5"/>
  <c r="D273" i="5"/>
  <c r="C273" i="5"/>
  <c r="F272" i="5"/>
  <c r="D272" i="5"/>
  <c r="C272" i="5"/>
  <c r="F271" i="5"/>
  <c r="D271" i="5"/>
  <c r="C271" i="5"/>
  <c r="F270" i="5"/>
  <c r="D270" i="5"/>
  <c r="C270" i="5"/>
  <c r="F269" i="5"/>
  <c r="D269" i="5"/>
  <c r="C269" i="5"/>
  <c r="F268" i="5"/>
  <c r="D268" i="5"/>
  <c r="C268" i="5"/>
  <c r="F267" i="5"/>
  <c r="D267" i="5"/>
  <c r="C267" i="5"/>
  <c r="F266" i="5"/>
  <c r="D266" i="5"/>
  <c r="C266" i="5"/>
  <c r="F265" i="5"/>
  <c r="D265" i="5"/>
  <c r="C265" i="5"/>
  <c r="F264" i="5"/>
  <c r="D264" i="5"/>
  <c r="C264" i="5"/>
  <c r="F263" i="5"/>
  <c r="D263" i="5"/>
  <c r="C263" i="5"/>
  <c r="F262" i="5"/>
  <c r="D262" i="5"/>
  <c r="C262" i="5"/>
  <c r="F261" i="5"/>
  <c r="D261" i="5"/>
  <c r="C261" i="5"/>
  <c r="F260" i="5"/>
  <c r="D260" i="5"/>
  <c r="C260" i="5"/>
  <c r="F259" i="5"/>
  <c r="D259" i="5"/>
  <c r="C259" i="5"/>
  <c r="F258" i="5"/>
  <c r="D258" i="5"/>
  <c r="C258" i="5"/>
  <c r="F257" i="5"/>
  <c r="C257" i="5"/>
  <c r="D257" i="5" s="1"/>
  <c r="F256" i="5"/>
  <c r="D256" i="5"/>
  <c r="C256" i="5"/>
  <c r="F255" i="5"/>
  <c r="C255" i="5"/>
  <c r="D255" i="5" s="1"/>
  <c r="F254" i="5"/>
  <c r="D254" i="5"/>
  <c r="C254" i="5"/>
  <c r="F253" i="5"/>
  <c r="C253" i="5"/>
  <c r="D253" i="5" s="1"/>
  <c r="F252" i="5"/>
  <c r="D252" i="5"/>
  <c r="C252" i="5"/>
  <c r="F251" i="5"/>
  <c r="C251" i="5"/>
  <c r="D251" i="5" s="1"/>
  <c r="F250" i="5"/>
  <c r="D250" i="5"/>
  <c r="C250" i="5"/>
  <c r="F249" i="5"/>
  <c r="C249" i="5"/>
  <c r="D249" i="5" s="1"/>
  <c r="F248" i="5"/>
  <c r="D248" i="5"/>
  <c r="C248" i="5"/>
  <c r="F247" i="5"/>
  <c r="C247" i="5"/>
  <c r="D247" i="5" s="1"/>
  <c r="F246" i="5"/>
  <c r="D246" i="5"/>
  <c r="C246" i="5"/>
  <c r="F245" i="5"/>
  <c r="C245" i="5"/>
  <c r="D245" i="5" s="1"/>
  <c r="F244" i="5"/>
  <c r="D244" i="5"/>
  <c r="C244" i="5"/>
  <c r="F243" i="5"/>
  <c r="C243" i="5"/>
  <c r="D243" i="5" s="1"/>
  <c r="F242" i="5"/>
  <c r="D242" i="5"/>
  <c r="C242" i="5"/>
  <c r="F241" i="5"/>
  <c r="C241" i="5"/>
  <c r="D241" i="5" s="1"/>
  <c r="F240" i="5"/>
  <c r="D240" i="5"/>
  <c r="C240" i="5"/>
  <c r="F239" i="5"/>
  <c r="C239" i="5"/>
  <c r="D239" i="5" s="1"/>
  <c r="F238" i="5"/>
  <c r="D238" i="5"/>
  <c r="C238" i="5"/>
  <c r="F237" i="5"/>
  <c r="C237" i="5"/>
  <c r="D237" i="5" s="1"/>
  <c r="F236" i="5"/>
  <c r="D236" i="5"/>
  <c r="C236" i="5"/>
  <c r="F235" i="5"/>
  <c r="C235" i="5"/>
  <c r="D235" i="5" s="1"/>
  <c r="F234" i="5"/>
  <c r="D234" i="5"/>
  <c r="C234" i="5"/>
  <c r="F233" i="5"/>
  <c r="C233" i="5"/>
  <c r="D233" i="5" s="1"/>
  <c r="F232" i="5"/>
  <c r="D232" i="5"/>
  <c r="C232" i="5"/>
  <c r="F231" i="5"/>
  <c r="C231" i="5"/>
  <c r="D231" i="5" s="1"/>
  <c r="F230" i="5"/>
  <c r="D230" i="5"/>
  <c r="C230" i="5"/>
  <c r="F229" i="5"/>
  <c r="C229" i="5"/>
  <c r="D229" i="5" s="1"/>
  <c r="G229" i="5" s="1"/>
  <c r="F228" i="5"/>
  <c r="D228" i="5"/>
  <c r="C228" i="5"/>
  <c r="F227" i="5"/>
  <c r="C227" i="5"/>
  <c r="D227" i="5" s="1"/>
  <c r="F226" i="5"/>
  <c r="D226" i="5"/>
  <c r="C226" i="5"/>
  <c r="F225" i="5"/>
  <c r="C225" i="5"/>
  <c r="D225" i="5" s="1"/>
  <c r="F224" i="5"/>
  <c r="D224" i="5"/>
  <c r="C224" i="5"/>
  <c r="F223" i="5"/>
  <c r="C223" i="5"/>
  <c r="D223" i="5" s="1"/>
  <c r="F222" i="5"/>
  <c r="D222" i="5"/>
  <c r="C222" i="5"/>
  <c r="F221" i="5"/>
  <c r="C221" i="5"/>
  <c r="D221" i="5" s="1"/>
  <c r="F220" i="5"/>
  <c r="D220" i="5"/>
  <c r="C220" i="5"/>
  <c r="F219" i="5"/>
  <c r="C219" i="5"/>
  <c r="D219" i="5" s="1"/>
  <c r="F218" i="5"/>
  <c r="D218" i="5"/>
  <c r="C218" i="5"/>
  <c r="F217" i="5"/>
  <c r="C217" i="5"/>
  <c r="D217" i="5" s="1"/>
  <c r="F216" i="5"/>
  <c r="D216" i="5"/>
  <c r="C216" i="5"/>
  <c r="F215" i="5"/>
  <c r="C215" i="5"/>
  <c r="D215" i="5" s="1"/>
  <c r="F214" i="5"/>
  <c r="D214" i="5"/>
  <c r="C214" i="5"/>
  <c r="F213" i="5"/>
  <c r="C213" i="5"/>
  <c r="D213" i="5" s="1"/>
  <c r="F212" i="5"/>
  <c r="D212" i="5"/>
  <c r="C212" i="5"/>
  <c r="F211" i="5"/>
  <c r="C211" i="5"/>
  <c r="D211" i="5" s="1"/>
  <c r="F210" i="5"/>
  <c r="D210" i="5"/>
  <c r="C210" i="5"/>
  <c r="F209" i="5"/>
  <c r="C209" i="5"/>
  <c r="D209" i="5" s="1"/>
  <c r="F208" i="5"/>
  <c r="D208" i="5"/>
  <c r="C208" i="5"/>
  <c r="F207" i="5"/>
  <c r="D207" i="5"/>
  <c r="C207" i="5"/>
  <c r="F206" i="5"/>
  <c r="D206" i="5"/>
  <c r="C206" i="5"/>
  <c r="F205" i="5"/>
  <c r="D205" i="5"/>
  <c r="C205" i="5"/>
  <c r="F204" i="5"/>
  <c r="C204" i="5"/>
  <c r="D204" i="5" s="1"/>
  <c r="F203" i="5"/>
  <c r="D203" i="5"/>
  <c r="C203" i="5"/>
  <c r="F202" i="5"/>
  <c r="C202" i="5"/>
  <c r="D202" i="5" s="1"/>
  <c r="F201" i="5"/>
  <c r="D201" i="5"/>
  <c r="C201" i="5"/>
  <c r="F200" i="5"/>
  <c r="C200" i="5"/>
  <c r="D200" i="5" s="1"/>
  <c r="F199" i="5"/>
  <c r="D199" i="5"/>
  <c r="C199" i="5"/>
  <c r="F198" i="5"/>
  <c r="C198" i="5"/>
  <c r="D198" i="5" s="1"/>
  <c r="F197" i="5"/>
  <c r="D197" i="5"/>
  <c r="C197" i="5"/>
  <c r="F196" i="5"/>
  <c r="C196" i="5"/>
  <c r="D196" i="5" s="1"/>
  <c r="F195" i="5"/>
  <c r="D195" i="5"/>
  <c r="C195" i="5"/>
  <c r="F194" i="5"/>
  <c r="C194" i="5"/>
  <c r="D194" i="5" s="1"/>
  <c r="F193" i="5"/>
  <c r="D193" i="5"/>
  <c r="C193" i="5"/>
  <c r="F192" i="5"/>
  <c r="C192" i="5"/>
  <c r="D192" i="5" s="1"/>
  <c r="F191" i="5"/>
  <c r="D191" i="5"/>
  <c r="C191" i="5"/>
  <c r="F190" i="5"/>
  <c r="C190" i="5"/>
  <c r="D190" i="5" s="1"/>
  <c r="F189" i="5"/>
  <c r="D189" i="5"/>
  <c r="C189" i="5"/>
  <c r="F188" i="5"/>
  <c r="C188" i="5"/>
  <c r="D188" i="5" s="1"/>
  <c r="F187" i="5"/>
  <c r="D187" i="5"/>
  <c r="C187" i="5"/>
  <c r="F186" i="5"/>
  <c r="C186" i="5"/>
  <c r="D186" i="5" s="1"/>
  <c r="F185" i="5"/>
  <c r="D185" i="5"/>
  <c r="C185" i="5"/>
  <c r="F184" i="5"/>
  <c r="C184" i="5"/>
  <c r="D184" i="5" s="1"/>
  <c r="F183" i="5"/>
  <c r="D183" i="5"/>
  <c r="C183" i="5"/>
  <c r="F182" i="5"/>
  <c r="C182" i="5"/>
  <c r="D182" i="5" s="1"/>
  <c r="F181" i="5"/>
  <c r="D181" i="5"/>
  <c r="C181" i="5"/>
  <c r="F180" i="5"/>
  <c r="C180" i="5"/>
  <c r="D180" i="5" s="1"/>
  <c r="F179" i="5"/>
  <c r="D179" i="5"/>
  <c r="C179" i="5"/>
  <c r="F178" i="5"/>
  <c r="C178" i="5"/>
  <c r="D178" i="5" s="1"/>
  <c r="F177" i="5"/>
  <c r="D177" i="5"/>
  <c r="C177" i="5"/>
  <c r="F176" i="5"/>
  <c r="C176" i="5"/>
  <c r="D176" i="5" s="1"/>
  <c r="F175" i="5"/>
  <c r="D175" i="5"/>
  <c r="C175" i="5"/>
  <c r="F174" i="5"/>
  <c r="C174" i="5"/>
  <c r="D174" i="5" s="1"/>
  <c r="F173" i="5"/>
  <c r="D173" i="5"/>
  <c r="C173" i="5"/>
  <c r="F172" i="5"/>
  <c r="C172" i="5"/>
  <c r="D172" i="5" s="1"/>
  <c r="F171" i="5"/>
  <c r="D171" i="5"/>
  <c r="C171" i="5"/>
  <c r="F170" i="5"/>
  <c r="C170" i="5"/>
  <c r="D170" i="5" s="1"/>
  <c r="F169" i="5"/>
  <c r="D169" i="5"/>
  <c r="C169" i="5"/>
  <c r="F168" i="5"/>
  <c r="C168" i="5"/>
  <c r="D168" i="5" s="1"/>
  <c r="F167" i="5"/>
  <c r="C167" i="5"/>
  <c r="D167" i="5" s="1"/>
  <c r="F166" i="5"/>
  <c r="D166" i="5"/>
  <c r="C166" i="5"/>
  <c r="F165" i="5"/>
  <c r="G165" i="5" s="1"/>
  <c r="D165" i="5"/>
  <c r="C165" i="5"/>
  <c r="F164" i="5"/>
  <c r="C164" i="5"/>
  <c r="D164" i="5" s="1"/>
  <c r="F163" i="5"/>
  <c r="C163" i="5"/>
  <c r="D163" i="5" s="1"/>
  <c r="F162" i="5"/>
  <c r="D162" i="5"/>
  <c r="C162" i="5"/>
  <c r="F161" i="5"/>
  <c r="D161" i="5"/>
  <c r="C161" i="5"/>
  <c r="F160" i="5"/>
  <c r="C160" i="5"/>
  <c r="D160" i="5" s="1"/>
  <c r="F159" i="5"/>
  <c r="C159" i="5"/>
  <c r="D159" i="5" s="1"/>
  <c r="F158" i="5"/>
  <c r="D158" i="5"/>
  <c r="C158" i="5"/>
  <c r="F157" i="5"/>
  <c r="G157" i="5" s="1"/>
  <c r="D157" i="5"/>
  <c r="C157" i="5"/>
  <c r="F156" i="5"/>
  <c r="C156" i="5"/>
  <c r="D156" i="5" s="1"/>
  <c r="F155" i="5"/>
  <c r="C155" i="5"/>
  <c r="D155" i="5" s="1"/>
  <c r="F154" i="5"/>
  <c r="D154" i="5"/>
  <c r="C154" i="5"/>
  <c r="F153" i="5"/>
  <c r="D153" i="5"/>
  <c r="C153" i="5"/>
  <c r="F152" i="5"/>
  <c r="C152" i="5"/>
  <c r="D152" i="5" s="1"/>
  <c r="F151" i="5"/>
  <c r="C151" i="5"/>
  <c r="D151" i="5" s="1"/>
  <c r="F150" i="5"/>
  <c r="D150" i="5"/>
  <c r="C150" i="5"/>
  <c r="F149" i="5"/>
  <c r="G149" i="5" s="1"/>
  <c r="D149" i="5"/>
  <c r="C149" i="5"/>
  <c r="F148" i="5"/>
  <c r="C148" i="5"/>
  <c r="D148" i="5" s="1"/>
  <c r="F147" i="5"/>
  <c r="C147" i="5"/>
  <c r="D147" i="5" s="1"/>
  <c r="F146" i="5"/>
  <c r="D146" i="5"/>
  <c r="C146" i="5"/>
  <c r="F145" i="5"/>
  <c r="D145" i="5"/>
  <c r="C145" i="5"/>
  <c r="F144" i="5"/>
  <c r="C144" i="5"/>
  <c r="D144" i="5" s="1"/>
  <c r="F143" i="5"/>
  <c r="C143" i="5"/>
  <c r="D143" i="5" s="1"/>
  <c r="F142" i="5"/>
  <c r="D142" i="5"/>
  <c r="C142" i="5"/>
  <c r="F141" i="5"/>
  <c r="G141" i="5" s="1"/>
  <c r="D141" i="5"/>
  <c r="C141" i="5"/>
  <c r="F140" i="5"/>
  <c r="C140" i="5"/>
  <c r="D140" i="5" s="1"/>
  <c r="F139" i="5"/>
  <c r="C139" i="5"/>
  <c r="D139" i="5" s="1"/>
  <c r="F138" i="5"/>
  <c r="D138" i="5"/>
  <c r="C138" i="5"/>
  <c r="F137" i="5"/>
  <c r="G137" i="5" s="1"/>
  <c r="D137" i="5"/>
  <c r="C137" i="5"/>
  <c r="F136" i="5"/>
  <c r="C136" i="5"/>
  <c r="D136" i="5" s="1"/>
  <c r="F135" i="5"/>
  <c r="C135" i="5"/>
  <c r="D135" i="5" s="1"/>
  <c r="F134" i="5"/>
  <c r="D134" i="5"/>
  <c r="C134" i="5"/>
  <c r="F133" i="5"/>
  <c r="G133" i="5" s="1"/>
  <c r="D133" i="5"/>
  <c r="C133" i="5"/>
  <c r="F132" i="5"/>
  <c r="C132" i="5"/>
  <c r="D132" i="5" s="1"/>
  <c r="F131" i="5"/>
  <c r="C131" i="5"/>
  <c r="D131" i="5" s="1"/>
  <c r="F130" i="5"/>
  <c r="D130" i="5"/>
  <c r="C130" i="5"/>
  <c r="F129" i="5"/>
  <c r="D129" i="5"/>
  <c r="C129" i="5"/>
  <c r="F128" i="5"/>
  <c r="C128" i="5"/>
  <c r="D128" i="5" s="1"/>
  <c r="F127" i="5"/>
  <c r="C127" i="5"/>
  <c r="D127" i="5" s="1"/>
  <c r="F126" i="5"/>
  <c r="D126" i="5"/>
  <c r="C126" i="5"/>
  <c r="F125" i="5"/>
  <c r="G125" i="5" s="1"/>
  <c r="D125" i="5"/>
  <c r="C125" i="5"/>
  <c r="F124" i="5"/>
  <c r="C124" i="5"/>
  <c r="D124" i="5" s="1"/>
  <c r="F123" i="5"/>
  <c r="C123" i="5"/>
  <c r="D123" i="5" s="1"/>
  <c r="F122" i="5"/>
  <c r="D122" i="5"/>
  <c r="C122" i="5"/>
  <c r="F121" i="5"/>
  <c r="G121" i="5" s="1"/>
  <c r="D121" i="5"/>
  <c r="C121" i="5"/>
  <c r="F120" i="5"/>
  <c r="C120" i="5"/>
  <c r="D120" i="5" s="1"/>
  <c r="F119" i="5"/>
  <c r="C119" i="5"/>
  <c r="D119" i="5" s="1"/>
  <c r="F118" i="5"/>
  <c r="D118" i="5"/>
  <c r="C118" i="5"/>
  <c r="F117" i="5"/>
  <c r="G117" i="5" s="1"/>
  <c r="D117" i="5"/>
  <c r="C117" i="5"/>
  <c r="F116" i="5"/>
  <c r="C116" i="5"/>
  <c r="D116" i="5" s="1"/>
  <c r="F115" i="5"/>
  <c r="C115" i="5"/>
  <c r="D115" i="5" s="1"/>
  <c r="F114" i="5"/>
  <c r="D114" i="5"/>
  <c r="C114" i="5"/>
  <c r="F113" i="5"/>
  <c r="D113" i="5"/>
  <c r="C113" i="5"/>
  <c r="F112" i="5"/>
  <c r="C112" i="5"/>
  <c r="D112" i="5" s="1"/>
  <c r="F111" i="5"/>
  <c r="C111" i="5"/>
  <c r="D111" i="5" s="1"/>
  <c r="F110" i="5"/>
  <c r="D110" i="5"/>
  <c r="C110" i="5"/>
  <c r="F109" i="5"/>
  <c r="G109" i="5" s="1"/>
  <c r="D109" i="5"/>
  <c r="C109" i="5"/>
  <c r="F108" i="5"/>
  <c r="C108" i="5"/>
  <c r="D108" i="5" s="1"/>
  <c r="F107" i="5"/>
  <c r="C107" i="5"/>
  <c r="D107" i="5" s="1"/>
  <c r="F106" i="5"/>
  <c r="D106" i="5"/>
  <c r="C106" i="5"/>
  <c r="F105" i="5"/>
  <c r="G105" i="5" s="1"/>
  <c r="D105" i="5"/>
  <c r="C105" i="5"/>
  <c r="F104" i="5"/>
  <c r="C104" i="5"/>
  <c r="D104" i="5" s="1"/>
  <c r="F103" i="5"/>
  <c r="C103" i="5"/>
  <c r="D103" i="5" s="1"/>
  <c r="F102" i="5"/>
  <c r="D102" i="5"/>
  <c r="C102" i="5"/>
  <c r="F101" i="5"/>
  <c r="G101" i="5" s="1"/>
  <c r="D101" i="5"/>
  <c r="C101" i="5"/>
  <c r="F100" i="5"/>
  <c r="C100" i="5"/>
  <c r="D100" i="5" s="1"/>
  <c r="F99" i="5"/>
  <c r="C99" i="5"/>
  <c r="D99" i="5" s="1"/>
  <c r="F98" i="5"/>
  <c r="D98" i="5"/>
  <c r="C98" i="5"/>
  <c r="F97" i="5"/>
  <c r="D97" i="5"/>
  <c r="C97" i="5"/>
  <c r="F96" i="5"/>
  <c r="G96" i="5" s="1"/>
  <c r="D96" i="5"/>
  <c r="C96" i="5"/>
  <c r="F95" i="5"/>
  <c r="D95" i="5"/>
  <c r="C95" i="5"/>
  <c r="F94" i="5"/>
  <c r="G94" i="5" s="1"/>
  <c r="D94" i="5"/>
  <c r="C94" i="5"/>
  <c r="F93" i="5"/>
  <c r="D93" i="5"/>
  <c r="C93" i="5"/>
  <c r="F92" i="5"/>
  <c r="G92" i="5" s="1"/>
  <c r="D92" i="5"/>
  <c r="C92" i="5"/>
  <c r="F91" i="5"/>
  <c r="D91" i="5"/>
  <c r="C91" i="5"/>
  <c r="F90" i="5"/>
  <c r="G90" i="5" s="1"/>
  <c r="D90" i="5"/>
  <c r="C90" i="5"/>
  <c r="F89" i="5"/>
  <c r="D89" i="5"/>
  <c r="C89" i="5"/>
  <c r="F88" i="5"/>
  <c r="G88" i="5" s="1"/>
  <c r="D88" i="5"/>
  <c r="C88" i="5"/>
  <c r="F87" i="5"/>
  <c r="D87" i="5"/>
  <c r="C87" i="5"/>
  <c r="F86" i="5"/>
  <c r="G86" i="5" s="1"/>
  <c r="D86" i="5"/>
  <c r="C86" i="5"/>
  <c r="F85" i="5"/>
  <c r="D85" i="5"/>
  <c r="C85" i="5"/>
  <c r="F84" i="5"/>
  <c r="G84" i="5" s="1"/>
  <c r="D84" i="5"/>
  <c r="C84" i="5"/>
  <c r="F83" i="5"/>
  <c r="D83" i="5"/>
  <c r="C83" i="5"/>
  <c r="F82" i="5"/>
  <c r="G82" i="5" s="1"/>
  <c r="D82" i="5"/>
  <c r="C82" i="5"/>
  <c r="F81" i="5"/>
  <c r="D81" i="5"/>
  <c r="C81" i="5"/>
  <c r="F80" i="5"/>
  <c r="G80" i="5" s="1"/>
  <c r="D80" i="5"/>
  <c r="C80" i="5"/>
  <c r="F79" i="5"/>
  <c r="D79" i="5"/>
  <c r="C79" i="5"/>
  <c r="F78" i="5"/>
  <c r="G78" i="5" s="1"/>
  <c r="D78" i="5"/>
  <c r="C78" i="5"/>
  <c r="F77" i="5"/>
  <c r="D77" i="5"/>
  <c r="C77" i="5"/>
  <c r="F76" i="5"/>
  <c r="G76" i="5" s="1"/>
  <c r="D76" i="5"/>
  <c r="C76" i="5"/>
  <c r="F75" i="5"/>
  <c r="D75" i="5"/>
  <c r="C75" i="5"/>
  <c r="F74" i="5"/>
  <c r="G74" i="5" s="1"/>
  <c r="D74" i="5"/>
  <c r="C74" i="5"/>
  <c r="F73" i="5"/>
  <c r="D73" i="5"/>
  <c r="C73" i="5"/>
  <c r="F72" i="5"/>
  <c r="G72" i="5" s="1"/>
  <c r="D72" i="5"/>
  <c r="C72" i="5"/>
  <c r="F71" i="5"/>
  <c r="D71" i="5"/>
  <c r="C71" i="5"/>
  <c r="F70" i="5"/>
  <c r="G70" i="5" s="1"/>
  <c r="D70" i="5"/>
  <c r="C70" i="5"/>
  <c r="F69" i="5"/>
  <c r="D69" i="5"/>
  <c r="C69" i="5"/>
  <c r="F68" i="5"/>
  <c r="G68" i="5" s="1"/>
  <c r="D68" i="5"/>
  <c r="C68" i="5"/>
  <c r="F67" i="5"/>
  <c r="D67" i="5"/>
  <c r="C67" i="5"/>
  <c r="F66" i="5"/>
  <c r="G66" i="5" s="1"/>
  <c r="D66" i="5"/>
  <c r="C66" i="5"/>
  <c r="F65" i="5"/>
  <c r="D65" i="5"/>
  <c r="C65" i="5"/>
  <c r="F64" i="5"/>
  <c r="G64" i="5" s="1"/>
  <c r="D64" i="5"/>
  <c r="C64" i="5"/>
  <c r="F63" i="5"/>
  <c r="D63" i="5"/>
  <c r="C63" i="5"/>
  <c r="F62" i="5"/>
  <c r="G62" i="5" s="1"/>
  <c r="D62" i="5"/>
  <c r="C62" i="5"/>
  <c r="F61" i="5"/>
  <c r="D61" i="5"/>
  <c r="C61" i="5"/>
  <c r="F60" i="5"/>
  <c r="G60" i="5" s="1"/>
  <c r="D60" i="5"/>
  <c r="C60" i="5"/>
  <c r="F59" i="5"/>
  <c r="D59" i="5"/>
  <c r="C59" i="5"/>
  <c r="F58" i="5"/>
  <c r="G58" i="5" s="1"/>
  <c r="D58" i="5"/>
  <c r="C58" i="5"/>
  <c r="F57" i="5"/>
  <c r="D57" i="5"/>
  <c r="G57" i="5" s="1"/>
  <c r="C57" i="5"/>
  <c r="F56" i="5"/>
  <c r="G56" i="5" s="1"/>
  <c r="D56" i="5"/>
  <c r="C56" i="5"/>
  <c r="F55" i="5"/>
  <c r="D55" i="5"/>
  <c r="C55" i="5"/>
  <c r="F54" i="5"/>
  <c r="G54" i="5" s="1"/>
  <c r="D54" i="5"/>
  <c r="C54" i="5"/>
  <c r="F53" i="5"/>
  <c r="D53" i="5"/>
  <c r="C53" i="5"/>
  <c r="F52" i="5"/>
  <c r="G52" i="5" s="1"/>
  <c r="D52" i="5"/>
  <c r="C52" i="5"/>
  <c r="F51" i="5"/>
  <c r="D51" i="5"/>
  <c r="C51" i="5"/>
  <c r="F50" i="5"/>
  <c r="G50" i="5" s="1"/>
  <c r="D50" i="5"/>
  <c r="C50" i="5"/>
  <c r="F49" i="5"/>
  <c r="D49" i="5"/>
  <c r="C49" i="5"/>
  <c r="F48" i="5"/>
  <c r="G48" i="5" s="1"/>
  <c r="D48" i="5"/>
  <c r="C48" i="5"/>
  <c r="F47" i="5"/>
  <c r="D47" i="5"/>
  <c r="C47" i="5"/>
  <c r="F46" i="5"/>
  <c r="G46" i="5" s="1"/>
  <c r="D46" i="5"/>
  <c r="C46" i="5"/>
  <c r="F45" i="5"/>
  <c r="D45" i="5"/>
  <c r="C45" i="5"/>
  <c r="F44" i="5"/>
  <c r="G44" i="5" s="1"/>
  <c r="D44" i="5"/>
  <c r="C44" i="5"/>
  <c r="F43" i="5"/>
  <c r="D43" i="5"/>
  <c r="C43" i="5"/>
  <c r="F42" i="5"/>
  <c r="G42" i="5" s="1"/>
  <c r="D42" i="5"/>
  <c r="C42" i="5"/>
  <c r="F41" i="5"/>
  <c r="D41" i="5"/>
  <c r="C41" i="5"/>
  <c r="F40" i="5"/>
  <c r="G40" i="5" s="1"/>
  <c r="D40" i="5"/>
  <c r="C40" i="5"/>
  <c r="F39" i="5"/>
  <c r="D39" i="5"/>
  <c r="C39" i="5"/>
  <c r="F38" i="5"/>
  <c r="G38" i="5" s="1"/>
  <c r="D38" i="5"/>
  <c r="C38" i="5"/>
  <c r="F37" i="5"/>
  <c r="D37" i="5"/>
  <c r="C37" i="5"/>
  <c r="F36" i="5"/>
  <c r="G36" i="5" s="1"/>
  <c r="D36" i="5"/>
  <c r="C36" i="5"/>
  <c r="F35" i="5"/>
  <c r="D35" i="5"/>
  <c r="C35" i="5"/>
  <c r="F34" i="5"/>
  <c r="G34" i="5" s="1"/>
  <c r="D34" i="5"/>
  <c r="C34" i="5"/>
  <c r="F33" i="5"/>
  <c r="D33" i="5"/>
  <c r="G33" i="5" s="1"/>
  <c r="C33" i="5"/>
  <c r="F32" i="5"/>
  <c r="G32" i="5" s="1"/>
  <c r="D32" i="5"/>
  <c r="C32" i="5"/>
  <c r="F31" i="5"/>
  <c r="D31" i="5"/>
  <c r="C31" i="5"/>
  <c r="F30" i="5"/>
  <c r="G30" i="5" s="1"/>
  <c r="D30" i="5"/>
  <c r="C30" i="5"/>
  <c r="F29" i="5"/>
  <c r="D29" i="5"/>
  <c r="C29" i="5"/>
  <c r="F28" i="5"/>
  <c r="G28" i="5" s="1"/>
  <c r="D28" i="5"/>
  <c r="C28" i="5"/>
  <c r="F27" i="5"/>
  <c r="D27" i="5"/>
  <c r="C27" i="5"/>
  <c r="F26" i="5"/>
  <c r="G26" i="5" s="1"/>
  <c r="D26" i="5"/>
  <c r="C26" i="5"/>
  <c r="F25" i="5"/>
  <c r="D25" i="5"/>
  <c r="C25" i="5"/>
  <c r="F24" i="5"/>
  <c r="G24" i="5" s="1"/>
  <c r="D24" i="5"/>
  <c r="C24" i="5"/>
  <c r="F23" i="5"/>
  <c r="D23" i="5"/>
  <c r="C23" i="5"/>
  <c r="F22" i="5"/>
  <c r="G22" i="5" s="1"/>
  <c r="D22" i="5"/>
  <c r="C22" i="5"/>
  <c r="F21" i="5"/>
  <c r="D21" i="5"/>
  <c r="C21" i="5"/>
  <c r="F20" i="5"/>
  <c r="G20" i="5" s="1"/>
  <c r="D20" i="5"/>
  <c r="C20" i="5"/>
  <c r="F19" i="5"/>
  <c r="D19" i="5"/>
  <c r="C19" i="5"/>
  <c r="F18" i="5"/>
  <c r="G18" i="5" s="1"/>
  <c r="D18" i="5"/>
  <c r="C18" i="5"/>
  <c r="F17" i="5"/>
  <c r="D17" i="5"/>
  <c r="C17" i="5"/>
  <c r="F16" i="5"/>
  <c r="G16" i="5" s="1"/>
  <c r="D16" i="5"/>
  <c r="C16" i="5"/>
  <c r="F15" i="5"/>
  <c r="D15" i="5"/>
  <c r="C15" i="5"/>
  <c r="F14" i="5"/>
  <c r="G14" i="5" s="1"/>
  <c r="D14" i="5"/>
  <c r="C14" i="5"/>
  <c r="F13" i="5"/>
  <c r="D13" i="5"/>
  <c r="C13" i="5"/>
  <c r="F12" i="5"/>
  <c r="G12" i="5" s="1"/>
  <c r="D12" i="5"/>
  <c r="C12" i="5"/>
  <c r="F11" i="5"/>
  <c r="D11" i="5"/>
  <c r="C11" i="5"/>
  <c r="F10" i="5"/>
  <c r="G10" i="5" s="1"/>
  <c r="D10" i="5"/>
  <c r="C10" i="5"/>
  <c r="F9" i="5"/>
  <c r="D9" i="5"/>
  <c r="G9" i="5" s="1"/>
  <c r="C9" i="5"/>
  <c r="G8" i="5"/>
  <c r="F8" i="5"/>
  <c r="D8" i="5"/>
  <c r="C8" i="5"/>
  <c r="C7" i="5"/>
  <c r="D7" i="5" s="1"/>
  <c r="D6" i="5"/>
  <c r="C6" i="5"/>
  <c r="D5" i="5"/>
  <c r="C5" i="5"/>
  <c r="C4" i="5"/>
  <c r="C3" i="5"/>
  <c r="F735" i="4"/>
  <c r="D735" i="4"/>
  <c r="C735" i="4"/>
  <c r="F734" i="4"/>
  <c r="C734" i="4"/>
  <c r="D734" i="4" s="1"/>
  <c r="F733" i="4"/>
  <c r="D733" i="4"/>
  <c r="C733" i="4"/>
  <c r="F732" i="4"/>
  <c r="C732" i="4"/>
  <c r="D732" i="4" s="1"/>
  <c r="F731" i="4"/>
  <c r="D731" i="4"/>
  <c r="C731" i="4"/>
  <c r="F730" i="4"/>
  <c r="C730" i="4"/>
  <c r="D730" i="4" s="1"/>
  <c r="F729" i="4"/>
  <c r="D729" i="4"/>
  <c r="C729" i="4"/>
  <c r="F728" i="4"/>
  <c r="C728" i="4"/>
  <c r="D728" i="4" s="1"/>
  <c r="F727" i="4"/>
  <c r="D727" i="4"/>
  <c r="C727" i="4"/>
  <c r="F726" i="4"/>
  <c r="C726" i="4"/>
  <c r="D726" i="4" s="1"/>
  <c r="F725" i="4"/>
  <c r="D725" i="4"/>
  <c r="C725" i="4"/>
  <c r="F724" i="4"/>
  <c r="C724" i="4"/>
  <c r="D724" i="4" s="1"/>
  <c r="F723" i="4"/>
  <c r="D723" i="4"/>
  <c r="C723" i="4"/>
  <c r="F722" i="4"/>
  <c r="C722" i="4"/>
  <c r="D722" i="4" s="1"/>
  <c r="F721" i="4"/>
  <c r="D721" i="4"/>
  <c r="C721" i="4"/>
  <c r="F720" i="4"/>
  <c r="C720" i="4"/>
  <c r="D720" i="4" s="1"/>
  <c r="F719" i="4"/>
  <c r="D719" i="4"/>
  <c r="C719" i="4"/>
  <c r="F718" i="4"/>
  <c r="C718" i="4"/>
  <c r="D718" i="4" s="1"/>
  <c r="F717" i="4"/>
  <c r="D717" i="4"/>
  <c r="C717" i="4"/>
  <c r="F716" i="4"/>
  <c r="C716" i="4"/>
  <c r="D716" i="4" s="1"/>
  <c r="F715" i="4"/>
  <c r="D715" i="4"/>
  <c r="C715" i="4"/>
  <c r="F714" i="4"/>
  <c r="C714" i="4"/>
  <c r="D714" i="4" s="1"/>
  <c r="F713" i="4"/>
  <c r="D713" i="4"/>
  <c r="C713" i="4"/>
  <c r="F712" i="4"/>
  <c r="C712" i="4"/>
  <c r="D712" i="4" s="1"/>
  <c r="F711" i="4"/>
  <c r="D711" i="4"/>
  <c r="C711" i="4"/>
  <c r="F710" i="4"/>
  <c r="C710" i="4"/>
  <c r="D710" i="4" s="1"/>
  <c r="F709" i="4"/>
  <c r="D709" i="4"/>
  <c r="C709" i="4"/>
  <c r="F708" i="4"/>
  <c r="C708" i="4"/>
  <c r="D708" i="4" s="1"/>
  <c r="F707" i="4"/>
  <c r="D707" i="4"/>
  <c r="C707" i="4"/>
  <c r="F706" i="4"/>
  <c r="C706" i="4"/>
  <c r="D706" i="4" s="1"/>
  <c r="F705" i="4"/>
  <c r="D705" i="4"/>
  <c r="C705" i="4"/>
  <c r="F704" i="4"/>
  <c r="C704" i="4"/>
  <c r="D704" i="4" s="1"/>
  <c r="F703" i="4"/>
  <c r="D703" i="4"/>
  <c r="C703" i="4"/>
  <c r="F702" i="4"/>
  <c r="C702" i="4"/>
  <c r="D702" i="4" s="1"/>
  <c r="F701" i="4"/>
  <c r="D701" i="4"/>
  <c r="C701" i="4"/>
  <c r="F700" i="4"/>
  <c r="C700" i="4"/>
  <c r="D700" i="4" s="1"/>
  <c r="F699" i="4"/>
  <c r="D699" i="4"/>
  <c r="C699" i="4"/>
  <c r="F698" i="4"/>
  <c r="C698" i="4"/>
  <c r="D698" i="4" s="1"/>
  <c r="G698" i="4" s="1"/>
  <c r="F697" i="4"/>
  <c r="D697" i="4"/>
  <c r="C697" i="4"/>
  <c r="F696" i="4"/>
  <c r="C696" i="4"/>
  <c r="D696" i="4" s="1"/>
  <c r="F695" i="4"/>
  <c r="D695" i="4"/>
  <c r="C695" i="4"/>
  <c r="F694" i="4"/>
  <c r="C694" i="4"/>
  <c r="D694" i="4" s="1"/>
  <c r="F693" i="4"/>
  <c r="D693" i="4"/>
  <c r="C693" i="4"/>
  <c r="F692" i="4"/>
  <c r="C692" i="4"/>
  <c r="D692" i="4" s="1"/>
  <c r="F691" i="4"/>
  <c r="D691" i="4"/>
  <c r="C691" i="4"/>
  <c r="F690" i="4"/>
  <c r="G690" i="4" s="1"/>
  <c r="C690" i="4"/>
  <c r="D690" i="4" s="1"/>
  <c r="F689" i="4"/>
  <c r="D689" i="4"/>
  <c r="C689" i="4"/>
  <c r="F688" i="4"/>
  <c r="C688" i="4"/>
  <c r="D688" i="4" s="1"/>
  <c r="G688" i="4" s="1"/>
  <c r="F687" i="4"/>
  <c r="D687" i="4"/>
  <c r="C687" i="4"/>
  <c r="F686" i="4"/>
  <c r="G686" i="4" s="1"/>
  <c r="C686" i="4"/>
  <c r="D686" i="4" s="1"/>
  <c r="F685" i="4"/>
  <c r="G685" i="4" s="1"/>
  <c r="D685" i="4"/>
  <c r="C685" i="4"/>
  <c r="F684" i="4"/>
  <c r="C684" i="4"/>
  <c r="D684" i="4" s="1"/>
  <c r="F683" i="4"/>
  <c r="G683" i="4" s="1"/>
  <c r="D683" i="4"/>
  <c r="C683" i="4"/>
  <c r="F682" i="4"/>
  <c r="C682" i="4"/>
  <c r="D682" i="4" s="1"/>
  <c r="F681" i="4"/>
  <c r="D681" i="4"/>
  <c r="C681" i="4"/>
  <c r="F680" i="4"/>
  <c r="C680" i="4"/>
  <c r="D680" i="4" s="1"/>
  <c r="F679" i="4"/>
  <c r="G679" i="4" s="1"/>
  <c r="D679" i="4"/>
  <c r="C679" i="4"/>
  <c r="F678" i="4"/>
  <c r="C678" i="4"/>
  <c r="D678" i="4" s="1"/>
  <c r="F677" i="4"/>
  <c r="D677" i="4"/>
  <c r="C677" i="4"/>
  <c r="F676" i="4"/>
  <c r="G676" i="4" s="1"/>
  <c r="C676" i="4"/>
  <c r="D676" i="4" s="1"/>
  <c r="F675" i="4"/>
  <c r="D675" i="4"/>
  <c r="C675" i="4"/>
  <c r="F674" i="4"/>
  <c r="G674" i="4" s="1"/>
  <c r="C674" i="4"/>
  <c r="D674" i="4" s="1"/>
  <c r="F673" i="4"/>
  <c r="D673" i="4"/>
  <c r="C673" i="4"/>
  <c r="F672" i="4"/>
  <c r="C672" i="4"/>
  <c r="D672" i="4" s="1"/>
  <c r="F671" i="4"/>
  <c r="D671" i="4"/>
  <c r="C671" i="4"/>
  <c r="F670" i="4"/>
  <c r="G670" i="4" s="1"/>
  <c r="C670" i="4"/>
  <c r="D670" i="4" s="1"/>
  <c r="F669" i="4"/>
  <c r="G669" i="4" s="1"/>
  <c r="D669" i="4"/>
  <c r="C669" i="4"/>
  <c r="F668" i="4"/>
  <c r="C668" i="4"/>
  <c r="D668" i="4" s="1"/>
  <c r="F667" i="4"/>
  <c r="G667" i="4" s="1"/>
  <c r="D667" i="4"/>
  <c r="C667" i="4"/>
  <c r="F666" i="4"/>
  <c r="C666" i="4"/>
  <c r="D666" i="4" s="1"/>
  <c r="F665" i="4"/>
  <c r="D665" i="4"/>
  <c r="C665" i="4"/>
  <c r="F664" i="4"/>
  <c r="C664" i="4"/>
  <c r="D664" i="4" s="1"/>
  <c r="F663" i="4"/>
  <c r="C663" i="4"/>
  <c r="D663" i="4" s="1"/>
  <c r="F662" i="4"/>
  <c r="C662" i="4"/>
  <c r="D662" i="4" s="1"/>
  <c r="F661" i="4"/>
  <c r="C661" i="4"/>
  <c r="D661" i="4" s="1"/>
  <c r="F660" i="4"/>
  <c r="G660" i="4" s="1"/>
  <c r="C660" i="4"/>
  <c r="D660" i="4" s="1"/>
  <c r="F659" i="4"/>
  <c r="D659" i="4"/>
  <c r="C659" i="4"/>
  <c r="F658" i="4"/>
  <c r="G658" i="4" s="1"/>
  <c r="C658" i="4"/>
  <c r="D658" i="4" s="1"/>
  <c r="F657" i="4"/>
  <c r="C657" i="4"/>
  <c r="D657" i="4" s="1"/>
  <c r="F656" i="4"/>
  <c r="C656" i="4"/>
  <c r="D656" i="4" s="1"/>
  <c r="F655" i="4"/>
  <c r="D655" i="4"/>
  <c r="C655" i="4"/>
  <c r="F654" i="4"/>
  <c r="G654" i="4" s="1"/>
  <c r="C654" i="4"/>
  <c r="D654" i="4" s="1"/>
  <c r="F653" i="4"/>
  <c r="C653" i="4"/>
  <c r="D653" i="4" s="1"/>
  <c r="F652" i="4"/>
  <c r="C652" i="4"/>
  <c r="D652" i="4" s="1"/>
  <c r="F651" i="4"/>
  <c r="G651" i="4" s="1"/>
  <c r="D651" i="4"/>
  <c r="C651" i="4"/>
  <c r="F650" i="4"/>
  <c r="C650" i="4"/>
  <c r="D650" i="4" s="1"/>
  <c r="F649" i="4"/>
  <c r="D649" i="4"/>
  <c r="C649" i="4"/>
  <c r="F648" i="4"/>
  <c r="C648" i="4"/>
  <c r="D648" i="4" s="1"/>
  <c r="F647" i="4"/>
  <c r="C647" i="4"/>
  <c r="D647" i="4" s="1"/>
  <c r="F646" i="4"/>
  <c r="C646" i="4"/>
  <c r="D646" i="4" s="1"/>
  <c r="F645" i="4"/>
  <c r="C645" i="4"/>
  <c r="D645" i="4" s="1"/>
  <c r="F644" i="4"/>
  <c r="G644" i="4" s="1"/>
  <c r="C644" i="4"/>
  <c r="D644" i="4" s="1"/>
  <c r="F643" i="4"/>
  <c r="D643" i="4"/>
  <c r="C643" i="4"/>
  <c r="F642" i="4"/>
  <c r="G642" i="4" s="1"/>
  <c r="C642" i="4"/>
  <c r="D642" i="4" s="1"/>
  <c r="F641" i="4"/>
  <c r="C641" i="4"/>
  <c r="D641" i="4" s="1"/>
  <c r="F640" i="4"/>
  <c r="C640" i="4"/>
  <c r="D640" i="4" s="1"/>
  <c r="F639" i="4"/>
  <c r="D639" i="4"/>
  <c r="C639" i="4"/>
  <c r="F638" i="4"/>
  <c r="G638" i="4" s="1"/>
  <c r="C638" i="4"/>
  <c r="D638" i="4" s="1"/>
  <c r="F637" i="4"/>
  <c r="C637" i="4"/>
  <c r="D637" i="4" s="1"/>
  <c r="F636" i="4"/>
  <c r="C636" i="4"/>
  <c r="D636" i="4" s="1"/>
  <c r="F635" i="4"/>
  <c r="G635" i="4" s="1"/>
  <c r="D635" i="4"/>
  <c r="C635" i="4"/>
  <c r="F634" i="4"/>
  <c r="C634" i="4"/>
  <c r="D634" i="4" s="1"/>
  <c r="F633" i="4"/>
  <c r="D633" i="4"/>
  <c r="C633" i="4"/>
  <c r="F632" i="4"/>
  <c r="C632" i="4"/>
  <c r="D632" i="4" s="1"/>
  <c r="F631" i="4"/>
  <c r="G631" i="4" s="1"/>
  <c r="C631" i="4"/>
  <c r="D631" i="4" s="1"/>
  <c r="F630" i="4"/>
  <c r="C630" i="4"/>
  <c r="D630" i="4" s="1"/>
  <c r="F629" i="4"/>
  <c r="C629" i="4"/>
  <c r="D629" i="4" s="1"/>
  <c r="F628" i="4"/>
  <c r="G628" i="4" s="1"/>
  <c r="C628" i="4"/>
  <c r="D628" i="4" s="1"/>
  <c r="F627" i="4"/>
  <c r="D627" i="4"/>
  <c r="C627" i="4"/>
  <c r="F626" i="4"/>
  <c r="G626" i="4" s="1"/>
  <c r="C626" i="4"/>
  <c r="D626" i="4" s="1"/>
  <c r="F625" i="4"/>
  <c r="C625" i="4"/>
  <c r="D625" i="4" s="1"/>
  <c r="F624" i="4"/>
  <c r="C624" i="4"/>
  <c r="D624" i="4" s="1"/>
  <c r="F623" i="4"/>
  <c r="D623" i="4"/>
  <c r="C623" i="4"/>
  <c r="F622" i="4"/>
  <c r="G622" i="4" s="1"/>
  <c r="C622" i="4"/>
  <c r="D622" i="4" s="1"/>
  <c r="F621" i="4"/>
  <c r="C621" i="4"/>
  <c r="D621" i="4" s="1"/>
  <c r="F620" i="4"/>
  <c r="C620" i="4"/>
  <c r="D620" i="4" s="1"/>
  <c r="F619" i="4"/>
  <c r="G619" i="4" s="1"/>
  <c r="D619" i="4"/>
  <c r="C619" i="4"/>
  <c r="F618" i="4"/>
  <c r="C618" i="4"/>
  <c r="D618" i="4" s="1"/>
  <c r="F617" i="4"/>
  <c r="D617" i="4"/>
  <c r="C617" i="4"/>
  <c r="F616" i="4"/>
  <c r="C616" i="4"/>
  <c r="D616" i="4" s="1"/>
  <c r="F615" i="4"/>
  <c r="G615" i="4" s="1"/>
  <c r="C615" i="4"/>
  <c r="D615" i="4" s="1"/>
  <c r="F614" i="4"/>
  <c r="C614" i="4"/>
  <c r="D614" i="4" s="1"/>
  <c r="F613" i="4"/>
  <c r="C613" i="4"/>
  <c r="D613" i="4" s="1"/>
  <c r="F612" i="4"/>
  <c r="G612" i="4" s="1"/>
  <c r="C612" i="4"/>
  <c r="D612" i="4" s="1"/>
  <c r="F611" i="4"/>
  <c r="D611" i="4"/>
  <c r="C611" i="4"/>
  <c r="F610" i="4"/>
  <c r="G610" i="4" s="1"/>
  <c r="C610" i="4"/>
  <c r="D610" i="4" s="1"/>
  <c r="F609" i="4"/>
  <c r="C609" i="4"/>
  <c r="D609" i="4" s="1"/>
  <c r="F608" i="4"/>
  <c r="C608" i="4"/>
  <c r="D608" i="4" s="1"/>
  <c r="F607" i="4"/>
  <c r="D607" i="4"/>
  <c r="C607" i="4"/>
  <c r="F606" i="4"/>
  <c r="C606" i="4"/>
  <c r="D606" i="4" s="1"/>
  <c r="F605" i="4"/>
  <c r="C605" i="4"/>
  <c r="D605" i="4" s="1"/>
  <c r="F604" i="4"/>
  <c r="C604" i="4"/>
  <c r="D604" i="4" s="1"/>
  <c r="F603" i="4"/>
  <c r="G603" i="4" s="1"/>
  <c r="D603" i="4"/>
  <c r="C603" i="4"/>
  <c r="F602" i="4"/>
  <c r="C602" i="4"/>
  <c r="D602" i="4" s="1"/>
  <c r="F601" i="4"/>
  <c r="D601" i="4"/>
  <c r="C601" i="4"/>
  <c r="F600" i="4"/>
  <c r="C600" i="4"/>
  <c r="D600" i="4" s="1"/>
  <c r="F599" i="4"/>
  <c r="C599" i="4"/>
  <c r="D599" i="4" s="1"/>
  <c r="F598" i="4"/>
  <c r="C598" i="4"/>
  <c r="D598" i="4" s="1"/>
  <c r="F597" i="4"/>
  <c r="C597" i="4"/>
  <c r="D597" i="4" s="1"/>
  <c r="F596" i="4"/>
  <c r="G596" i="4" s="1"/>
  <c r="C596" i="4"/>
  <c r="D596" i="4" s="1"/>
  <c r="F595" i="4"/>
  <c r="D595" i="4"/>
  <c r="C595" i="4"/>
  <c r="F594" i="4"/>
  <c r="G594" i="4" s="1"/>
  <c r="C594" i="4"/>
  <c r="D594" i="4" s="1"/>
  <c r="F593" i="4"/>
  <c r="C593" i="4"/>
  <c r="D593" i="4" s="1"/>
  <c r="F592" i="4"/>
  <c r="C592" i="4"/>
  <c r="D592" i="4" s="1"/>
  <c r="F591" i="4"/>
  <c r="D591" i="4"/>
  <c r="C591" i="4"/>
  <c r="F590" i="4"/>
  <c r="C590" i="4"/>
  <c r="D590" i="4" s="1"/>
  <c r="F589" i="4"/>
  <c r="G589" i="4" s="1"/>
  <c r="C589" i="4"/>
  <c r="D589" i="4" s="1"/>
  <c r="F588" i="4"/>
  <c r="C588" i="4"/>
  <c r="D588" i="4" s="1"/>
  <c r="F587" i="4"/>
  <c r="G587" i="4" s="1"/>
  <c r="D587" i="4"/>
  <c r="C587" i="4"/>
  <c r="F586" i="4"/>
  <c r="C586" i="4"/>
  <c r="D586" i="4" s="1"/>
  <c r="F585" i="4"/>
  <c r="D585" i="4"/>
  <c r="C585" i="4"/>
  <c r="F584" i="4"/>
  <c r="C584" i="4"/>
  <c r="D584" i="4" s="1"/>
  <c r="F583" i="4"/>
  <c r="C583" i="4"/>
  <c r="D583" i="4" s="1"/>
  <c r="F582" i="4"/>
  <c r="C582" i="4"/>
  <c r="D582" i="4" s="1"/>
  <c r="F581" i="4"/>
  <c r="C581" i="4"/>
  <c r="D581" i="4" s="1"/>
  <c r="F580" i="4"/>
  <c r="G580" i="4" s="1"/>
  <c r="C580" i="4"/>
  <c r="D580" i="4" s="1"/>
  <c r="F579" i="4"/>
  <c r="D579" i="4"/>
  <c r="C579" i="4"/>
  <c r="F578" i="4"/>
  <c r="G578" i="4" s="1"/>
  <c r="C578" i="4"/>
  <c r="D578" i="4" s="1"/>
  <c r="F577" i="4"/>
  <c r="C577" i="4"/>
  <c r="D577" i="4" s="1"/>
  <c r="F576" i="4"/>
  <c r="C576" i="4"/>
  <c r="D576" i="4" s="1"/>
  <c r="F575" i="4"/>
  <c r="D575" i="4"/>
  <c r="C575" i="4"/>
  <c r="F574" i="4"/>
  <c r="G574" i="4" s="1"/>
  <c r="C574" i="4"/>
  <c r="D574" i="4" s="1"/>
  <c r="F573" i="4"/>
  <c r="G573" i="4" s="1"/>
  <c r="C573" i="4"/>
  <c r="D573" i="4" s="1"/>
  <c r="F572" i="4"/>
  <c r="C572" i="4"/>
  <c r="D572" i="4" s="1"/>
  <c r="F571" i="4"/>
  <c r="G571" i="4" s="1"/>
  <c r="D571" i="4"/>
  <c r="C571" i="4"/>
  <c r="F570" i="4"/>
  <c r="C570" i="4"/>
  <c r="D570" i="4" s="1"/>
  <c r="F569" i="4"/>
  <c r="D569" i="4"/>
  <c r="C569" i="4"/>
  <c r="F568" i="4"/>
  <c r="C568" i="4"/>
  <c r="D568" i="4" s="1"/>
  <c r="F567" i="4"/>
  <c r="C567" i="4"/>
  <c r="D567" i="4" s="1"/>
  <c r="F566" i="4"/>
  <c r="C566" i="4"/>
  <c r="D566" i="4" s="1"/>
  <c r="F565" i="4"/>
  <c r="C565" i="4"/>
  <c r="D565" i="4" s="1"/>
  <c r="F564" i="4"/>
  <c r="G564" i="4" s="1"/>
  <c r="C564" i="4"/>
  <c r="D564" i="4" s="1"/>
  <c r="F563" i="4"/>
  <c r="C563" i="4"/>
  <c r="D563" i="4" s="1"/>
  <c r="F562" i="4"/>
  <c r="G562" i="4" s="1"/>
  <c r="C562" i="4"/>
  <c r="D562" i="4" s="1"/>
  <c r="F561" i="4"/>
  <c r="C561" i="4"/>
  <c r="D561" i="4" s="1"/>
  <c r="F560" i="4"/>
  <c r="C560" i="4"/>
  <c r="D560" i="4" s="1"/>
  <c r="F559" i="4"/>
  <c r="C559" i="4"/>
  <c r="D559" i="4" s="1"/>
  <c r="F558" i="4"/>
  <c r="C558" i="4"/>
  <c r="D558" i="4" s="1"/>
  <c r="F557" i="4"/>
  <c r="C557" i="4"/>
  <c r="D557" i="4" s="1"/>
  <c r="F556" i="4"/>
  <c r="C556" i="4"/>
  <c r="D556" i="4" s="1"/>
  <c r="F555" i="4"/>
  <c r="C555" i="4"/>
  <c r="D555" i="4" s="1"/>
  <c r="F554" i="4"/>
  <c r="C554" i="4"/>
  <c r="D554" i="4" s="1"/>
  <c r="F553" i="4"/>
  <c r="C553" i="4"/>
  <c r="D553" i="4" s="1"/>
  <c r="F552" i="4"/>
  <c r="G552" i="4" s="1"/>
  <c r="C552" i="4"/>
  <c r="D552" i="4" s="1"/>
  <c r="F551" i="4"/>
  <c r="C551" i="4"/>
  <c r="D551" i="4" s="1"/>
  <c r="F550" i="4"/>
  <c r="C550" i="4"/>
  <c r="D550" i="4" s="1"/>
  <c r="F549" i="4"/>
  <c r="C549" i="4"/>
  <c r="D549" i="4" s="1"/>
  <c r="F548" i="4"/>
  <c r="G548" i="4" s="1"/>
  <c r="C548" i="4"/>
  <c r="D548" i="4" s="1"/>
  <c r="F547" i="4"/>
  <c r="C547" i="4"/>
  <c r="D547" i="4" s="1"/>
  <c r="F546" i="4"/>
  <c r="G546" i="4" s="1"/>
  <c r="C546" i="4"/>
  <c r="D546" i="4" s="1"/>
  <c r="F545" i="4"/>
  <c r="C545" i="4"/>
  <c r="D545" i="4" s="1"/>
  <c r="F544" i="4"/>
  <c r="C544" i="4"/>
  <c r="D544" i="4" s="1"/>
  <c r="F543" i="4"/>
  <c r="C543" i="4"/>
  <c r="D543" i="4" s="1"/>
  <c r="F542" i="4"/>
  <c r="C542" i="4"/>
  <c r="D542" i="4" s="1"/>
  <c r="F541" i="4"/>
  <c r="C541" i="4"/>
  <c r="D541" i="4" s="1"/>
  <c r="F540" i="4"/>
  <c r="C540" i="4"/>
  <c r="D540" i="4" s="1"/>
  <c r="F539" i="4"/>
  <c r="C539" i="4"/>
  <c r="D539" i="4" s="1"/>
  <c r="F538" i="4"/>
  <c r="C538" i="4"/>
  <c r="D538" i="4" s="1"/>
  <c r="F537" i="4"/>
  <c r="C537" i="4"/>
  <c r="D537" i="4" s="1"/>
  <c r="F536" i="4"/>
  <c r="C536" i="4"/>
  <c r="D536" i="4" s="1"/>
  <c r="F535" i="4"/>
  <c r="C535" i="4"/>
  <c r="D535" i="4" s="1"/>
  <c r="F534" i="4"/>
  <c r="C534" i="4"/>
  <c r="D534" i="4" s="1"/>
  <c r="F533" i="4"/>
  <c r="C533" i="4"/>
  <c r="D533" i="4" s="1"/>
  <c r="F532" i="4"/>
  <c r="G532" i="4" s="1"/>
  <c r="C532" i="4"/>
  <c r="D532" i="4" s="1"/>
  <c r="F531" i="4"/>
  <c r="C531" i="4"/>
  <c r="D531" i="4" s="1"/>
  <c r="F530" i="4"/>
  <c r="G530" i="4" s="1"/>
  <c r="C530" i="4"/>
  <c r="D530" i="4" s="1"/>
  <c r="F529" i="4"/>
  <c r="C529" i="4"/>
  <c r="D529" i="4" s="1"/>
  <c r="F528" i="4"/>
  <c r="C528" i="4"/>
  <c r="D528" i="4" s="1"/>
  <c r="F527" i="4"/>
  <c r="C527" i="4"/>
  <c r="D527" i="4" s="1"/>
  <c r="F526" i="4"/>
  <c r="C526" i="4"/>
  <c r="D526" i="4" s="1"/>
  <c r="F525" i="4"/>
  <c r="C525" i="4"/>
  <c r="D525" i="4" s="1"/>
  <c r="F524" i="4"/>
  <c r="C524" i="4"/>
  <c r="D524" i="4" s="1"/>
  <c r="F523" i="4"/>
  <c r="C523" i="4"/>
  <c r="D523" i="4" s="1"/>
  <c r="F522" i="4"/>
  <c r="C522" i="4"/>
  <c r="D522" i="4" s="1"/>
  <c r="F521" i="4"/>
  <c r="C521" i="4"/>
  <c r="D521" i="4" s="1"/>
  <c r="F520" i="4"/>
  <c r="C520" i="4"/>
  <c r="D520" i="4" s="1"/>
  <c r="F519" i="4"/>
  <c r="C519" i="4"/>
  <c r="D519" i="4" s="1"/>
  <c r="F518" i="4"/>
  <c r="C518" i="4"/>
  <c r="D518" i="4" s="1"/>
  <c r="F517" i="4"/>
  <c r="C517" i="4"/>
  <c r="D517" i="4" s="1"/>
  <c r="F516" i="4"/>
  <c r="C516" i="4"/>
  <c r="D516" i="4" s="1"/>
  <c r="F515" i="4"/>
  <c r="D515" i="4"/>
  <c r="C515" i="4"/>
  <c r="F514" i="4"/>
  <c r="C514" i="4"/>
  <c r="D514" i="4" s="1"/>
  <c r="F513" i="4"/>
  <c r="C513" i="4"/>
  <c r="D513" i="4" s="1"/>
  <c r="F512" i="4"/>
  <c r="G512" i="4" s="1"/>
  <c r="C512" i="4"/>
  <c r="D512" i="4" s="1"/>
  <c r="F511" i="4"/>
  <c r="C511" i="4"/>
  <c r="D511" i="4" s="1"/>
  <c r="F510" i="4"/>
  <c r="C510" i="4"/>
  <c r="D510" i="4" s="1"/>
  <c r="F509" i="4"/>
  <c r="C509" i="4"/>
  <c r="D509" i="4" s="1"/>
  <c r="F508" i="4"/>
  <c r="C508" i="4"/>
  <c r="D508" i="4" s="1"/>
  <c r="F507" i="4"/>
  <c r="C507" i="4"/>
  <c r="D507" i="4" s="1"/>
  <c r="F506" i="4"/>
  <c r="C506" i="4"/>
  <c r="D506" i="4" s="1"/>
  <c r="F505" i="4"/>
  <c r="C505" i="4"/>
  <c r="D505" i="4" s="1"/>
  <c r="F504" i="4"/>
  <c r="G504" i="4" s="1"/>
  <c r="C504" i="4"/>
  <c r="D504" i="4" s="1"/>
  <c r="F503" i="4"/>
  <c r="C503" i="4"/>
  <c r="D503" i="4" s="1"/>
  <c r="F502" i="4"/>
  <c r="C502" i="4"/>
  <c r="D502" i="4" s="1"/>
  <c r="F501" i="4"/>
  <c r="C501" i="4"/>
  <c r="D501" i="4" s="1"/>
  <c r="F500" i="4"/>
  <c r="C500" i="4"/>
  <c r="D500" i="4" s="1"/>
  <c r="F499" i="4"/>
  <c r="D499" i="4"/>
  <c r="C499" i="4"/>
  <c r="F498" i="4"/>
  <c r="C498" i="4"/>
  <c r="D498" i="4" s="1"/>
  <c r="F497" i="4"/>
  <c r="C497" i="4"/>
  <c r="D497" i="4" s="1"/>
  <c r="F496" i="4"/>
  <c r="G496" i="4" s="1"/>
  <c r="C496" i="4"/>
  <c r="D496" i="4" s="1"/>
  <c r="F495" i="4"/>
  <c r="C495" i="4"/>
  <c r="D495" i="4" s="1"/>
  <c r="F494" i="4"/>
  <c r="G494" i="4" s="1"/>
  <c r="C494" i="4"/>
  <c r="D494" i="4" s="1"/>
  <c r="F493" i="4"/>
  <c r="G493" i="4" s="1"/>
  <c r="D493" i="4"/>
  <c r="C493" i="4"/>
  <c r="F492" i="4"/>
  <c r="G492" i="4" s="1"/>
  <c r="C492" i="4"/>
  <c r="D492" i="4" s="1"/>
  <c r="F491" i="4"/>
  <c r="C491" i="4"/>
  <c r="D491" i="4" s="1"/>
  <c r="F490" i="4"/>
  <c r="C490" i="4"/>
  <c r="D490" i="4" s="1"/>
  <c r="F489" i="4"/>
  <c r="D489" i="4"/>
  <c r="C489" i="4"/>
  <c r="F488" i="4"/>
  <c r="C488" i="4"/>
  <c r="D488" i="4" s="1"/>
  <c r="F487" i="4"/>
  <c r="C487" i="4"/>
  <c r="D487" i="4" s="1"/>
  <c r="F486" i="4"/>
  <c r="C486" i="4"/>
  <c r="D486" i="4" s="1"/>
  <c r="F485" i="4"/>
  <c r="D485" i="4"/>
  <c r="C485" i="4"/>
  <c r="F484" i="4"/>
  <c r="C484" i="4"/>
  <c r="D484" i="4" s="1"/>
  <c r="F483" i="4"/>
  <c r="D483" i="4"/>
  <c r="C483" i="4"/>
  <c r="F482" i="4"/>
  <c r="C482" i="4"/>
  <c r="D482" i="4" s="1"/>
  <c r="F481" i="4"/>
  <c r="C481" i="4"/>
  <c r="D481" i="4" s="1"/>
  <c r="F480" i="4"/>
  <c r="G480" i="4" s="1"/>
  <c r="C480" i="4"/>
  <c r="D480" i="4" s="1"/>
  <c r="F479" i="4"/>
  <c r="C479" i="4"/>
  <c r="D479" i="4" s="1"/>
  <c r="F478" i="4"/>
  <c r="G478" i="4" s="1"/>
  <c r="C478" i="4"/>
  <c r="D478" i="4" s="1"/>
  <c r="F477" i="4"/>
  <c r="C477" i="4"/>
  <c r="D477" i="4" s="1"/>
  <c r="F476" i="4"/>
  <c r="G476" i="4" s="1"/>
  <c r="C476" i="4"/>
  <c r="D476" i="4" s="1"/>
  <c r="F475" i="4"/>
  <c r="C475" i="4"/>
  <c r="D475" i="4" s="1"/>
  <c r="F474" i="4"/>
  <c r="C474" i="4"/>
  <c r="D474" i="4" s="1"/>
  <c r="F473" i="4"/>
  <c r="G473" i="4" s="1"/>
  <c r="D473" i="4"/>
  <c r="C473" i="4"/>
  <c r="F472" i="4"/>
  <c r="C472" i="4"/>
  <c r="D472" i="4" s="1"/>
  <c r="F471" i="4"/>
  <c r="G471" i="4" s="1"/>
  <c r="C471" i="4"/>
  <c r="D471" i="4" s="1"/>
  <c r="F470" i="4"/>
  <c r="C470" i="4"/>
  <c r="D470" i="4" s="1"/>
  <c r="F469" i="4"/>
  <c r="D469" i="4"/>
  <c r="C469" i="4"/>
  <c r="F468" i="4"/>
  <c r="G468" i="4" s="1"/>
  <c r="C468" i="4"/>
  <c r="D468" i="4" s="1"/>
  <c r="F467" i="4"/>
  <c r="C467" i="4"/>
  <c r="D467" i="4" s="1"/>
  <c r="F466" i="4"/>
  <c r="C466" i="4"/>
  <c r="D466" i="4" s="1"/>
  <c r="F465" i="4"/>
  <c r="D465" i="4"/>
  <c r="C465" i="4"/>
  <c r="F464" i="4"/>
  <c r="C464" i="4"/>
  <c r="D464" i="4" s="1"/>
  <c r="F463" i="4"/>
  <c r="C463" i="4"/>
  <c r="D463" i="4" s="1"/>
  <c r="F462" i="4"/>
  <c r="G462" i="4" s="1"/>
  <c r="C462" i="4"/>
  <c r="D462" i="4" s="1"/>
  <c r="F461" i="4"/>
  <c r="D461" i="4"/>
  <c r="C461" i="4"/>
  <c r="F460" i="4"/>
  <c r="C460" i="4"/>
  <c r="D460" i="4" s="1"/>
  <c r="F459" i="4"/>
  <c r="C459" i="4"/>
  <c r="D459" i="4" s="1"/>
  <c r="F458" i="4"/>
  <c r="G458" i="4" s="1"/>
  <c r="C458" i="4"/>
  <c r="D458" i="4" s="1"/>
  <c r="F457" i="4"/>
  <c r="D457" i="4"/>
  <c r="C457" i="4"/>
  <c r="F456" i="4"/>
  <c r="C456" i="4"/>
  <c r="D456" i="4" s="1"/>
  <c r="F455" i="4"/>
  <c r="C455" i="4"/>
  <c r="D455" i="4" s="1"/>
  <c r="F454" i="4"/>
  <c r="C454" i="4"/>
  <c r="D454" i="4" s="1"/>
  <c r="F453" i="4"/>
  <c r="D453" i="4"/>
  <c r="C453" i="4"/>
  <c r="F452" i="4"/>
  <c r="C452" i="4"/>
  <c r="D452" i="4" s="1"/>
  <c r="F451" i="4"/>
  <c r="C451" i="4"/>
  <c r="D451" i="4" s="1"/>
  <c r="F450" i="4"/>
  <c r="C450" i="4"/>
  <c r="D450" i="4" s="1"/>
  <c r="F449" i="4"/>
  <c r="C449" i="4"/>
  <c r="D449" i="4" s="1"/>
  <c r="F448" i="4"/>
  <c r="G448" i="4" s="1"/>
  <c r="C448" i="4"/>
  <c r="D448" i="4" s="1"/>
  <c r="F447" i="4"/>
  <c r="D447" i="4"/>
  <c r="C447" i="4"/>
  <c r="F446" i="4"/>
  <c r="G446" i="4" s="1"/>
  <c r="C446" i="4"/>
  <c r="D446" i="4" s="1"/>
  <c r="F445" i="4"/>
  <c r="C445" i="4"/>
  <c r="D445" i="4" s="1"/>
  <c r="F444" i="4"/>
  <c r="C444" i="4"/>
  <c r="D444" i="4" s="1"/>
  <c r="F443" i="4"/>
  <c r="C443" i="4"/>
  <c r="D443" i="4" s="1"/>
  <c r="F442" i="4"/>
  <c r="C442" i="4"/>
  <c r="D442" i="4" s="1"/>
  <c r="F441" i="4"/>
  <c r="D441" i="4"/>
  <c r="C441" i="4"/>
  <c r="F440" i="4"/>
  <c r="G440" i="4" s="1"/>
  <c r="C440" i="4"/>
  <c r="D440" i="4" s="1"/>
  <c r="F439" i="4"/>
  <c r="G439" i="4" s="1"/>
  <c r="C439" i="4"/>
  <c r="D439" i="4" s="1"/>
  <c r="F438" i="4"/>
  <c r="C438" i="4"/>
  <c r="D438" i="4" s="1"/>
  <c r="F437" i="4"/>
  <c r="C437" i="4"/>
  <c r="D437" i="4" s="1"/>
  <c r="F436" i="4"/>
  <c r="C436" i="4"/>
  <c r="D436" i="4" s="1"/>
  <c r="F435" i="4"/>
  <c r="G435" i="4" s="1"/>
  <c r="C435" i="4"/>
  <c r="D435" i="4" s="1"/>
  <c r="F434" i="4"/>
  <c r="D434" i="4"/>
  <c r="C434" i="4"/>
  <c r="F433" i="4"/>
  <c r="C433" i="4"/>
  <c r="D433" i="4" s="1"/>
  <c r="F432" i="4"/>
  <c r="C432" i="4"/>
  <c r="D432" i="4" s="1"/>
  <c r="F431" i="4"/>
  <c r="G431" i="4" s="1"/>
  <c r="C431" i="4"/>
  <c r="D431" i="4" s="1"/>
  <c r="F430" i="4"/>
  <c r="C430" i="4"/>
  <c r="D430" i="4" s="1"/>
  <c r="F429" i="4"/>
  <c r="C429" i="4"/>
  <c r="D429" i="4" s="1"/>
  <c r="F428" i="4"/>
  <c r="C428" i="4"/>
  <c r="D428" i="4" s="1"/>
  <c r="F427" i="4"/>
  <c r="G427" i="4" s="1"/>
  <c r="C427" i="4"/>
  <c r="D427" i="4" s="1"/>
  <c r="F426" i="4"/>
  <c r="D426" i="4"/>
  <c r="C426" i="4"/>
  <c r="F425" i="4"/>
  <c r="C425" i="4"/>
  <c r="D425" i="4" s="1"/>
  <c r="F424" i="4"/>
  <c r="C424" i="4"/>
  <c r="D424" i="4" s="1"/>
  <c r="F423" i="4"/>
  <c r="G423" i="4" s="1"/>
  <c r="C423" i="4"/>
  <c r="D423" i="4" s="1"/>
  <c r="F422" i="4"/>
  <c r="C422" i="4"/>
  <c r="D422" i="4" s="1"/>
  <c r="G422" i="4" s="1"/>
  <c r="F421" i="4"/>
  <c r="C421" i="4"/>
  <c r="D421" i="4" s="1"/>
  <c r="F420" i="4"/>
  <c r="C420" i="4"/>
  <c r="D420" i="4" s="1"/>
  <c r="F419" i="4"/>
  <c r="G419" i="4" s="1"/>
  <c r="C419" i="4"/>
  <c r="D419" i="4" s="1"/>
  <c r="F418" i="4"/>
  <c r="D418" i="4"/>
  <c r="C418" i="4"/>
  <c r="F417" i="4"/>
  <c r="C417" i="4"/>
  <c r="D417" i="4" s="1"/>
  <c r="F416" i="4"/>
  <c r="D416" i="4"/>
  <c r="C416" i="4"/>
  <c r="F415" i="4"/>
  <c r="C415" i="4"/>
  <c r="D415" i="4" s="1"/>
  <c r="F414" i="4"/>
  <c r="C414" i="4"/>
  <c r="D414" i="4" s="1"/>
  <c r="F413" i="4"/>
  <c r="C413" i="4"/>
  <c r="D413" i="4" s="1"/>
  <c r="F412" i="4"/>
  <c r="C412" i="4"/>
  <c r="D412" i="4" s="1"/>
  <c r="F411" i="4"/>
  <c r="G411" i="4" s="1"/>
  <c r="C411" i="4"/>
  <c r="D411" i="4" s="1"/>
  <c r="F410" i="4"/>
  <c r="D410" i="4"/>
  <c r="C410" i="4"/>
  <c r="F409" i="4"/>
  <c r="C409" i="4"/>
  <c r="D409" i="4" s="1"/>
  <c r="F408" i="4"/>
  <c r="C408" i="4"/>
  <c r="D408" i="4" s="1"/>
  <c r="F407" i="4"/>
  <c r="C407" i="4"/>
  <c r="D407" i="4" s="1"/>
  <c r="F406" i="4"/>
  <c r="C406" i="4"/>
  <c r="D406" i="4" s="1"/>
  <c r="F405" i="4"/>
  <c r="G405" i="4" s="1"/>
  <c r="C405" i="4"/>
  <c r="D405" i="4" s="1"/>
  <c r="F404" i="4"/>
  <c r="C404" i="4"/>
  <c r="D404" i="4" s="1"/>
  <c r="F403" i="4"/>
  <c r="G403" i="4" s="1"/>
  <c r="C403" i="4"/>
  <c r="D403" i="4" s="1"/>
  <c r="F402" i="4"/>
  <c r="D402" i="4"/>
  <c r="C402" i="4"/>
  <c r="F401" i="4"/>
  <c r="C401" i="4"/>
  <c r="D401" i="4" s="1"/>
  <c r="F400" i="4"/>
  <c r="D400" i="4"/>
  <c r="C400" i="4"/>
  <c r="F399" i="4"/>
  <c r="C399" i="4"/>
  <c r="D399" i="4" s="1"/>
  <c r="F398" i="4"/>
  <c r="C398" i="4"/>
  <c r="D398" i="4" s="1"/>
  <c r="F397" i="4"/>
  <c r="C397" i="4"/>
  <c r="D397" i="4" s="1"/>
  <c r="F396" i="4"/>
  <c r="G396" i="4" s="1"/>
  <c r="C396" i="4"/>
  <c r="D396" i="4" s="1"/>
  <c r="F395" i="4"/>
  <c r="G395" i="4" s="1"/>
  <c r="C395" i="4"/>
  <c r="D395" i="4" s="1"/>
  <c r="F394" i="4"/>
  <c r="D394" i="4"/>
  <c r="C394" i="4"/>
  <c r="F393" i="4"/>
  <c r="C393" i="4"/>
  <c r="D393" i="4" s="1"/>
  <c r="F392" i="4"/>
  <c r="C392" i="4"/>
  <c r="D392" i="4" s="1"/>
  <c r="F391" i="4"/>
  <c r="C391" i="4"/>
  <c r="D391" i="4" s="1"/>
  <c r="F390" i="4"/>
  <c r="C390" i="4"/>
  <c r="D390" i="4" s="1"/>
  <c r="F389" i="4"/>
  <c r="G389" i="4" s="1"/>
  <c r="C389" i="4"/>
  <c r="D389" i="4" s="1"/>
  <c r="F388" i="4"/>
  <c r="C388" i="4"/>
  <c r="D388" i="4" s="1"/>
  <c r="F387" i="4"/>
  <c r="G387" i="4" s="1"/>
  <c r="C387" i="4"/>
  <c r="D387" i="4" s="1"/>
  <c r="F386" i="4"/>
  <c r="D386" i="4"/>
  <c r="C386" i="4"/>
  <c r="F385" i="4"/>
  <c r="C385" i="4"/>
  <c r="D385" i="4" s="1"/>
  <c r="F384" i="4"/>
  <c r="D384" i="4"/>
  <c r="C384" i="4"/>
  <c r="F383" i="4"/>
  <c r="C383" i="4"/>
  <c r="D383" i="4" s="1"/>
  <c r="F382" i="4"/>
  <c r="C382" i="4"/>
  <c r="D382" i="4" s="1"/>
  <c r="F381" i="4"/>
  <c r="G381" i="4" s="1"/>
  <c r="C381" i="4"/>
  <c r="D381" i="4" s="1"/>
  <c r="F380" i="4"/>
  <c r="C380" i="4"/>
  <c r="D380" i="4" s="1"/>
  <c r="F379" i="4"/>
  <c r="G379" i="4" s="1"/>
  <c r="C379" i="4"/>
  <c r="D379" i="4" s="1"/>
  <c r="F378" i="4"/>
  <c r="D378" i="4"/>
  <c r="C378" i="4"/>
  <c r="F377" i="4"/>
  <c r="C377" i="4"/>
  <c r="D377" i="4" s="1"/>
  <c r="F376" i="4"/>
  <c r="D376" i="4"/>
  <c r="C376" i="4"/>
  <c r="F375" i="4"/>
  <c r="C375" i="4"/>
  <c r="D375" i="4" s="1"/>
  <c r="F374" i="4"/>
  <c r="C374" i="4"/>
  <c r="D374" i="4" s="1"/>
  <c r="F373" i="4"/>
  <c r="G373" i="4" s="1"/>
  <c r="C373" i="4"/>
  <c r="D373" i="4" s="1"/>
  <c r="F372" i="4"/>
  <c r="C372" i="4"/>
  <c r="D372" i="4" s="1"/>
  <c r="F371" i="4"/>
  <c r="G371" i="4" s="1"/>
  <c r="C371" i="4"/>
  <c r="D371" i="4" s="1"/>
  <c r="F370" i="4"/>
  <c r="D370" i="4"/>
  <c r="C370" i="4"/>
  <c r="F369" i="4"/>
  <c r="C369" i="4"/>
  <c r="D369" i="4" s="1"/>
  <c r="F368" i="4"/>
  <c r="D368" i="4"/>
  <c r="C368" i="4"/>
  <c r="F367" i="4"/>
  <c r="C367" i="4"/>
  <c r="D367" i="4" s="1"/>
  <c r="F366" i="4"/>
  <c r="C366" i="4"/>
  <c r="D366" i="4" s="1"/>
  <c r="F365" i="4"/>
  <c r="G365" i="4" s="1"/>
  <c r="C365" i="4"/>
  <c r="D365" i="4" s="1"/>
  <c r="F364" i="4"/>
  <c r="C364" i="4"/>
  <c r="D364" i="4" s="1"/>
  <c r="F363" i="4"/>
  <c r="G363" i="4" s="1"/>
  <c r="C363" i="4"/>
  <c r="D363" i="4" s="1"/>
  <c r="F362" i="4"/>
  <c r="D362" i="4"/>
  <c r="C362" i="4"/>
  <c r="F361" i="4"/>
  <c r="C361" i="4"/>
  <c r="D361" i="4" s="1"/>
  <c r="F360" i="4"/>
  <c r="D360" i="4"/>
  <c r="C360" i="4"/>
  <c r="F359" i="4"/>
  <c r="C359" i="4"/>
  <c r="D359" i="4" s="1"/>
  <c r="F358" i="4"/>
  <c r="C358" i="4"/>
  <c r="D358" i="4" s="1"/>
  <c r="F357" i="4"/>
  <c r="G357" i="4" s="1"/>
  <c r="C357" i="4"/>
  <c r="D357" i="4" s="1"/>
  <c r="F356" i="4"/>
  <c r="C356" i="4"/>
  <c r="D356" i="4" s="1"/>
  <c r="F355" i="4"/>
  <c r="G355" i="4" s="1"/>
  <c r="C355" i="4"/>
  <c r="D355" i="4" s="1"/>
  <c r="F354" i="4"/>
  <c r="D354" i="4"/>
  <c r="C354" i="4"/>
  <c r="F353" i="4"/>
  <c r="C353" i="4"/>
  <c r="D353" i="4" s="1"/>
  <c r="F352" i="4"/>
  <c r="D352" i="4"/>
  <c r="C352" i="4"/>
  <c r="F351" i="4"/>
  <c r="C351" i="4"/>
  <c r="D351" i="4" s="1"/>
  <c r="F350" i="4"/>
  <c r="C350" i="4"/>
  <c r="D350" i="4" s="1"/>
  <c r="F349" i="4"/>
  <c r="G349" i="4" s="1"/>
  <c r="C349" i="4"/>
  <c r="D349" i="4" s="1"/>
  <c r="F348" i="4"/>
  <c r="G348" i="4" s="1"/>
  <c r="C348" i="4"/>
  <c r="D348" i="4" s="1"/>
  <c r="F347" i="4"/>
  <c r="G347" i="4" s="1"/>
  <c r="C347" i="4"/>
  <c r="D347" i="4" s="1"/>
  <c r="F346" i="4"/>
  <c r="D346" i="4"/>
  <c r="C346" i="4"/>
  <c r="F345" i="4"/>
  <c r="C345" i="4"/>
  <c r="D345" i="4" s="1"/>
  <c r="F344" i="4"/>
  <c r="C344" i="4"/>
  <c r="D344" i="4" s="1"/>
  <c r="F343" i="4"/>
  <c r="C343" i="4"/>
  <c r="D343" i="4" s="1"/>
  <c r="F342" i="4"/>
  <c r="C342" i="4"/>
  <c r="D342" i="4" s="1"/>
  <c r="F341" i="4"/>
  <c r="G341" i="4" s="1"/>
  <c r="C341" i="4"/>
  <c r="D341" i="4" s="1"/>
  <c r="F340" i="4"/>
  <c r="C340" i="4"/>
  <c r="D340" i="4" s="1"/>
  <c r="F339" i="4"/>
  <c r="G339" i="4" s="1"/>
  <c r="C339" i="4"/>
  <c r="D339" i="4" s="1"/>
  <c r="F338" i="4"/>
  <c r="D338" i="4"/>
  <c r="C338" i="4"/>
  <c r="F337" i="4"/>
  <c r="C337" i="4"/>
  <c r="D337" i="4" s="1"/>
  <c r="F336" i="4"/>
  <c r="D336" i="4"/>
  <c r="C336" i="4"/>
  <c r="F335" i="4"/>
  <c r="C335" i="4"/>
  <c r="D335" i="4" s="1"/>
  <c r="F334" i="4"/>
  <c r="C334" i="4"/>
  <c r="D334" i="4" s="1"/>
  <c r="F333" i="4"/>
  <c r="G333" i="4" s="1"/>
  <c r="C333" i="4"/>
  <c r="D333" i="4" s="1"/>
  <c r="F332" i="4"/>
  <c r="C332" i="4"/>
  <c r="D332" i="4" s="1"/>
  <c r="F331" i="4"/>
  <c r="G331" i="4" s="1"/>
  <c r="C331" i="4"/>
  <c r="D331" i="4" s="1"/>
  <c r="F330" i="4"/>
  <c r="D330" i="4"/>
  <c r="C330" i="4"/>
  <c r="F329" i="4"/>
  <c r="C329" i="4"/>
  <c r="D329" i="4" s="1"/>
  <c r="F328" i="4"/>
  <c r="C328" i="4"/>
  <c r="D328" i="4" s="1"/>
  <c r="F327" i="4"/>
  <c r="C327" i="4"/>
  <c r="D327" i="4" s="1"/>
  <c r="F326" i="4"/>
  <c r="C326" i="4"/>
  <c r="D326" i="4" s="1"/>
  <c r="F325" i="4"/>
  <c r="G325" i="4" s="1"/>
  <c r="C325" i="4"/>
  <c r="D325" i="4" s="1"/>
  <c r="F324" i="4"/>
  <c r="G324" i="4" s="1"/>
  <c r="C324" i="4"/>
  <c r="D324" i="4" s="1"/>
  <c r="F323" i="4"/>
  <c r="C323" i="4"/>
  <c r="D323" i="4" s="1"/>
  <c r="F322" i="4"/>
  <c r="C322" i="4"/>
  <c r="D322" i="4" s="1"/>
  <c r="F321" i="4"/>
  <c r="C321" i="4"/>
  <c r="D321" i="4" s="1"/>
  <c r="F320" i="4"/>
  <c r="C320" i="4"/>
  <c r="D320" i="4" s="1"/>
  <c r="F319" i="4"/>
  <c r="G319" i="4" s="1"/>
  <c r="C319" i="4"/>
  <c r="D319" i="4" s="1"/>
  <c r="F318" i="4"/>
  <c r="C318" i="4"/>
  <c r="D318" i="4" s="1"/>
  <c r="F317" i="4"/>
  <c r="C317" i="4"/>
  <c r="D317" i="4" s="1"/>
  <c r="F316" i="4"/>
  <c r="G316" i="4" s="1"/>
  <c r="C316" i="4"/>
  <c r="D316" i="4" s="1"/>
  <c r="F315" i="4"/>
  <c r="C315" i="4"/>
  <c r="D315" i="4" s="1"/>
  <c r="F314" i="4"/>
  <c r="C314" i="4"/>
  <c r="D314" i="4" s="1"/>
  <c r="F313" i="4"/>
  <c r="C313" i="4"/>
  <c r="D313" i="4" s="1"/>
  <c r="F312" i="4"/>
  <c r="C312" i="4"/>
  <c r="D312" i="4" s="1"/>
  <c r="F311" i="4"/>
  <c r="G311" i="4" s="1"/>
  <c r="C311" i="4"/>
  <c r="D311" i="4" s="1"/>
  <c r="F310" i="4"/>
  <c r="C310" i="4"/>
  <c r="D310" i="4" s="1"/>
  <c r="F309" i="4"/>
  <c r="C309" i="4"/>
  <c r="D309" i="4" s="1"/>
  <c r="F308" i="4"/>
  <c r="G308" i="4" s="1"/>
  <c r="C308" i="4"/>
  <c r="D308" i="4" s="1"/>
  <c r="F307" i="4"/>
  <c r="C307" i="4"/>
  <c r="D307" i="4" s="1"/>
  <c r="F306" i="4"/>
  <c r="C306" i="4"/>
  <c r="D306" i="4" s="1"/>
  <c r="F305" i="4"/>
  <c r="C305" i="4"/>
  <c r="D305" i="4" s="1"/>
  <c r="F304" i="4"/>
  <c r="C304" i="4"/>
  <c r="D304" i="4" s="1"/>
  <c r="F303" i="4"/>
  <c r="G303" i="4" s="1"/>
  <c r="C303" i="4"/>
  <c r="D303" i="4" s="1"/>
  <c r="F302" i="4"/>
  <c r="C302" i="4"/>
  <c r="D302" i="4" s="1"/>
  <c r="F301" i="4"/>
  <c r="C301" i="4"/>
  <c r="D301" i="4" s="1"/>
  <c r="F300" i="4"/>
  <c r="G300" i="4" s="1"/>
  <c r="C300" i="4"/>
  <c r="D300" i="4" s="1"/>
  <c r="F299" i="4"/>
  <c r="C299" i="4"/>
  <c r="D299" i="4" s="1"/>
  <c r="F298" i="4"/>
  <c r="C298" i="4"/>
  <c r="D298" i="4" s="1"/>
  <c r="F297" i="4"/>
  <c r="C297" i="4"/>
  <c r="D297" i="4" s="1"/>
  <c r="F296" i="4"/>
  <c r="C296" i="4"/>
  <c r="D296" i="4" s="1"/>
  <c r="F295" i="4"/>
  <c r="G295" i="4" s="1"/>
  <c r="C295" i="4"/>
  <c r="D295" i="4" s="1"/>
  <c r="F294" i="4"/>
  <c r="C294" i="4"/>
  <c r="D294" i="4" s="1"/>
  <c r="F293" i="4"/>
  <c r="C293" i="4"/>
  <c r="D293" i="4" s="1"/>
  <c r="F292" i="4"/>
  <c r="G292" i="4" s="1"/>
  <c r="C292" i="4"/>
  <c r="D292" i="4" s="1"/>
  <c r="F291" i="4"/>
  <c r="C291" i="4"/>
  <c r="D291" i="4" s="1"/>
  <c r="F290" i="4"/>
  <c r="C290" i="4"/>
  <c r="D290" i="4" s="1"/>
  <c r="F289" i="4"/>
  <c r="C289" i="4"/>
  <c r="D289" i="4" s="1"/>
  <c r="F288" i="4"/>
  <c r="C288" i="4"/>
  <c r="D288" i="4" s="1"/>
  <c r="F287" i="4"/>
  <c r="G287" i="4" s="1"/>
  <c r="C287" i="4"/>
  <c r="D287" i="4" s="1"/>
  <c r="F286" i="4"/>
  <c r="C286" i="4"/>
  <c r="D286" i="4" s="1"/>
  <c r="F285" i="4"/>
  <c r="C285" i="4"/>
  <c r="D285" i="4" s="1"/>
  <c r="F284" i="4"/>
  <c r="G284" i="4" s="1"/>
  <c r="C284" i="4"/>
  <c r="D284" i="4" s="1"/>
  <c r="F283" i="4"/>
  <c r="C283" i="4"/>
  <c r="D283" i="4" s="1"/>
  <c r="F282" i="4"/>
  <c r="C282" i="4"/>
  <c r="D282" i="4" s="1"/>
  <c r="F281" i="4"/>
  <c r="C281" i="4"/>
  <c r="D281" i="4" s="1"/>
  <c r="F280" i="4"/>
  <c r="C280" i="4"/>
  <c r="D280" i="4" s="1"/>
  <c r="F279" i="4"/>
  <c r="G279" i="4" s="1"/>
  <c r="C279" i="4"/>
  <c r="D279" i="4" s="1"/>
  <c r="F278" i="4"/>
  <c r="C278" i="4"/>
  <c r="D278" i="4" s="1"/>
  <c r="F277" i="4"/>
  <c r="C277" i="4"/>
  <c r="D277" i="4" s="1"/>
  <c r="F276" i="4"/>
  <c r="G276" i="4" s="1"/>
  <c r="C276" i="4"/>
  <c r="D276" i="4" s="1"/>
  <c r="F275" i="4"/>
  <c r="C275" i="4"/>
  <c r="D275" i="4" s="1"/>
  <c r="F274" i="4"/>
  <c r="C274" i="4"/>
  <c r="D274" i="4" s="1"/>
  <c r="F273" i="4"/>
  <c r="C273" i="4"/>
  <c r="D273" i="4" s="1"/>
  <c r="F272" i="4"/>
  <c r="C272" i="4"/>
  <c r="D272" i="4" s="1"/>
  <c r="F271" i="4"/>
  <c r="G271" i="4" s="1"/>
  <c r="C271" i="4"/>
  <c r="D271" i="4" s="1"/>
  <c r="F270" i="4"/>
  <c r="C270" i="4"/>
  <c r="D270" i="4" s="1"/>
  <c r="F269" i="4"/>
  <c r="C269" i="4"/>
  <c r="D269" i="4" s="1"/>
  <c r="F268" i="4"/>
  <c r="G268" i="4" s="1"/>
  <c r="C268" i="4"/>
  <c r="D268" i="4" s="1"/>
  <c r="F267" i="4"/>
  <c r="C267" i="4"/>
  <c r="D267" i="4" s="1"/>
  <c r="F266" i="4"/>
  <c r="C266" i="4"/>
  <c r="D266" i="4" s="1"/>
  <c r="F265" i="4"/>
  <c r="C265" i="4"/>
  <c r="D265" i="4" s="1"/>
  <c r="F264" i="4"/>
  <c r="C264" i="4"/>
  <c r="D264" i="4" s="1"/>
  <c r="F263" i="4"/>
  <c r="G263" i="4" s="1"/>
  <c r="C263" i="4"/>
  <c r="D263" i="4" s="1"/>
  <c r="F262" i="4"/>
  <c r="C262" i="4"/>
  <c r="D262" i="4" s="1"/>
  <c r="F261" i="4"/>
  <c r="C261" i="4"/>
  <c r="D261" i="4" s="1"/>
  <c r="F260" i="4"/>
  <c r="G260" i="4" s="1"/>
  <c r="C260" i="4"/>
  <c r="D260" i="4" s="1"/>
  <c r="F259" i="4"/>
  <c r="C259" i="4"/>
  <c r="D259" i="4" s="1"/>
  <c r="F258" i="4"/>
  <c r="C258" i="4"/>
  <c r="D258" i="4" s="1"/>
  <c r="F257" i="4"/>
  <c r="C257" i="4"/>
  <c r="D257" i="4" s="1"/>
  <c r="F256" i="4"/>
  <c r="C256" i="4"/>
  <c r="D256" i="4" s="1"/>
  <c r="F255" i="4"/>
  <c r="G255" i="4" s="1"/>
  <c r="C255" i="4"/>
  <c r="D255" i="4" s="1"/>
  <c r="F254" i="4"/>
  <c r="C254" i="4"/>
  <c r="D254" i="4" s="1"/>
  <c r="F253" i="4"/>
  <c r="C253" i="4"/>
  <c r="D253" i="4" s="1"/>
  <c r="F252" i="4"/>
  <c r="G252" i="4" s="1"/>
  <c r="C252" i="4"/>
  <c r="D252" i="4" s="1"/>
  <c r="F251" i="4"/>
  <c r="C251" i="4"/>
  <c r="D251" i="4" s="1"/>
  <c r="F250" i="4"/>
  <c r="C250" i="4"/>
  <c r="D250" i="4" s="1"/>
  <c r="F249" i="4"/>
  <c r="C249" i="4"/>
  <c r="D249" i="4" s="1"/>
  <c r="F248" i="4"/>
  <c r="C248" i="4"/>
  <c r="D248" i="4" s="1"/>
  <c r="F247" i="4"/>
  <c r="G247" i="4" s="1"/>
  <c r="C247" i="4"/>
  <c r="D247" i="4" s="1"/>
  <c r="F246" i="4"/>
  <c r="C246" i="4"/>
  <c r="D246" i="4" s="1"/>
  <c r="F245" i="4"/>
  <c r="C245" i="4"/>
  <c r="D245" i="4" s="1"/>
  <c r="F244" i="4"/>
  <c r="G244" i="4" s="1"/>
  <c r="C244" i="4"/>
  <c r="D244" i="4" s="1"/>
  <c r="F243" i="4"/>
  <c r="C243" i="4"/>
  <c r="D243" i="4" s="1"/>
  <c r="F242" i="4"/>
  <c r="C242" i="4"/>
  <c r="D242" i="4" s="1"/>
  <c r="F241" i="4"/>
  <c r="C241" i="4"/>
  <c r="D241" i="4" s="1"/>
  <c r="F240" i="4"/>
  <c r="C240" i="4"/>
  <c r="D240" i="4" s="1"/>
  <c r="F239" i="4"/>
  <c r="G239" i="4" s="1"/>
  <c r="C239" i="4"/>
  <c r="D239" i="4" s="1"/>
  <c r="F238" i="4"/>
  <c r="C238" i="4"/>
  <c r="D238" i="4" s="1"/>
  <c r="F237" i="4"/>
  <c r="C237" i="4"/>
  <c r="D237" i="4" s="1"/>
  <c r="F236" i="4"/>
  <c r="G236" i="4" s="1"/>
  <c r="C236" i="4"/>
  <c r="D236" i="4" s="1"/>
  <c r="F235" i="4"/>
  <c r="C235" i="4"/>
  <c r="D235" i="4" s="1"/>
  <c r="F234" i="4"/>
  <c r="C234" i="4"/>
  <c r="D234" i="4" s="1"/>
  <c r="F233" i="4"/>
  <c r="C233" i="4"/>
  <c r="D233" i="4" s="1"/>
  <c r="F232" i="4"/>
  <c r="C232" i="4"/>
  <c r="D232" i="4" s="1"/>
  <c r="F231" i="4"/>
  <c r="G231" i="4" s="1"/>
  <c r="C231" i="4"/>
  <c r="D231" i="4" s="1"/>
  <c r="F230" i="4"/>
  <c r="C230" i="4"/>
  <c r="D230" i="4" s="1"/>
  <c r="F229" i="4"/>
  <c r="C229" i="4"/>
  <c r="D229" i="4" s="1"/>
  <c r="F228" i="4"/>
  <c r="G228" i="4" s="1"/>
  <c r="C228" i="4"/>
  <c r="D228" i="4" s="1"/>
  <c r="F227" i="4"/>
  <c r="C227" i="4"/>
  <c r="D227" i="4" s="1"/>
  <c r="F226" i="4"/>
  <c r="C226" i="4"/>
  <c r="D226" i="4" s="1"/>
  <c r="F225" i="4"/>
  <c r="C225" i="4"/>
  <c r="D225" i="4" s="1"/>
  <c r="F224" i="4"/>
  <c r="C224" i="4"/>
  <c r="D224" i="4" s="1"/>
  <c r="F223" i="4"/>
  <c r="G223" i="4" s="1"/>
  <c r="C223" i="4"/>
  <c r="D223" i="4" s="1"/>
  <c r="F222" i="4"/>
  <c r="C222" i="4"/>
  <c r="D222" i="4" s="1"/>
  <c r="F221" i="4"/>
  <c r="C221" i="4"/>
  <c r="D221" i="4" s="1"/>
  <c r="F220" i="4"/>
  <c r="G220" i="4" s="1"/>
  <c r="C220" i="4"/>
  <c r="D220" i="4" s="1"/>
  <c r="F219" i="4"/>
  <c r="C219" i="4"/>
  <c r="D219" i="4" s="1"/>
  <c r="F218" i="4"/>
  <c r="C218" i="4"/>
  <c r="D218" i="4" s="1"/>
  <c r="F217" i="4"/>
  <c r="C217" i="4"/>
  <c r="D217" i="4" s="1"/>
  <c r="F216" i="4"/>
  <c r="C216" i="4"/>
  <c r="D216" i="4" s="1"/>
  <c r="F215" i="4"/>
  <c r="G215" i="4" s="1"/>
  <c r="C215" i="4"/>
  <c r="D215" i="4" s="1"/>
  <c r="F214" i="4"/>
  <c r="C214" i="4"/>
  <c r="D214" i="4" s="1"/>
  <c r="F213" i="4"/>
  <c r="C213" i="4"/>
  <c r="D213" i="4" s="1"/>
  <c r="F212" i="4"/>
  <c r="G212" i="4" s="1"/>
  <c r="C212" i="4"/>
  <c r="D212" i="4" s="1"/>
  <c r="F211" i="4"/>
  <c r="C211" i="4"/>
  <c r="D211" i="4" s="1"/>
  <c r="F210" i="4"/>
  <c r="C210" i="4"/>
  <c r="D210" i="4" s="1"/>
  <c r="F209" i="4"/>
  <c r="C209" i="4"/>
  <c r="D209" i="4" s="1"/>
  <c r="F208" i="4"/>
  <c r="C208" i="4"/>
  <c r="D208" i="4" s="1"/>
  <c r="F207" i="4"/>
  <c r="G207" i="4" s="1"/>
  <c r="C207" i="4"/>
  <c r="D207" i="4" s="1"/>
  <c r="F206" i="4"/>
  <c r="C206" i="4"/>
  <c r="D206" i="4" s="1"/>
  <c r="F205" i="4"/>
  <c r="C205" i="4"/>
  <c r="D205" i="4" s="1"/>
  <c r="F204" i="4"/>
  <c r="G204" i="4" s="1"/>
  <c r="C204" i="4"/>
  <c r="D204" i="4" s="1"/>
  <c r="F203" i="4"/>
  <c r="C203" i="4"/>
  <c r="D203" i="4" s="1"/>
  <c r="F202" i="4"/>
  <c r="C202" i="4"/>
  <c r="D202" i="4" s="1"/>
  <c r="F201" i="4"/>
  <c r="C201" i="4"/>
  <c r="D201" i="4" s="1"/>
  <c r="F200" i="4"/>
  <c r="C200" i="4"/>
  <c r="D200" i="4" s="1"/>
  <c r="F199" i="4"/>
  <c r="G199" i="4" s="1"/>
  <c r="C199" i="4"/>
  <c r="D199" i="4" s="1"/>
  <c r="F198" i="4"/>
  <c r="C198" i="4"/>
  <c r="D198" i="4" s="1"/>
  <c r="F197" i="4"/>
  <c r="C197" i="4"/>
  <c r="D197" i="4" s="1"/>
  <c r="F196" i="4"/>
  <c r="G196" i="4" s="1"/>
  <c r="C196" i="4"/>
  <c r="D196" i="4" s="1"/>
  <c r="F195" i="4"/>
  <c r="C195" i="4"/>
  <c r="D195" i="4" s="1"/>
  <c r="F194" i="4"/>
  <c r="C194" i="4"/>
  <c r="D194" i="4" s="1"/>
  <c r="F193" i="4"/>
  <c r="C193" i="4"/>
  <c r="D193" i="4" s="1"/>
  <c r="F192" i="4"/>
  <c r="C192" i="4"/>
  <c r="D192" i="4" s="1"/>
  <c r="F191" i="4"/>
  <c r="G191" i="4" s="1"/>
  <c r="C191" i="4"/>
  <c r="D191" i="4" s="1"/>
  <c r="F190" i="4"/>
  <c r="C190" i="4"/>
  <c r="D190" i="4" s="1"/>
  <c r="F189" i="4"/>
  <c r="C189" i="4"/>
  <c r="D189" i="4" s="1"/>
  <c r="F188" i="4"/>
  <c r="G188" i="4" s="1"/>
  <c r="C188" i="4"/>
  <c r="D188" i="4" s="1"/>
  <c r="F187" i="4"/>
  <c r="C187" i="4"/>
  <c r="D187" i="4" s="1"/>
  <c r="F186" i="4"/>
  <c r="C186" i="4"/>
  <c r="D186" i="4" s="1"/>
  <c r="F185" i="4"/>
  <c r="C185" i="4"/>
  <c r="D185" i="4" s="1"/>
  <c r="F184" i="4"/>
  <c r="C184" i="4"/>
  <c r="D184" i="4" s="1"/>
  <c r="F183" i="4"/>
  <c r="G183" i="4" s="1"/>
  <c r="C183" i="4"/>
  <c r="D183" i="4" s="1"/>
  <c r="F182" i="4"/>
  <c r="C182" i="4"/>
  <c r="D182" i="4" s="1"/>
  <c r="F181" i="4"/>
  <c r="C181" i="4"/>
  <c r="D181" i="4" s="1"/>
  <c r="F180" i="4"/>
  <c r="G180" i="4" s="1"/>
  <c r="C180" i="4"/>
  <c r="D180" i="4" s="1"/>
  <c r="F179" i="4"/>
  <c r="C179" i="4"/>
  <c r="D179" i="4" s="1"/>
  <c r="F178" i="4"/>
  <c r="C178" i="4"/>
  <c r="D178" i="4" s="1"/>
  <c r="F177" i="4"/>
  <c r="C177" i="4"/>
  <c r="D177" i="4" s="1"/>
  <c r="F176" i="4"/>
  <c r="C176" i="4"/>
  <c r="D176" i="4" s="1"/>
  <c r="F175" i="4"/>
  <c r="G175" i="4" s="1"/>
  <c r="C175" i="4"/>
  <c r="D175" i="4" s="1"/>
  <c r="F174" i="4"/>
  <c r="C174" i="4"/>
  <c r="D174" i="4" s="1"/>
  <c r="F173" i="4"/>
  <c r="C173" i="4"/>
  <c r="D173" i="4" s="1"/>
  <c r="F172" i="4"/>
  <c r="G172" i="4" s="1"/>
  <c r="C172" i="4"/>
  <c r="D172" i="4" s="1"/>
  <c r="F171" i="4"/>
  <c r="C171" i="4"/>
  <c r="D171" i="4" s="1"/>
  <c r="F170" i="4"/>
  <c r="C170" i="4"/>
  <c r="D170" i="4" s="1"/>
  <c r="F169" i="4"/>
  <c r="C169" i="4"/>
  <c r="D169" i="4" s="1"/>
  <c r="F168" i="4"/>
  <c r="C168" i="4"/>
  <c r="D168" i="4" s="1"/>
  <c r="F167" i="4"/>
  <c r="G167" i="4" s="1"/>
  <c r="C167" i="4"/>
  <c r="D167" i="4" s="1"/>
  <c r="F166" i="4"/>
  <c r="C166" i="4"/>
  <c r="D166" i="4" s="1"/>
  <c r="F165" i="4"/>
  <c r="C165" i="4"/>
  <c r="D165" i="4" s="1"/>
  <c r="F164" i="4"/>
  <c r="G164" i="4" s="1"/>
  <c r="C164" i="4"/>
  <c r="D164" i="4" s="1"/>
  <c r="F163" i="4"/>
  <c r="C163" i="4"/>
  <c r="D163" i="4" s="1"/>
  <c r="F162" i="4"/>
  <c r="C162" i="4"/>
  <c r="D162" i="4" s="1"/>
  <c r="F161" i="4"/>
  <c r="C161" i="4"/>
  <c r="D161" i="4" s="1"/>
  <c r="F160" i="4"/>
  <c r="C160" i="4"/>
  <c r="D160" i="4" s="1"/>
  <c r="F159" i="4"/>
  <c r="G159" i="4" s="1"/>
  <c r="C159" i="4"/>
  <c r="D159" i="4" s="1"/>
  <c r="F158" i="4"/>
  <c r="C158" i="4"/>
  <c r="D158" i="4" s="1"/>
  <c r="F157" i="4"/>
  <c r="C157" i="4"/>
  <c r="D157" i="4" s="1"/>
  <c r="F156" i="4"/>
  <c r="G156" i="4" s="1"/>
  <c r="C156" i="4"/>
  <c r="D156" i="4" s="1"/>
  <c r="F155" i="4"/>
  <c r="C155" i="4"/>
  <c r="D155" i="4" s="1"/>
  <c r="F154" i="4"/>
  <c r="C154" i="4"/>
  <c r="D154" i="4" s="1"/>
  <c r="F153" i="4"/>
  <c r="C153" i="4"/>
  <c r="D153" i="4" s="1"/>
  <c r="F152" i="4"/>
  <c r="C152" i="4"/>
  <c r="D152" i="4" s="1"/>
  <c r="F151" i="4"/>
  <c r="G151" i="4" s="1"/>
  <c r="C151" i="4"/>
  <c r="D151" i="4" s="1"/>
  <c r="F150" i="4"/>
  <c r="C150" i="4"/>
  <c r="D150" i="4" s="1"/>
  <c r="F149" i="4"/>
  <c r="C149" i="4"/>
  <c r="D149" i="4" s="1"/>
  <c r="F148" i="4"/>
  <c r="G148" i="4" s="1"/>
  <c r="C148" i="4"/>
  <c r="D148" i="4" s="1"/>
  <c r="F147" i="4"/>
  <c r="C147" i="4"/>
  <c r="D147" i="4" s="1"/>
  <c r="F146" i="4"/>
  <c r="C146" i="4"/>
  <c r="D146" i="4" s="1"/>
  <c r="F145" i="4"/>
  <c r="C145" i="4"/>
  <c r="D145" i="4" s="1"/>
  <c r="F144" i="4"/>
  <c r="C144" i="4"/>
  <c r="D144" i="4" s="1"/>
  <c r="F143" i="4"/>
  <c r="G143" i="4" s="1"/>
  <c r="C143" i="4"/>
  <c r="D143" i="4" s="1"/>
  <c r="F142" i="4"/>
  <c r="C142" i="4"/>
  <c r="D142" i="4" s="1"/>
  <c r="F141" i="4"/>
  <c r="C141" i="4"/>
  <c r="D141" i="4" s="1"/>
  <c r="F140" i="4"/>
  <c r="G140" i="4" s="1"/>
  <c r="C140" i="4"/>
  <c r="D140" i="4" s="1"/>
  <c r="F139" i="4"/>
  <c r="C139" i="4"/>
  <c r="D139" i="4" s="1"/>
  <c r="F138" i="4"/>
  <c r="C138" i="4"/>
  <c r="D138" i="4" s="1"/>
  <c r="F137" i="4"/>
  <c r="C137" i="4"/>
  <c r="D137" i="4" s="1"/>
  <c r="F136" i="4"/>
  <c r="C136" i="4"/>
  <c r="D136" i="4" s="1"/>
  <c r="F135" i="4"/>
  <c r="G135" i="4" s="1"/>
  <c r="C135" i="4"/>
  <c r="D135" i="4" s="1"/>
  <c r="F134" i="4"/>
  <c r="C134" i="4"/>
  <c r="D134" i="4" s="1"/>
  <c r="F133" i="4"/>
  <c r="C133" i="4"/>
  <c r="D133" i="4" s="1"/>
  <c r="F132" i="4"/>
  <c r="C132" i="4"/>
  <c r="D132" i="4" s="1"/>
  <c r="F131" i="4"/>
  <c r="C131" i="4"/>
  <c r="D131" i="4" s="1"/>
  <c r="F130" i="4"/>
  <c r="C130" i="4"/>
  <c r="D130" i="4" s="1"/>
  <c r="F129" i="4"/>
  <c r="C129" i="4"/>
  <c r="D129" i="4" s="1"/>
  <c r="F128" i="4"/>
  <c r="D128" i="4"/>
  <c r="C128" i="4"/>
  <c r="F127" i="4"/>
  <c r="C127" i="4"/>
  <c r="D127" i="4" s="1"/>
  <c r="F126" i="4"/>
  <c r="C126" i="4"/>
  <c r="D126" i="4" s="1"/>
  <c r="F125" i="4"/>
  <c r="C125" i="4"/>
  <c r="D125" i="4" s="1"/>
  <c r="F124" i="4"/>
  <c r="C124" i="4"/>
  <c r="D124" i="4" s="1"/>
  <c r="F123" i="4"/>
  <c r="G123" i="4" s="1"/>
  <c r="C123" i="4"/>
  <c r="D123" i="4" s="1"/>
  <c r="F122" i="4"/>
  <c r="D122" i="4"/>
  <c r="C122" i="4"/>
  <c r="F121" i="4"/>
  <c r="G121" i="4" s="1"/>
  <c r="C121" i="4"/>
  <c r="D121" i="4" s="1"/>
  <c r="F120" i="4"/>
  <c r="C120" i="4"/>
  <c r="D120" i="4" s="1"/>
  <c r="F119" i="4"/>
  <c r="C119" i="4"/>
  <c r="D119" i="4" s="1"/>
  <c r="F118" i="4"/>
  <c r="C118" i="4"/>
  <c r="D118" i="4" s="1"/>
  <c r="F117" i="4"/>
  <c r="C117" i="4"/>
  <c r="D117" i="4" s="1"/>
  <c r="F116" i="4"/>
  <c r="C116" i="4"/>
  <c r="D116" i="4" s="1"/>
  <c r="F115" i="4"/>
  <c r="C115" i="4"/>
  <c r="D115" i="4" s="1"/>
  <c r="F114" i="4"/>
  <c r="C114" i="4"/>
  <c r="D114" i="4" s="1"/>
  <c r="F113" i="4"/>
  <c r="C113" i="4"/>
  <c r="D113" i="4" s="1"/>
  <c r="F112" i="4"/>
  <c r="D112" i="4"/>
  <c r="C112" i="4"/>
  <c r="F111" i="4"/>
  <c r="C111" i="4"/>
  <c r="D111" i="4" s="1"/>
  <c r="F110" i="4"/>
  <c r="C110" i="4"/>
  <c r="D110" i="4" s="1"/>
  <c r="F109" i="4"/>
  <c r="C109" i="4"/>
  <c r="D109" i="4" s="1"/>
  <c r="F108" i="4"/>
  <c r="C108" i="4"/>
  <c r="D108" i="4" s="1"/>
  <c r="F107" i="4"/>
  <c r="G107" i="4" s="1"/>
  <c r="C107" i="4"/>
  <c r="D107" i="4" s="1"/>
  <c r="F106" i="4"/>
  <c r="D106" i="4"/>
  <c r="C106" i="4"/>
  <c r="F105" i="4"/>
  <c r="G105" i="4" s="1"/>
  <c r="C105" i="4"/>
  <c r="D105" i="4" s="1"/>
  <c r="F104" i="4"/>
  <c r="C104" i="4"/>
  <c r="D104" i="4" s="1"/>
  <c r="F103" i="4"/>
  <c r="C103" i="4"/>
  <c r="D103" i="4" s="1"/>
  <c r="F102" i="4"/>
  <c r="C102" i="4"/>
  <c r="D102" i="4" s="1"/>
  <c r="F101" i="4"/>
  <c r="C101" i="4"/>
  <c r="D101" i="4" s="1"/>
  <c r="F100" i="4"/>
  <c r="C100" i="4"/>
  <c r="D100" i="4" s="1"/>
  <c r="F99" i="4"/>
  <c r="C99" i="4"/>
  <c r="D99" i="4" s="1"/>
  <c r="F98" i="4"/>
  <c r="C98" i="4"/>
  <c r="D98" i="4" s="1"/>
  <c r="F97" i="4"/>
  <c r="C97" i="4"/>
  <c r="D97" i="4" s="1"/>
  <c r="F96" i="4"/>
  <c r="D96" i="4"/>
  <c r="C96" i="4"/>
  <c r="F95" i="4"/>
  <c r="C95" i="4"/>
  <c r="D95" i="4" s="1"/>
  <c r="F94" i="4"/>
  <c r="C94" i="4"/>
  <c r="D94" i="4" s="1"/>
  <c r="F93" i="4"/>
  <c r="C93" i="4"/>
  <c r="D93" i="4" s="1"/>
  <c r="F92" i="4"/>
  <c r="C92" i="4"/>
  <c r="D92" i="4" s="1"/>
  <c r="F91" i="4"/>
  <c r="G91" i="4" s="1"/>
  <c r="C91" i="4"/>
  <c r="D91" i="4" s="1"/>
  <c r="F90" i="4"/>
  <c r="C90" i="4"/>
  <c r="D90" i="4" s="1"/>
  <c r="F89" i="4"/>
  <c r="G89" i="4" s="1"/>
  <c r="C89" i="4"/>
  <c r="D89" i="4" s="1"/>
  <c r="F88" i="4"/>
  <c r="C88" i="4"/>
  <c r="D88" i="4" s="1"/>
  <c r="F87" i="4"/>
  <c r="C87" i="4"/>
  <c r="D87" i="4" s="1"/>
  <c r="F86" i="4"/>
  <c r="C86" i="4"/>
  <c r="D86" i="4" s="1"/>
  <c r="F85" i="4"/>
  <c r="C85" i="4"/>
  <c r="D85" i="4" s="1"/>
  <c r="F84" i="4"/>
  <c r="C84" i="4"/>
  <c r="D84" i="4" s="1"/>
  <c r="F83" i="4"/>
  <c r="C83" i="4"/>
  <c r="D83" i="4" s="1"/>
  <c r="F82" i="4"/>
  <c r="C82" i="4"/>
  <c r="D82" i="4" s="1"/>
  <c r="F81" i="4"/>
  <c r="C81" i="4"/>
  <c r="D81" i="4" s="1"/>
  <c r="F80" i="4"/>
  <c r="D80" i="4"/>
  <c r="C80" i="4"/>
  <c r="F79" i="4"/>
  <c r="C79" i="4"/>
  <c r="D79" i="4" s="1"/>
  <c r="F78" i="4"/>
  <c r="C78" i="4"/>
  <c r="D78" i="4" s="1"/>
  <c r="F77" i="4"/>
  <c r="C77" i="4"/>
  <c r="D77" i="4" s="1"/>
  <c r="F76" i="4"/>
  <c r="C76" i="4"/>
  <c r="D76" i="4" s="1"/>
  <c r="F75" i="4"/>
  <c r="G75" i="4" s="1"/>
  <c r="C75" i="4"/>
  <c r="D75" i="4" s="1"/>
  <c r="F74" i="4"/>
  <c r="C74" i="4"/>
  <c r="D74" i="4" s="1"/>
  <c r="F73" i="4"/>
  <c r="G73" i="4" s="1"/>
  <c r="C73" i="4"/>
  <c r="D73" i="4" s="1"/>
  <c r="F72" i="4"/>
  <c r="C72" i="4"/>
  <c r="D72" i="4" s="1"/>
  <c r="F71" i="4"/>
  <c r="C71" i="4"/>
  <c r="D71" i="4" s="1"/>
  <c r="F70" i="4"/>
  <c r="D70" i="4"/>
  <c r="C70" i="4"/>
  <c r="F69" i="4"/>
  <c r="C69" i="4"/>
  <c r="D69" i="4" s="1"/>
  <c r="F68" i="4"/>
  <c r="C68" i="4"/>
  <c r="D68" i="4" s="1"/>
  <c r="F67" i="4"/>
  <c r="C67" i="4"/>
  <c r="D67" i="4" s="1"/>
  <c r="F66" i="4"/>
  <c r="C66" i="4"/>
  <c r="D66" i="4" s="1"/>
  <c r="F65" i="4"/>
  <c r="C65" i="4"/>
  <c r="D65" i="4" s="1"/>
  <c r="F64" i="4"/>
  <c r="D64" i="4"/>
  <c r="C64" i="4"/>
  <c r="F63" i="4"/>
  <c r="C63" i="4"/>
  <c r="D63" i="4" s="1"/>
  <c r="F62" i="4"/>
  <c r="C62" i="4"/>
  <c r="D62" i="4" s="1"/>
  <c r="F61" i="4"/>
  <c r="C61" i="4"/>
  <c r="D61" i="4" s="1"/>
  <c r="F60" i="4"/>
  <c r="C60" i="4"/>
  <c r="D60" i="4" s="1"/>
  <c r="F59" i="4"/>
  <c r="G59" i="4" s="1"/>
  <c r="C59" i="4"/>
  <c r="D59" i="4" s="1"/>
  <c r="F58" i="4"/>
  <c r="C58" i="4"/>
  <c r="D58" i="4" s="1"/>
  <c r="F57" i="4"/>
  <c r="G57" i="4" s="1"/>
  <c r="C57" i="4"/>
  <c r="D57" i="4" s="1"/>
  <c r="F56" i="4"/>
  <c r="C56" i="4"/>
  <c r="D56" i="4" s="1"/>
  <c r="F55" i="4"/>
  <c r="C55" i="4"/>
  <c r="D55" i="4" s="1"/>
  <c r="F54" i="4"/>
  <c r="D54" i="4"/>
  <c r="C54" i="4"/>
  <c r="F53" i="4"/>
  <c r="C53" i="4"/>
  <c r="D53" i="4" s="1"/>
  <c r="F52" i="4"/>
  <c r="D52" i="4"/>
  <c r="C52" i="4"/>
  <c r="F51" i="4"/>
  <c r="C51" i="4"/>
  <c r="D51" i="4" s="1"/>
  <c r="F50" i="4"/>
  <c r="D50" i="4"/>
  <c r="C50" i="4"/>
  <c r="F49" i="4"/>
  <c r="C49" i="4"/>
  <c r="D49" i="4" s="1"/>
  <c r="F48" i="4"/>
  <c r="D48" i="4"/>
  <c r="C48" i="4"/>
  <c r="F47" i="4"/>
  <c r="C47" i="4"/>
  <c r="D47" i="4" s="1"/>
  <c r="F46" i="4"/>
  <c r="D46" i="4"/>
  <c r="C46" i="4"/>
  <c r="F45" i="4"/>
  <c r="C45" i="4"/>
  <c r="D45" i="4" s="1"/>
  <c r="F44" i="4"/>
  <c r="D44" i="4"/>
  <c r="C44" i="4"/>
  <c r="F43" i="4"/>
  <c r="C43" i="4"/>
  <c r="D43" i="4" s="1"/>
  <c r="F42" i="4"/>
  <c r="D42" i="4"/>
  <c r="C42" i="4"/>
  <c r="F41" i="4"/>
  <c r="C41" i="4"/>
  <c r="D41" i="4" s="1"/>
  <c r="F40" i="4"/>
  <c r="D40" i="4"/>
  <c r="C40" i="4"/>
  <c r="F39" i="4"/>
  <c r="C39" i="4"/>
  <c r="D39" i="4" s="1"/>
  <c r="F38" i="4"/>
  <c r="D38" i="4"/>
  <c r="C38" i="4"/>
  <c r="F37" i="4"/>
  <c r="C37" i="4"/>
  <c r="D37" i="4" s="1"/>
  <c r="F36" i="4"/>
  <c r="D36" i="4"/>
  <c r="C36" i="4"/>
  <c r="F35" i="4"/>
  <c r="C35" i="4"/>
  <c r="D35" i="4" s="1"/>
  <c r="F34" i="4"/>
  <c r="D34" i="4"/>
  <c r="C34" i="4"/>
  <c r="F33" i="4"/>
  <c r="C33" i="4"/>
  <c r="D33" i="4" s="1"/>
  <c r="F32" i="4"/>
  <c r="D32" i="4"/>
  <c r="C32" i="4"/>
  <c r="F31" i="4"/>
  <c r="C31" i="4"/>
  <c r="D31" i="4" s="1"/>
  <c r="F30" i="4"/>
  <c r="D30" i="4"/>
  <c r="C30" i="4"/>
  <c r="F29" i="4"/>
  <c r="C29" i="4"/>
  <c r="D29" i="4" s="1"/>
  <c r="F28" i="4"/>
  <c r="D28" i="4"/>
  <c r="C28" i="4"/>
  <c r="F27" i="4"/>
  <c r="C27" i="4"/>
  <c r="D27" i="4" s="1"/>
  <c r="F26" i="4"/>
  <c r="D26" i="4"/>
  <c r="C26" i="4"/>
  <c r="F25" i="4"/>
  <c r="C25" i="4"/>
  <c r="D25" i="4" s="1"/>
  <c r="F24" i="4"/>
  <c r="D24" i="4"/>
  <c r="C24" i="4"/>
  <c r="F23" i="4"/>
  <c r="C23" i="4"/>
  <c r="D23" i="4" s="1"/>
  <c r="F22" i="4"/>
  <c r="D22" i="4"/>
  <c r="C22" i="4"/>
  <c r="F21" i="4"/>
  <c r="C21" i="4"/>
  <c r="D21" i="4" s="1"/>
  <c r="F20" i="4"/>
  <c r="D20" i="4"/>
  <c r="C20" i="4"/>
  <c r="F19" i="4"/>
  <c r="C19" i="4"/>
  <c r="D19" i="4" s="1"/>
  <c r="F18" i="4"/>
  <c r="D18" i="4"/>
  <c r="C18" i="4"/>
  <c r="F17" i="4"/>
  <c r="C17" i="4"/>
  <c r="D17" i="4" s="1"/>
  <c r="F16" i="4"/>
  <c r="D16" i="4"/>
  <c r="C16" i="4"/>
  <c r="F15" i="4"/>
  <c r="C15" i="4"/>
  <c r="D15" i="4" s="1"/>
  <c r="F14" i="4"/>
  <c r="D14" i="4"/>
  <c r="C14" i="4"/>
  <c r="F13" i="4"/>
  <c r="C13" i="4"/>
  <c r="D13" i="4" s="1"/>
  <c r="F12" i="4"/>
  <c r="D12" i="4"/>
  <c r="C12" i="4"/>
  <c r="F11" i="4"/>
  <c r="C11" i="4"/>
  <c r="D11" i="4" s="1"/>
  <c r="G11" i="4" s="1"/>
  <c r="F10" i="4"/>
  <c r="D10" i="4"/>
  <c r="G10" i="4" s="1"/>
  <c r="C10" i="4"/>
  <c r="F9" i="4"/>
  <c r="C9" i="4"/>
  <c r="D9" i="4" s="1"/>
  <c r="G9" i="4" s="1"/>
  <c r="F8" i="4"/>
  <c r="D8" i="4"/>
  <c r="G8" i="4" s="1"/>
  <c r="C8" i="4"/>
  <c r="C7" i="4"/>
  <c r="D7" i="4" s="1"/>
  <c r="C6" i="4"/>
  <c r="D6" i="4" s="1"/>
  <c r="C5" i="4"/>
  <c r="D5" i="4" s="1"/>
  <c r="C4" i="4"/>
  <c r="C3" i="4"/>
  <c r="G570" i="5" l="1"/>
  <c r="G539" i="5"/>
  <c r="G537" i="5"/>
  <c r="G526" i="5"/>
  <c r="G428" i="5"/>
  <c r="G418" i="5"/>
  <c r="G216" i="5"/>
  <c r="G175" i="5"/>
  <c r="G172" i="5"/>
  <c r="G162" i="5"/>
  <c r="G159" i="5"/>
  <c r="G143" i="5"/>
  <c r="G61" i="5"/>
  <c r="G45" i="5"/>
  <c r="G720" i="4"/>
  <c r="G681" i="4"/>
  <c r="G584" i="4"/>
  <c r="G577" i="4"/>
  <c r="G560" i="4"/>
  <c r="G551" i="4"/>
  <c r="G491" i="4"/>
  <c r="G312" i="4"/>
  <c r="G233" i="4"/>
  <c r="G193" i="4"/>
  <c r="G17" i="4"/>
  <c r="G586" i="5"/>
  <c r="G542" i="5"/>
  <c r="G522" i="5"/>
  <c r="G439" i="5"/>
  <c r="G424" i="5"/>
  <c r="G248" i="5"/>
  <c r="G232" i="5"/>
  <c r="G213" i="5"/>
  <c r="G204" i="5"/>
  <c r="G191" i="5"/>
  <c r="G188" i="5"/>
  <c r="G146" i="5"/>
  <c r="G110" i="5"/>
  <c r="G104" i="5"/>
  <c r="G93" i="5"/>
  <c r="G83" i="5"/>
  <c r="G77" i="5"/>
  <c r="G35" i="5"/>
  <c r="G712" i="4"/>
  <c r="G707" i="4"/>
  <c r="G706" i="4"/>
  <c r="G704" i="4"/>
  <c r="G687" i="4"/>
  <c r="G682" i="4"/>
  <c r="G665" i="4"/>
  <c r="G648" i="4"/>
  <c r="G637" i="4"/>
  <c r="G633" i="4"/>
  <c r="G630" i="4"/>
  <c r="G627" i="4"/>
  <c r="G617" i="4"/>
  <c r="G608" i="4"/>
  <c r="G605" i="4"/>
  <c r="G557" i="4"/>
  <c r="G553" i="4"/>
  <c r="G537" i="4"/>
  <c r="G536" i="4"/>
  <c r="G524" i="4"/>
  <c r="G516" i="4"/>
  <c r="G508" i="4"/>
  <c r="G497" i="4"/>
  <c r="G481" i="4"/>
  <c r="G477" i="4"/>
  <c r="G449" i="4"/>
  <c r="G442" i="4"/>
  <c r="G437" i="4"/>
  <c r="G426" i="4"/>
  <c r="G390" i="4"/>
  <c r="G386" i="4"/>
  <c r="G383" i="4"/>
  <c r="G377" i="4"/>
  <c r="G376" i="4"/>
  <c r="G367" i="4"/>
  <c r="G327" i="4"/>
  <c r="G320" i="4"/>
  <c r="G306" i="4"/>
  <c r="G299" i="4"/>
  <c r="G272" i="4"/>
  <c r="G256" i="4"/>
  <c r="G229" i="4"/>
  <c r="G216" i="4"/>
  <c r="G208" i="4"/>
  <c r="G192" i="4"/>
  <c r="G189" i="4"/>
  <c r="G184" i="4"/>
  <c r="G177" i="4"/>
  <c r="G158" i="4"/>
  <c r="G154" i="4"/>
  <c r="G150" i="4"/>
  <c r="G125" i="4"/>
  <c r="G118" i="4"/>
  <c r="G114" i="4"/>
  <c r="G87" i="4"/>
  <c r="G85" i="4"/>
  <c r="G66" i="4"/>
  <c r="G61" i="4"/>
  <c r="G54" i="4"/>
  <c r="G43" i="4"/>
  <c r="G38" i="4"/>
  <c r="G22" i="4"/>
  <c r="G18" i="4"/>
  <c r="G734" i="4"/>
  <c r="G728" i="4"/>
  <c r="G726" i="4"/>
  <c r="G694" i="4"/>
  <c r="G691" i="4"/>
  <c r="G661" i="4"/>
  <c r="G625" i="4"/>
  <c r="G618" i="4"/>
  <c r="G614" i="4"/>
  <c r="G607" i="4"/>
  <c r="G601" i="4"/>
  <c r="G600" i="4"/>
  <c r="G598" i="4"/>
  <c r="G581" i="4"/>
  <c r="G569" i="4"/>
  <c r="G558" i="4"/>
  <c r="G556" i="4"/>
  <c r="G554" i="4"/>
  <c r="G547" i="4"/>
  <c r="G542" i="4"/>
  <c r="G539" i="4"/>
  <c r="G538" i="4"/>
  <c r="G535" i="4"/>
  <c r="G534" i="4"/>
  <c r="G531" i="4"/>
  <c r="G528" i="4"/>
  <c r="G522" i="4"/>
  <c r="G518" i="4"/>
  <c r="G511" i="4"/>
  <c r="G507" i="4"/>
  <c r="G489" i="4"/>
  <c r="G483" i="4"/>
  <c r="G469" i="4"/>
  <c r="G466" i="4"/>
  <c r="G464" i="4"/>
  <c r="G461" i="4"/>
  <c r="G460" i="4"/>
  <c r="G457" i="4"/>
  <c r="G452" i="4"/>
  <c r="G450" i="4"/>
  <c r="G443" i="4"/>
  <c r="G433" i="4"/>
  <c r="G430" i="4"/>
  <c r="G428" i="4"/>
  <c r="G425" i="4"/>
  <c r="G421" i="4"/>
  <c r="G409" i="4"/>
  <c r="G407" i="4"/>
  <c r="G404" i="4"/>
  <c r="G400" i="4"/>
  <c r="G398" i="4"/>
  <c r="G391" i="4"/>
  <c r="G384" i="4"/>
  <c r="G380" i="4"/>
  <c r="G378" i="4"/>
  <c r="G375" i="4"/>
  <c r="G370" i="4"/>
  <c r="G368" i="4"/>
  <c r="G360" i="4"/>
  <c r="G358" i="4"/>
  <c r="G350" i="4"/>
  <c r="G328" i="4"/>
  <c r="G321" i="4"/>
  <c r="G317" i="4"/>
  <c r="G314" i="4"/>
  <c r="G297" i="4"/>
  <c r="G293" i="4"/>
  <c r="G291" i="4"/>
  <c r="G290" i="4"/>
  <c r="G286" i="4"/>
  <c r="G267" i="4"/>
  <c r="G265" i="4"/>
  <c r="G261" i="4"/>
  <c r="G259" i="4"/>
  <c r="G257" i="4"/>
  <c r="G253" i="4"/>
  <c r="G250" i="4"/>
  <c r="G248" i="4"/>
  <c r="G246" i="4"/>
  <c r="G242" i="4"/>
  <c r="G241" i="4"/>
  <c r="G238" i="4"/>
  <c r="G235" i="4"/>
  <c r="G234" i="4"/>
  <c r="G226" i="4"/>
  <c r="G222" i="4"/>
  <c r="G214" i="4"/>
  <c r="G211" i="4"/>
  <c r="G203" i="4"/>
  <c r="G174" i="4"/>
  <c r="G169" i="4"/>
  <c r="G165" i="4"/>
  <c r="G163" i="4"/>
  <c r="G152" i="4"/>
  <c r="G144" i="4"/>
  <c r="G139" i="4"/>
  <c r="G137" i="4"/>
  <c r="G133" i="4"/>
  <c r="G129" i="4"/>
  <c r="G124" i="4"/>
  <c r="G122" i="4"/>
  <c r="G120" i="4"/>
  <c r="G117" i="4"/>
  <c r="G112" i="4"/>
  <c r="G109" i="4"/>
  <c r="G102" i="4"/>
  <c r="G100" i="4"/>
  <c r="G98" i="4"/>
  <c r="G96" i="4"/>
  <c r="G95" i="4"/>
  <c r="G81" i="4"/>
  <c r="G71" i="4"/>
  <c r="G70" i="4"/>
  <c r="G65" i="4"/>
  <c r="G63" i="4"/>
  <c r="G55" i="4"/>
  <c r="G52" i="4"/>
  <c r="G51" i="4"/>
  <c r="G49" i="4"/>
  <c r="G44" i="4"/>
  <c r="G42" i="4"/>
  <c r="G41" i="4"/>
  <c r="G33" i="4"/>
  <c r="G28" i="4"/>
  <c r="G26" i="4"/>
  <c r="G25" i="4"/>
  <c r="G23" i="4"/>
  <c r="G20" i="4"/>
  <c r="G735" i="4"/>
  <c r="G733" i="4"/>
  <c r="G732" i="4"/>
  <c r="G730" i="4"/>
  <c r="G727" i="4"/>
  <c r="G724" i="4"/>
  <c r="G723" i="4"/>
  <c r="G722" i="4"/>
  <c r="G721" i="4"/>
  <c r="G719" i="4"/>
  <c r="G718" i="4"/>
  <c r="G716" i="4"/>
  <c r="G714" i="4"/>
  <c r="G711" i="4"/>
  <c r="G710" i="4"/>
  <c r="G708" i="4"/>
  <c r="G705" i="4"/>
  <c r="G703" i="4"/>
  <c r="G702" i="4"/>
  <c r="G700" i="4"/>
  <c r="G696" i="4"/>
  <c r="G695" i="4"/>
  <c r="G692" i="4"/>
  <c r="G689" i="4"/>
  <c r="G684" i="4"/>
  <c r="G680" i="4"/>
  <c r="G678" i="4"/>
  <c r="G677" i="4"/>
  <c r="G675" i="4"/>
  <c r="G673" i="4"/>
  <c r="G672" i="4"/>
  <c r="G671" i="4"/>
  <c r="G666" i="4"/>
  <c r="G664" i="4"/>
  <c r="G663" i="4"/>
  <c r="G662" i="4"/>
  <c r="G659" i="4"/>
  <c r="G657" i="4"/>
  <c r="G656" i="4"/>
  <c r="G655" i="4"/>
  <c r="G653" i="4"/>
  <c r="G652" i="4"/>
  <c r="G650" i="4"/>
  <c r="G649" i="4"/>
  <c r="G647" i="4"/>
  <c r="G646" i="4"/>
  <c r="G643" i="4"/>
  <c r="G641" i="4"/>
  <c r="G640" i="4"/>
  <c r="G639" i="4"/>
  <c r="G636" i="4"/>
  <c r="G634" i="4"/>
  <c r="G632" i="4"/>
  <c r="G629" i="4"/>
  <c r="G624" i="4"/>
  <c r="G623" i="4"/>
  <c r="G621" i="4"/>
  <c r="G620" i="4"/>
  <c r="G616" i="4"/>
  <c r="G613" i="4"/>
  <c r="G611" i="4"/>
  <c r="G609" i="4"/>
  <c r="G606" i="4"/>
  <c r="G604" i="4"/>
  <c r="G602" i="4"/>
  <c r="G599" i="4"/>
  <c r="G595" i="4"/>
  <c r="G593" i="4"/>
  <c r="G592" i="4"/>
  <c r="G591" i="4"/>
  <c r="G590" i="4"/>
  <c r="G586" i="4"/>
  <c r="G583" i="4"/>
  <c r="G582" i="4"/>
  <c r="G579" i="4"/>
  <c r="G575" i="4"/>
  <c r="G572" i="4"/>
  <c r="G570" i="4"/>
  <c r="G568" i="4"/>
  <c r="G567" i="4"/>
  <c r="G566" i="4"/>
  <c r="G563" i="4"/>
  <c r="G555" i="4"/>
  <c r="G550" i="4"/>
  <c r="G544" i="4"/>
  <c r="G541" i="4"/>
  <c r="G527" i="4"/>
  <c r="G525" i="4"/>
  <c r="G523" i="4"/>
  <c r="G521" i="4"/>
  <c r="G520" i="4"/>
  <c r="G519" i="4"/>
  <c r="G515" i="4"/>
  <c r="G514" i="4"/>
  <c r="G513" i="4"/>
  <c r="G510" i="4"/>
  <c r="G509" i="4"/>
  <c r="G505" i="4"/>
  <c r="G502" i="4"/>
  <c r="G501" i="4"/>
  <c r="G500" i="4"/>
  <c r="G498" i="4"/>
  <c r="G495" i="4"/>
  <c r="G488" i="4"/>
  <c r="G487" i="4"/>
  <c r="G485" i="4"/>
  <c r="G484" i="4"/>
  <c r="G482" i="4"/>
  <c r="G479" i="4"/>
  <c r="G474" i="4"/>
  <c r="G472" i="4"/>
  <c r="G470" i="4"/>
  <c r="G467" i="4"/>
  <c r="G465" i="4"/>
  <c r="G459" i="4"/>
  <c r="G456" i="4"/>
  <c r="G455" i="4"/>
  <c r="G453" i="4"/>
  <c r="G451" i="4"/>
  <c r="G447" i="4"/>
  <c r="G445" i="4"/>
  <c r="G444" i="4"/>
  <c r="G441" i="4"/>
  <c r="G438" i="4"/>
  <c r="G436" i="4"/>
  <c r="G434" i="4"/>
  <c r="G432" i="4"/>
  <c r="G429" i="4"/>
  <c r="G420" i="4"/>
  <c r="G418" i="4"/>
  <c r="G417" i="4"/>
  <c r="G416" i="4"/>
  <c r="G415" i="4"/>
  <c r="G414" i="4"/>
  <c r="G413" i="4"/>
  <c r="G412" i="4"/>
  <c r="G410" i="4"/>
  <c r="G408" i="4"/>
  <c r="G406" i="4"/>
  <c r="G402" i="4"/>
  <c r="G401" i="4"/>
  <c r="G399" i="4"/>
  <c r="G397" i="4"/>
  <c r="G393" i="4"/>
  <c r="G392" i="4"/>
  <c r="G388" i="4"/>
  <c r="G385" i="4"/>
  <c r="G382" i="4"/>
  <c r="G374" i="4"/>
  <c r="G372" i="4"/>
  <c r="G369" i="4"/>
  <c r="G366" i="4"/>
  <c r="G364" i="4"/>
  <c r="G359" i="4"/>
  <c r="G356" i="4"/>
  <c r="G354" i="4"/>
  <c r="G352" i="4"/>
  <c r="G351" i="4"/>
  <c r="G344" i="4"/>
  <c r="G343" i="4"/>
  <c r="G342" i="4"/>
  <c r="G340" i="4"/>
  <c r="G336" i="4"/>
  <c r="G335" i="4"/>
  <c r="G334" i="4"/>
  <c r="G332" i="4"/>
  <c r="G329" i="4"/>
  <c r="G326" i="4"/>
  <c r="G323" i="4"/>
  <c r="G322" i="4"/>
  <c r="G318" i="4"/>
  <c r="G315" i="4"/>
  <c r="G313" i="4"/>
  <c r="G310" i="4"/>
  <c r="G309" i="4"/>
  <c r="G307" i="4"/>
  <c r="G305" i="4"/>
  <c r="G304" i="4"/>
  <c r="G302" i="4"/>
  <c r="G301" i="4"/>
  <c r="G298" i="4"/>
  <c r="G296" i="4"/>
  <c r="G294" i="4"/>
  <c r="G289" i="4"/>
  <c r="G288" i="4"/>
  <c r="G285" i="4"/>
  <c r="G283" i="4"/>
  <c r="G282" i="4"/>
  <c r="G281" i="4"/>
  <c r="G280" i="4"/>
  <c r="G278" i="4"/>
  <c r="G277" i="4"/>
  <c r="G275" i="4"/>
  <c r="G274" i="4"/>
  <c r="G273" i="4"/>
  <c r="G270" i="4"/>
  <c r="G269" i="4"/>
  <c r="G266" i="4"/>
  <c r="G264" i="4"/>
  <c r="G262" i="4"/>
  <c r="G258" i="4"/>
  <c r="G254" i="4"/>
  <c r="G251" i="4"/>
  <c r="G249" i="4"/>
  <c r="G245" i="4"/>
  <c r="G243" i="4"/>
  <c r="G240" i="4"/>
  <c r="G237" i="4"/>
  <c r="G232" i="4"/>
  <c r="G230" i="4"/>
  <c r="G227" i="4"/>
  <c r="G225" i="4"/>
  <c r="G224" i="4"/>
  <c r="G221" i="4"/>
  <c r="G219" i="4"/>
  <c r="G218" i="4"/>
  <c r="G217" i="4"/>
  <c r="G213" i="4"/>
  <c r="G210" i="4"/>
  <c r="G209" i="4"/>
  <c r="G206" i="4"/>
  <c r="G205" i="4"/>
  <c r="G202" i="4"/>
  <c r="G201" i="4"/>
  <c r="G200" i="4"/>
  <c r="G198" i="4"/>
  <c r="G197" i="4"/>
  <c r="G195" i="4"/>
  <c r="G194" i="4"/>
  <c r="G190" i="4"/>
  <c r="G187" i="4"/>
  <c r="G186" i="4"/>
  <c r="G185" i="4"/>
  <c r="G182" i="4"/>
  <c r="G181" i="4"/>
  <c r="G179" i="4"/>
  <c r="G178" i="4"/>
  <c r="G176" i="4"/>
  <c r="G173" i="4"/>
  <c r="G171" i="4"/>
  <c r="G170" i="4"/>
  <c r="G168" i="4"/>
  <c r="G166" i="4"/>
  <c r="G162" i="4"/>
  <c r="G161" i="4"/>
  <c r="G160" i="4"/>
  <c r="G157" i="4"/>
  <c r="G155" i="4"/>
  <c r="G153" i="4"/>
  <c r="G149" i="4"/>
  <c r="G147" i="4"/>
  <c r="G146" i="4"/>
  <c r="G145" i="4"/>
  <c r="G142" i="4"/>
  <c r="G141" i="4"/>
  <c r="G138" i="4"/>
  <c r="G136" i="4"/>
  <c r="G134" i="4"/>
  <c r="G132" i="4"/>
  <c r="G131" i="4"/>
  <c r="G130" i="4"/>
  <c r="G128" i="4"/>
  <c r="G127" i="4"/>
  <c r="G126" i="4"/>
  <c r="G119" i="4"/>
  <c r="G116" i="4"/>
  <c r="G115" i="4"/>
  <c r="G113" i="4"/>
  <c r="G111" i="4"/>
  <c r="G110" i="4"/>
  <c r="G108" i="4"/>
  <c r="G106" i="4"/>
  <c r="G104" i="4"/>
  <c r="G103" i="4"/>
  <c r="G101" i="4"/>
  <c r="G99" i="4"/>
  <c r="G97" i="4"/>
  <c r="G94" i="4"/>
  <c r="G93" i="4"/>
  <c r="G92" i="4"/>
  <c r="G90" i="4"/>
  <c r="G88" i="4"/>
  <c r="G86" i="4"/>
  <c r="G84" i="4"/>
  <c r="G83" i="4"/>
  <c r="G82" i="4"/>
  <c r="G80" i="4"/>
  <c r="G79" i="4"/>
  <c r="G78" i="4"/>
  <c r="G77" i="4"/>
  <c r="G76" i="4"/>
  <c r="G74" i="4"/>
  <c r="G72" i="4"/>
  <c r="G69" i="4"/>
  <c r="G68" i="4"/>
  <c r="G67" i="4"/>
  <c r="G64" i="4"/>
  <c r="G62" i="4"/>
  <c r="G60" i="4"/>
  <c r="G58" i="4"/>
  <c r="G56" i="4"/>
  <c r="G53" i="4"/>
  <c r="G50" i="4"/>
  <c r="G48" i="4"/>
  <c r="G47" i="4"/>
  <c r="G46" i="4"/>
  <c r="G45" i="4"/>
  <c r="G40" i="4"/>
  <c r="G39" i="4"/>
  <c r="G37" i="4"/>
  <c r="G36" i="4"/>
  <c r="G35" i="4"/>
  <c r="G34" i="4"/>
  <c r="G32" i="4"/>
  <c r="G31" i="4"/>
  <c r="G30" i="4"/>
  <c r="G29" i="4"/>
  <c r="G27" i="4"/>
  <c r="G24" i="4"/>
  <c r="G21" i="4"/>
  <c r="G19" i="4"/>
  <c r="G16" i="4"/>
  <c r="G15" i="4"/>
  <c r="G14" i="4"/>
  <c r="G13" i="4"/>
  <c r="G12" i="4"/>
  <c r="G709" i="5"/>
  <c r="G701" i="5"/>
  <c r="G693" i="5"/>
  <c r="G685" i="5"/>
  <c r="G681" i="5"/>
  <c r="G663" i="5"/>
  <c r="G656" i="5"/>
  <c r="G589" i="5"/>
  <c r="G588" i="5"/>
  <c r="G554" i="5"/>
  <c r="G505" i="5"/>
  <c r="G490" i="5"/>
  <c r="G458" i="5"/>
  <c r="G438" i="5"/>
  <c r="G425" i="5"/>
  <c r="G417" i="5"/>
  <c r="G329" i="5"/>
  <c r="G308" i="5"/>
  <c r="G300" i="5"/>
  <c r="G296" i="5"/>
  <c r="G292" i="5"/>
  <c r="G284" i="5"/>
  <c r="G280" i="5"/>
  <c r="G276" i="5"/>
  <c r="G272" i="5"/>
  <c r="G268" i="5"/>
  <c r="G264" i="5"/>
  <c r="G260" i="5"/>
  <c r="G254" i="5"/>
  <c r="G251" i="5"/>
  <c r="G246" i="5"/>
  <c r="G245" i="5"/>
  <c r="G243" i="5"/>
  <c r="G238" i="5"/>
  <c r="G235" i="5"/>
  <c r="G230" i="5"/>
  <c r="G227" i="5"/>
  <c r="G222" i="5"/>
  <c r="G219" i="5"/>
  <c r="G214" i="5"/>
  <c r="G211" i="5"/>
  <c r="G205" i="5"/>
  <c r="G202" i="5"/>
  <c r="G197" i="5"/>
  <c r="G189" i="5"/>
  <c r="G186" i="5"/>
  <c r="G181" i="5"/>
  <c r="G178" i="5"/>
  <c r="G173" i="5"/>
  <c r="G164" i="5"/>
  <c r="G153" i="5"/>
  <c r="G138" i="5"/>
  <c r="G135" i="5"/>
  <c r="G129" i="5"/>
  <c r="G122" i="5"/>
  <c r="G100" i="5"/>
  <c r="G73" i="5"/>
  <c r="G51" i="5"/>
  <c r="G41" i="5"/>
  <c r="G17" i="5"/>
  <c r="G734" i="5"/>
  <c r="G732" i="5"/>
  <c r="G730" i="5"/>
  <c r="G728" i="5"/>
  <c r="G726" i="5"/>
  <c r="G724" i="5"/>
  <c r="G722" i="5"/>
  <c r="G720" i="5"/>
  <c r="G718" i="5"/>
  <c r="G716" i="5"/>
  <c r="G714" i="5"/>
  <c r="G712" i="5"/>
  <c r="G710" i="5"/>
  <c r="G708" i="5"/>
  <c r="G706" i="5"/>
  <c r="G705" i="5"/>
  <c r="G704" i="5"/>
  <c r="G702" i="5"/>
  <c r="G700" i="5"/>
  <c r="G698" i="5"/>
  <c r="G697" i="5"/>
  <c r="G696" i="5"/>
  <c r="G694" i="5"/>
  <c r="G692" i="5"/>
  <c r="G690" i="5"/>
  <c r="G689" i="5"/>
  <c r="G688" i="5"/>
  <c r="G686" i="5"/>
  <c r="G684" i="5"/>
  <c r="G682" i="5"/>
  <c r="G680" i="5"/>
  <c r="G673" i="5"/>
  <c r="G671" i="5"/>
  <c r="G664" i="5"/>
  <c r="G657" i="5"/>
  <c r="G655" i="5"/>
  <c r="G648" i="5"/>
  <c r="G641" i="5"/>
  <c r="G639" i="5"/>
  <c r="G631" i="5"/>
  <c r="G619" i="5"/>
  <c r="G613" i="5"/>
  <c r="G599" i="5"/>
  <c r="G595" i="5"/>
  <c r="G580" i="5"/>
  <c r="G568" i="5"/>
  <c r="G553" i="5"/>
  <c r="G543" i="5"/>
  <c r="G510" i="5"/>
  <c r="G507" i="5"/>
  <c r="G506" i="5"/>
  <c r="G489" i="5"/>
  <c r="G478" i="5"/>
  <c r="G475" i="5"/>
  <c r="G473" i="5"/>
  <c r="G462" i="5"/>
  <c r="G450" i="5"/>
  <c r="G446" i="5"/>
  <c r="G440" i="5"/>
  <c r="G426" i="5"/>
  <c r="G419" i="5"/>
  <c r="G362" i="5"/>
  <c r="G357" i="5"/>
  <c r="G345" i="5"/>
  <c r="G342" i="5"/>
  <c r="G330" i="5"/>
  <c r="G326" i="5"/>
  <c r="G325" i="5"/>
  <c r="G313" i="5"/>
  <c r="G310" i="5"/>
  <c r="G304" i="5"/>
  <c r="G302" i="5"/>
  <c r="G294" i="5"/>
  <c r="G288" i="5"/>
  <c r="G286" i="5"/>
  <c r="G278" i="5"/>
  <c r="G270" i="5"/>
  <c r="G262" i="5"/>
  <c r="G250" i="5"/>
  <c r="G247" i="5"/>
  <c r="G234" i="5"/>
  <c r="G231" i="5"/>
  <c r="G218" i="5"/>
  <c r="G215" i="5"/>
  <c r="G194" i="5"/>
  <c r="G193" i="5"/>
  <c r="G190" i="5"/>
  <c r="G177" i="5"/>
  <c r="G174" i="5"/>
  <c r="G170" i="5"/>
  <c r="G158" i="5"/>
  <c r="G150" i="5"/>
  <c r="G147" i="5"/>
  <c r="G144" i="5"/>
  <c r="G142" i="5"/>
  <c r="G134" i="5"/>
  <c r="G126" i="5"/>
  <c r="G123" i="5"/>
  <c r="G116" i="5"/>
  <c r="G114" i="5"/>
  <c r="G111" i="5"/>
  <c r="G102" i="5"/>
  <c r="G89" i="5"/>
  <c r="G85" i="5"/>
  <c r="G69" i="5"/>
  <c r="G67" i="5"/>
  <c r="G53" i="5"/>
  <c r="G29" i="5"/>
  <c r="G25" i="5"/>
  <c r="G19" i="5"/>
  <c r="G13" i="5"/>
  <c r="G11" i="5"/>
  <c r="G27" i="5"/>
  <c r="G43" i="5"/>
  <c r="G59" i="5"/>
  <c r="G75" i="5"/>
  <c r="G91" i="5"/>
  <c r="G98" i="5"/>
  <c r="G107" i="5"/>
  <c r="G113" i="5"/>
  <c r="G119" i="5"/>
  <c r="G128" i="5"/>
  <c r="G131" i="5"/>
  <c r="G140" i="5"/>
  <c r="G152" i="5"/>
  <c r="G155" i="5"/>
  <c r="G161" i="5"/>
  <c r="G167" i="5"/>
  <c r="G180" i="5"/>
  <c r="G183" i="5"/>
  <c r="G196" i="5"/>
  <c r="G199" i="5"/>
  <c r="G208" i="5"/>
  <c r="G221" i="5"/>
  <c r="G224" i="5"/>
  <c r="G237" i="5"/>
  <c r="G240" i="5"/>
  <c r="G253" i="5"/>
  <c r="G256" i="5"/>
  <c r="G259" i="5"/>
  <c r="G267" i="5"/>
  <c r="G275" i="5"/>
  <c r="G283" i="5"/>
  <c r="G291" i="5"/>
  <c r="G299" i="5"/>
  <c r="G307" i="5"/>
  <c r="G322" i="5"/>
  <c r="G349" i="5"/>
  <c r="G366" i="5"/>
  <c r="G369" i="5"/>
  <c r="G382" i="5"/>
  <c r="G385" i="5"/>
  <c r="G398" i="5"/>
  <c r="G401" i="5"/>
  <c r="G414" i="5"/>
  <c r="G432" i="5"/>
  <c r="G442" i="5"/>
  <c r="G449" i="5"/>
  <c r="G455" i="5"/>
  <c r="G465" i="5"/>
  <c r="G482" i="5"/>
  <c r="G502" i="5"/>
  <c r="G529" i="5"/>
  <c r="G546" i="5"/>
  <c r="G567" i="5"/>
  <c r="G576" i="5"/>
  <c r="G598" i="5"/>
  <c r="G604" i="5"/>
  <c r="G645" i="5"/>
  <c r="G652" i="5"/>
  <c r="G659" i="5"/>
  <c r="G677" i="5"/>
  <c r="G23" i="5"/>
  <c r="G39" i="5"/>
  <c r="G55" i="5"/>
  <c r="G71" i="5"/>
  <c r="G87" i="5"/>
  <c r="G99" i="5"/>
  <c r="G108" i="5"/>
  <c r="G120" i="5"/>
  <c r="G132" i="5"/>
  <c r="G156" i="5"/>
  <c r="G168" i="5"/>
  <c r="G171" i="5"/>
  <c r="G184" i="5"/>
  <c r="G187" i="5"/>
  <c r="G200" i="5"/>
  <c r="G203" i="5"/>
  <c r="G206" i="5"/>
  <c r="G209" i="5"/>
  <c r="G212" i="5"/>
  <c r="G225" i="5"/>
  <c r="G228" i="5"/>
  <c r="G241" i="5"/>
  <c r="G244" i="5"/>
  <c r="G257" i="5"/>
  <c r="G265" i="5"/>
  <c r="G273" i="5"/>
  <c r="G281" i="5"/>
  <c r="G289" i="5"/>
  <c r="G297" i="5"/>
  <c r="G305" i="5"/>
  <c r="G333" i="5"/>
  <c r="G350" i="5"/>
  <c r="G353" i="5"/>
  <c r="G370" i="5"/>
  <c r="G373" i="5"/>
  <c r="G386" i="5"/>
  <c r="G389" i="5"/>
  <c r="G402" i="5"/>
  <c r="G405" i="5"/>
  <c r="G422" i="5"/>
  <c r="G433" i="5"/>
  <c r="G456" i="5"/>
  <c r="G466" i="5"/>
  <c r="G486" i="5"/>
  <c r="G513" i="5"/>
  <c r="G530" i="5"/>
  <c r="G550" i="5"/>
  <c r="G571" i="5"/>
  <c r="G577" i="5"/>
  <c r="G583" i="5"/>
  <c r="G592" i="5"/>
  <c r="G602" i="5"/>
  <c r="G611" i="5"/>
  <c r="G623" i="5"/>
  <c r="G629" i="5"/>
  <c r="G635" i="5"/>
  <c r="G660" i="5"/>
  <c r="G667" i="5"/>
  <c r="G21" i="5"/>
  <c r="G37" i="5"/>
  <c r="G263" i="5"/>
  <c r="G271" i="5"/>
  <c r="G279" i="5"/>
  <c r="G287" i="5"/>
  <c r="G295" i="5"/>
  <c r="G303" i="5"/>
  <c r="G311" i="5"/>
  <c r="G317" i="5"/>
  <c r="G334" i="5"/>
  <c r="G337" i="5"/>
  <c r="G374" i="5"/>
  <c r="G377" i="5"/>
  <c r="G390" i="5"/>
  <c r="G393" i="5"/>
  <c r="G406" i="5"/>
  <c r="G409" i="5"/>
  <c r="G430" i="5"/>
  <c r="G444" i="5"/>
  <c r="G457" i="5"/>
  <c r="G470" i="5"/>
  <c r="G497" i="5"/>
  <c r="G514" i="5"/>
  <c r="G534" i="5"/>
  <c r="G551" i="5"/>
  <c r="G587" i="5"/>
  <c r="G593" i="5"/>
  <c r="G596" i="5"/>
  <c r="G615" i="5"/>
  <c r="G636" i="5"/>
  <c r="G643" i="5"/>
  <c r="G661" i="5"/>
  <c r="G668" i="5"/>
  <c r="G675" i="5"/>
  <c r="G49" i="5"/>
  <c r="G65" i="5"/>
  <c r="G81" i="5"/>
  <c r="G97" i="5"/>
  <c r="G103" i="5"/>
  <c r="G112" i="5"/>
  <c r="G115" i="5"/>
  <c r="G124" i="5"/>
  <c r="G136" i="5"/>
  <c r="G148" i="5"/>
  <c r="G160" i="5"/>
  <c r="G163" i="5"/>
  <c r="G169" i="5"/>
  <c r="G182" i="5"/>
  <c r="G185" i="5"/>
  <c r="G198" i="5"/>
  <c r="G201" i="5"/>
  <c r="G207" i="5"/>
  <c r="G210" i="5"/>
  <c r="G223" i="5"/>
  <c r="G226" i="5"/>
  <c r="G239" i="5"/>
  <c r="G242" i="5"/>
  <c r="G255" i="5"/>
  <c r="G258" i="5"/>
  <c r="G266" i="5"/>
  <c r="G274" i="5"/>
  <c r="G282" i="5"/>
  <c r="G290" i="5"/>
  <c r="G298" i="5"/>
  <c r="G306" i="5"/>
  <c r="G341" i="5"/>
  <c r="G358" i="5"/>
  <c r="G361" i="5"/>
  <c r="G416" i="5"/>
  <c r="G420" i="5"/>
  <c r="G427" i="5"/>
  <c r="G434" i="5"/>
  <c r="G441" i="5"/>
  <c r="G474" i="5"/>
  <c r="G491" i="5"/>
  <c r="G494" i="5"/>
  <c r="G521" i="5"/>
  <c r="G538" i="5"/>
  <c r="G555" i="5"/>
  <c r="G558" i="5"/>
  <c r="G562" i="5"/>
  <c r="G566" i="5"/>
  <c r="G572" i="5"/>
  <c r="G584" i="5"/>
  <c r="G603" i="5"/>
  <c r="G609" i="5"/>
  <c r="G627" i="5"/>
  <c r="G640" i="5"/>
  <c r="G647" i="5"/>
  <c r="G665" i="5"/>
  <c r="G672" i="5"/>
  <c r="G679" i="5"/>
  <c r="G683" i="5"/>
  <c r="G687" i="5"/>
  <c r="G691" i="5"/>
  <c r="G695" i="5"/>
  <c r="G699" i="5"/>
  <c r="G703" i="5"/>
  <c r="G707" i="5"/>
  <c r="G711" i="5"/>
  <c r="G715" i="5"/>
  <c r="G719" i="5"/>
  <c r="G723" i="5"/>
  <c r="G727" i="5"/>
  <c r="G731" i="5"/>
  <c r="G735" i="5"/>
  <c r="G15" i="5"/>
  <c r="G31" i="5"/>
  <c r="G47" i="5"/>
  <c r="G63" i="5"/>
  <c r="G79" i="5"/>
  <c r="G95" i="5"/>
  <c r="G106" i="5"/>
  <c r="G118" i="5"/>
  <c r="G127" i="5"/>
  <c r="G130" i="5"/>
  <c r="G139" i="5"/>
  <c r="G145" i="5"/>
  <c r="G151" i="5"/>
  <c r="G154" i="5"/>
  <c r="G166" i="5"/>
  <c r="G176" i="5"/>
  <c r="G179" i="5"/>
  <c r="G192" i="5"/>
  <c r="G195" i="5"/>
  <c r="G217" i="5"/>
  <c r="G220" i="5"/>
  <c r="G233" i="5"/>
  <c r="G236" i="5"/>
  <c r="G249" i="5"/>
  <c r="G252" i="5"/>
  <c r="G261" i="5"/>
  <c r="G269" i="5"/>
  <c r="G277" i="5"/>
  <c r="G285" i="5"/>
  <c r="G293" i="5"/>
  <c r="G301" i="5"/>
  <c r="G309" i="5"/>
  <c r="G318" i="5"/>
  <c r="G321" i="5"/>
  <c r="G365" i="5"/>
  <c r="G378" i="5"/>
  <c r="G381" i="5"/>
  <c r="G394" i="5"/>
  <c r="G397" i="5"/>
  <c r="G410" i="5"/>
  <c r="G413" i="5"/>
  <c r="G431" i="5"/>
  <c r="G448" i="5"/>
  <c r="G481" i="5"/>
  <c r="G498" i="5"/>
  <c r="G518" i="5"/>
  <c r="G545" i="5"/>
  <c r="G600" i="5"/>
  <c r="G644" i="5"/>
  <c r="G651" i="5"/>
  <c r="G669" i="5"/>
  <c r="G676" i="5"/>
  <c r="G346" i="5"/>
  <c r="G354" i="5"/>
  <c r="G312" i="5"/>
  <c r="G338" i="5"/>
  <c r="G452" i="5"/>
  <c r="G499" i="5"/>
  <c r="G436" i="5"/>
  <c r="G459" i="5"/>
  <c r="G523" i="5"/>
  <c r="G443" i="5"/>
  <c r="G483" i="5"/>
  <c r="G547" i="5"/>
  <c r="G467" i="5"/>
  <c r="G531" i="5"/>
  <c r="G515" i="5"/>
  <c r="G569" i="5"/>
  <c r="G578" i="5"/>
  <c r="G601" i="5"/>
  <c r="G649" i="5"/>
  <c r="G559" i="5"/>
  <c r="G563" i="5"/>
  <c r="G581" i="5"/>
  <c r="G590" i="5"/>
  <c r="G653" i="5"/>
  <c r="G560" i="5"/>
  <c r="G564" i="5"/>
  <c r="G573" i="5"/>
  <c r="G582" i="5"/>
  <c r="G605" i="5"/>
  <c r="G585" i="5"/>
  <c r="G594" i="5"/>
  <c r="G561" i="5"/>
  <c r="G565" i="5"/>
  <c r="G574" i="5"/>
  <c r="G597" i="5"/>
  <c r="G606" i="5"/>
  <c r="G637" i="5"/>
  <c r="G614" i="5"/>
  <c r="G622" i="5"/>
  <c r="G630" i="5"/>
  <c r="G642" i="5"/>
  <c r="G658" i="5"/>
  <c r="G674" i="5"/>
  <c r="G713" i="5"/>
  <c r="G717" i="5"/>
  <c r="G721" i="5"/>
  <c r="G725" i="5"/>
  <c r="G729" i="5"/>
  <c r="G733" i="5"/>
  <c r="G612" i="5"/>
  <c r="G620" i="5"/>
  <c r="G628" i="5"/>
  <c r="G646" i="5"/>
  <c r="G662" i="5"/>
  <c r="G678" i="5"/>
  <c r="G610" i="5"/>
  <c r="G618" i="5"/>
  <c r="G626" i="5"/>
  <c r="G634" i="5"/>
  <c r="G650" i="5"/>
  <c r="G666" i="5"/>
  <c r="G608" i="5"/>
  <c r="G616" i="5"/>
  <c r="G624" i="5"/>
  <c r="G632" i="5"/>
  <c r="G638" i="5"/>
  <c r="G654" i="5"/>
  <c r="G670" i="5"/>
  <c r="G337" i="4"/>
  <c r="G346" i="4"/>
  <c r="G361" i="4"/>
  <c r="G394" i="4"/>
  <c r="G424" i="4"/>
  <c r="G338" i="4"/>
  <c r="G353" i="4"/>
  <c r="G362" i="4"/>
  <c r="G463" i="4"/>
  <c r="G330" i="4"/>
  <c r="G345" i="4"/>
  <c r="G454" i="4"/>
  <c r="G490" i="4"/>
  <c r="G506" i="4"/>
  <c r="G475" i="4"/>
  <c r="G499" i="4"/>
  <c r="G503" i="4"/>
  <c r="G517" i="4"/>
  <c r="G543" i="4"/>
  <c r="G540" i="4"/>
  <c r="G486" i="4"/>
  <c r="G526" i="4"/>
  <c r="G559" i="4"/>
  <c r="G529" i="4"/>
  <c r="G545" i="4"/>
  <c r="G561" i="4"/>
  <c r="G576" i="4"/>
  <c r="G585" i="4"/>
  <c r="G588" i="4"/>
  <c r="G597" i="4"/>
  <c r="G533" i="4"/>
  <c r="G549" i="4"/>
  <c r="G565" i="4"/>
  <c r="G645" i="4"/>
  <c r="G668" i="4"/>
  <c r="G701" i="4"/>
  <c r="G717" i="4"/>
  <c r="G699" i="4"/>
  <c r="G715" i="4"/>
  <c r="G731" i="4"/>
  <c r="G693" i="4"/>
  <c r="G709" i="4"/>
  <c r="G725" i="4"/>
  <c r="G697" i="4"/>
  <c r="G713" i="4"/>
  <c r="G729" i="4"/>
  <c r="F13" i="3"/>
  <c r="L5" i="2" l="1"/>
  <c r="F9" i="3"/>
  <c r="G9" i="3" s="1"/>
  <c r="F10" i="3"/>
  <c r="G10" i="3" s="1"/>
  <c r="F11" i="3"/>
  <c r="G11" i="3" s="1"/>
  <c r="F12" i="3"/>
  <c r="G12" i="3" s="1"/>
  <c r="G13" i="3"/>
  <c r="F14" i="3"/>
  <c r="G14" i="3" s="1"/>
  <c r="F15" i="3"/>
  <c r="G15" i="3" s="1"/>
  <c r="F16" i="3"/>
  <c r="G16" i="3" s="1"/>
  <c r="F17" i="3"/>
  <c r="G17" i="3" s="1"/>
  <c r="F18" i="3"/>
  <c r="G18" i="3" s="1"/>
  <c r="F19" i="3"/>
  <c r="G19" i="3" s="1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F390" i="3"/>
  <c r="G390" i="3" s="1"/>
  <c r="F391" i="3"/>
  <c r="G391" i="3" s="1"/>
  <c r="F392" i="3"/>
  <c r="G392" i="3" s="1"/>
  <c r="F393" i="3"/>
  <c r="G393" i="3" s="1"/>
  <c r="F394" i="3"/>
  <c r="G394" i="3" s="1"/>
  <c r="F395" i="3"/>
  <c r="G395" i="3" s="1"/>
  <c r="F396" i="3"/>
  <c r="G396" i="3" s="1"/>
  <c r="F397" i="3"/>
  <c r="G397" i="3" s="1"/>
  <c r="F398" i="3"/>
  <c r="G398" i="3" s="1"/>
  <c r="F399" i="3"/>
  <c r="G399" i="3" s="1"/>
  <c r="F400" i="3"/>
  <c r="G400" i="3" s="1"/>
  <c r="F401" i="3"/>
  <c r="G401" i="3" s="1"/>
  <c r="F402" i="3"/>
  <c r="G402" i="3" s="1"/>
  <c r="F403" i="3"/>
  <c r="G403" i="3" s="1"/>
  <c r="F404" i="3"/>
  <c r="G404" i="3" s="1"/>
  <c r="F405" i="3"/>
  <c r="G405" i="3" s="1"/>
  <c r="F406" i="3"/>
  <c r="G406" i="3" s="1"/>
  <c r="F407" i="3"/>
  <c r="G407" i="3" s="1"/>
  <c r="F408" i="3"/>
  <c r="G408" i="3" s="1"/>
  <c r="F409" i="3"/>
  <c r="G409" i="3" s="1"/>
  <c r="F410" i="3"/>
  <c r="G410" i="3" s="1"/>
  <c r="F411" i="3"/>
  <c r="G411" i="3" s="1"/>
  <c r="F412" i="3"/>
  <c r="G412" i="3" s="1"/>
  <c r="F413" i="3"/>
  <c r="G413" i="3" s="1"/>
  <c r="F414" i="3"/>
  <c r="G414" i="3" s="1"/>
  <c r="F415" i="3"/>
  <c r="G415" i="3" s="1"/>
  <c r="F416" i="3"/>
  <c r="G416" i="3" s="1"/>
  <c r="F417" i="3"/>
  <c r="G417" i="3" s="1"/>
  <c r="F418" i="3"/>
  <c r="G418" i="3" s="1"/>
  <c r="F419" i="3"/>
  <c r="G419" i="3" s="1"/>
  <c r="F420" i="3"/>
  <c r="G420" i="3" s="1"/>
  <c r="F421" i="3"/>
  <c r="G421" i="3" s="1"/>
  <c r="F422" i="3"/>
  <c r="G422" i="3" s="1"/>
  <c r="F423" i="3"/>
  <c r="G423" i="3" s="1"/>
  <c r="F424" i="3"/>
  <c r="G424" i="3" s="1"/>
  <c r="F425" i="3"/>
  <c r="G425" i="3" s="1"/>
  <c r="F426" i="3"/>
  <c r="G426" i="3" s="1"/>
  <c r="F427" i="3"/>
  <c r="G427" i="3" s="1"/>
  <c r="F428" i="3"/>
  <c r="G428" i="3" s="1"/>
  <c r="F429" i="3"/>
  <c r="G429" i="3" s="1"/>
  <c r="F430" i="3"/>
  <c r="G430" i="3" s="1"/>
  <c r="F431" i="3"/>
  <c r="G431" i="3" s="1"/>
  <c r="F432" i="3"/>
  <c r="G432" i="3" s="1"/>
  <c r="F433" i="3"/>
  <c r="G433" i="3" s="1"/>
  <c r="F434" i="3"/>
  <c r="G434" i="3" s="1"/>
  <c r="F435" i="3"/>
  <c r="G435" i="3" s="1"/>
  <c r="F436" i="3"/>
  <c r="G436" i="3" s="1"/>
  <c r="F437" i="3"/>
  <c r="G437" i="3" s="1"/>
  <c r="F438" i="3"/>
  <c r="G438" i="3" s="1"/>
  <c r="F439" i="3"/>
  <c r="G439" i="3" s="1"/>
  <c r="F440" i="3"/>
  <c r="G440" i="3" s="1"/>
  <c r="F441" i="3"/>
  <c r="G441" i="3" s="1"/>
  <c r="F442" i="3"/>
  <c r="G442" i="3" s="1"/>
  <c r="F443" i="3"/>
  <c r="G443" i="3" s="1"/>
  <c r="F444" i="3"/>
  <c r="G444" i="3" s="1"/>
  <c r="F445" i="3"/>
  <c r="G445" i="3" s="1"/>
  <c r="F446" i="3"/>
  <c r="G446" i="3" s="1"/>
  <c r="F447" i="3"/>
  <c r="G447" i="3" s="1"/>
  <c r="F448" i="3"/>
  <c r="G448" i="3" s="1"/>
  <c r="F449" i="3"/>
  <c r="G449" i="3" s="1"/>
  <c r="F450" i="3"/>
  <c r="G450" i="3" s="1"/>
  <c r="F451" i="3"/>
  <c r="G451" i="3" s="1"/>
  <c r="F452" i="3"/>
  <c r="G452" i="3" s="1"/>
  <c r="F453" i="3"/>
  <c r="G453" i="3" s="1"/>
  <c r="F454" i="3"/>
  <c r="G454" i="3" s="1"/>
  <c r="F455" i="3"/>
  <c r="G455" i="3" s="1"/>
  <c r="F456" i="3"/>
  <c r="G456" i="3" s="1"/>
  <c r="F457" i="3"/>
  <c r="G457" i="3" s="1"/>
  <c r="F458" i="3"/>
  <c r="G458" i="3" s="1"/>
  <c r="F459" i="3"/>
  <c r="G459" i="3" s="1"/>
  <c r="F460" i="3"/>
  <c r="G460" i="3" s="1"/>
  <c r="F461" i="3"/>
  <c r="G461" i="3" s="1"/>
  <c r="F462" i="3"/>
  <c r="G462" i="3" s="1"/>
  <c r="F463" i="3"/>
  <c r="G463" i="3" s="1"/>
  <c r="F464" i="3"/>
  <c r="G464" i="3" s="1"/>
  <c r="F465" i="3"/>
  <c r="G465" i="3" s="1"/>
  <c r="F466" i="3"/>
  <c r="G466" i="3" s="1"/>
  <c r="F467" i="3"/>
  <c r="G467" i="3" s="1"/>
  <c r="F468" i="3"/>
  <c r="G468" i="3" s="1"/>
  <c r="F469" i="3"/>
  <c r="G469" i="3" s="1"/>
  <c r="F470" i="3"/>
  <c r="G470" i="3" s="1"/>
  <c r="F471" i="3"/>
  <c r="G471" i="3" s="1"/>
  <c r="F472" i="3"/>
  <c r="G472" i="3" s="1"/>
  <c r="F473" i="3"/>
  <c r="G473" i="3" s="1"/>
  <c r="F474" i="3"/>
  <c r="G474" i="3" s="1"/>
  <c r="F475" i="3"/>
  <c r="G475" i="3" s="1"/>
  <c r="F476" i="3"/>
  <c r="G476" i="3" s="1"/>
  <c r="F477" i="3"/>
  <c r="G477" i="3" s="1"/>
  <c r="F478" i="3"/>
  <c r="G478" i="3" s="1"/>
  <c r="F479" i="3"/>
  <c r="G479" i="3" s="1"/>
  <c r="F480" i="3"/>
  <c r="G480" i="3" s="1"/>
  <c r="F481" i="3"/>
  <c r="G481" i="3" s="1"/>
  <c r="F482" i="3"/>
  <c r="G482" i="3" s="1"/>
  <c r="F483" i="3"/>
  <c r="G483" i="3" s="1"/>
  <c r="F484" i="3"/>
  <c r="G484" i="3" s="1"/>
  <c r="F485" i="3"/>
  <c r="G485" i="3" s="1"/>
  <c r="F486" i="3"/>
  <c r="G486" i="3" s="1"/>
  <c r="F487" i="3"/>
  <c r="G487" i="3" s="1"/>
  <c r="F488" i="3"/>
  <c r="G488" i="3" s="1"/>
  <c r="F489" i="3"/>
  <c r="G489" i="3" s="1"/>
  <c r="F490" i="3"/>
  <c r="G490" i="3" s="1"/>
  <c r="F491" i="3"/>
  <c r="G491" i="3" s="1"/>
  <c r="F492" i="3"/>
  <c r="G492" i="3" s="1"/>
  <c r="F493" i="3"/>
  <c r="G493" i="3" s="1"/>
  <c r="F494" i="3"/>
  <c r="G494" i="3" s="1"/>
  <c r="F495" i="3"/>
  <c r="G495" i="3" s="1"/>
  <c r="F496" i="3"/>
  <c r="G496" i="3" s="1"/>
  <c r="F497" i="3"/>
  <c r="G497" i="3" s="1"/>
  <c r="F498" i="3"/>
  <c r="G498" i="3" s="1"/>
  <c r="F499" i="3"/>
  <c r="G499" i="3" s="1"/>
  <c r="F500" i="3"/>
  <c r="G500" i="3" s="1"/>
  <c r="F501" i="3"/>
  <c r="G501" i="3" s="1"/>
  <c r="F502" i="3"/>
  <c r="G502" i="3" s="1"/>
  <c r="F503" i="3"/>
  <c r="G503" i="3" s="1"/>
  <c r="F504" i="3"/>
  <c r="G504" i="3" s="1"/>
  <c r="F505" i="3"/>
  <c r="G505" i="3" s="1"/>
  <c r="F506" i="3"/>
  <c r="G506" i="3" s="1"/>
  <c r="F507" i="3"/>
  <c r="G507" i="3" s="1"/>
  <c r="F508" i="3"/>
  <c r="G508" i="3" s="1"/>
  <c r="F509" i="3"/>
  <c r="G509" i="3" s="1"/>
  <c r="F510" i="3"/>
  <c r="G510" i="3" s="1"/>
  <c r="F511" i="3"/>
  <c r="G511" i="3" s="1"/>
  <c r="F512" i="3"/>
  <c r="G512" i="3" s="1"/>
  <c r="F513" i="3"/>
  <c r="G513" i="3" s="1"/>
  <c r="F514" i="3"/>
  <c r="G514" i="3" s="1"/>
  <c r="F515" i="3"/>
  <c r="G515" i="3" s="1"/>
  <c r="F516" i="3"/>
  <c r="G516" i="3" s="1"/>
  <c r="F517" i="3"/>
  <c r="G517" i="3" s="1"/>
  <c r="F518" i="3"/>
  <c r="G518" i="3" s="1"/>
  <c r="F519" i="3"/>
  <c r="G519" i="3" s="1"/>
  <c r="F520" i="3"/>
  <c r="G520" i="3" s="1"/>
  <c r="F521" i="3"/>
  <c r="G521" i="3" s="1"/>
  <c r="F522" i="3"/>
  <c r="G522" i="3" s="1"/>
  <c r="F523" i="3"/>
  <c r="G523" i="3" s="1"/>
  <c r="F524" i="3"/>
  <c r="G524" i="3" s="1"/>
  <c r="F525" i="3"/>
  <c r="G525" i="3" s="1"/>
  <c r="F526" i="3"/>
  <c r="G526" i="3" s="1"/>
  <c r="F527" i="3"/>
  <c r="G527" i="3" s="1"/>
  <c r="F528" i="3"/>
  <c r="G528" i="3" s="1"/>
  <c r="F529" i="3"/>
  <c r="G529" i="3" s="1"/>
  <c r="F530" i="3"/>
  <c r="G530" i="3" s="1"/>
  <c r="F531" i="3"/>
  <c r="G531" i="3" s="1"/>
  <c r="F532" i="3"/>
  <c r="G532" i="3" s="1"/>
  <c r="F533" i="3"/>
  <c r="G533" i="3" s="1"/>
  <c r="F534" i="3"/>
  <c r="G534" i="3" s="1"/>
  <c r="F535" i="3"/>
  <c r="G535" i="3" s="1"/>
  <c r="F536" i="3"/>
  <c r="G536" i="3" s="1"/>
  <c r="F537" i="3"/>
  <c r="G537" i="3" s="1"/>
  <c r="F538" i="3"/>
  <c r="G538" i="3" s="1"/>
  <c r="F539" i="3"/>
  <c r="G539" i="3" s="1"/>
  <c r="F540" i="3"/>
  <c r="G540" i="3" s="1"/>
  <c r="F541" i="3"/>
  <c r="G541" i="3" s="1"/>
  <c r="F542" i="3"/>
  <c r="G542" i="3" s="1"/>
  <c r="F543" i="3"/>
  <c r="G543" i="3" s="1"/>
  <c r="F544" i="3"/>
  <c r="G544" i="3" s="1"/>
  <c r="F545" i="3"/>
  <c r="G545" i="3" s="1"/>
  <c r="F546" i="3"/>
  <c r="G546" i="3" s="1"/>
  <c r="F547" i="3"/>
  <c r="G547" i="3" s="1"/>
  <c r="F548" i="3"/>
  <c r="G548" i="3" s="1"/>
  <c r="F549" i="3"/>
  <c r="G549" i="3" s="1"/>
  <c r="F550" i="3"/>
  <c r="G550" i="3" s="1"/>
  <c r="F551" i="3"/>
  <c r="G551" i="3" s="1"/>
  <c r="F552" i="3"/>
  <c r="G552" i="3" s="1"/>
  <c r="F553" i="3"/>
  <c r="G553" i="3" s="1"/>
  <c r="F554" i="3"/>
  <c r="G554" i="3" s="1"/>
  <c r="F555" i="3"/>
  <c r="G555" i="3" s="1"/>
  <c r="F556" i="3"/>
  <c r="G556" i="3" s="1"/>
  <c r="F557" i="3"/>
  <c r="G557" i="3" s="1"/>
  <c r="F558" i="3"/>
  <c r="G558" i="3" s="1"/>
  <c r="F559" i="3"/>
  <c r="G559" i="3" s="1"/>
  <c r="F560" i="3"/>
  <c r="G560" i="3" s="1"/>
  <c r="F561" i="3"/>
  <c r="G561" i="3" s="1"/>
  <c r="F562" i="3"/>
  <c r="G562" i="3" s="1"/>
  <c r="F563" i="3"/>
  <c r="G563" i="3" s="1"/>
  <c r="F564" i="3"/>
  <c r="G564" i="3" s="1"/>
  <c r="F565" i="3"/>
  <c r="G565" i="3" s="1"/>
  <c r="F566" i="3"/>
  <c r="G566" i="3" s="1"/>
  <c r="F567" i="3"/>
  <c r="G567" i="3" s="1"/>
  <c r="F568" i="3"/>
  <c r="G568" i="3" s="1"/>
  <c r="F569" i="3"/>
  <c r="G569" i="3" s="1"/>
  <c r="F570" i="3"/>
  <c r="G570" i="3" s="1"/>
  <c r="F571" i="3"/>
  <c r="G571" i="3" s="1"/>
  <c r="F572" i="3"/>
  <c r="G572" i="3" s="1"/>
  <c r="F573" i="3"/>
  <c r="G573" i="3" s="1"/>
  <c r="F574" i="3"/>
  <c r="G574" i="3" s="1"/>
  <c r="F575" i="3"/>
  <c r="G575" i="3" s="1"/>
  <c r="F576" i="3"/>
  <c r="G576" i="3" s="1"/>
  <c r="F577" i="3"/>
  <c r="G577" i="3" s="1"/>
  <c r="F578" i="3"/>
  <c r="G578" i="3" s="1"/>
  <c r="F579" i="3"/>
  <c r="G579" i="3" s="1"/>
  <c r="F580" i="3"/>
  <c r="G580" i="3" s="1"/>
  <c r="F581" i="3"/>
  <c r="G581" i="3" s="1"/>
  <c r="F582" i="3"/>
  <c r="G582" i="3" s="1"/>
  <c r="F583" i="3"/>
  <c r="G583" i="3" s="1"/>
  <c r="F584" i="3"/>
  <c r="G584" i="3" s="1"/>
  <c r="F585" i="3"/>
  <c r="G585" i="3" s="1"/>
  <c r="F586" i="3"/>
  <c r="G586" i="3" s="1"/>
  <c r="F587" i="3"/>
  <c r="G587" i="3" s="1"/>
  <c r="F588" i="3"/>
  <c r="G588" i="3" s="1"/>
  <c r="F589" i="3"/>
  <c r="G589" i="3" s="1"/>
  <c r="F590" i="3"/>
  <c r="G590" i="3" s="1"/>
  <c r="F591" i="3"/>
  <c r="G591" i="3" s="1"/>
  <c r="F592" i="3"/>
  <c r="G592" i="3" s="1"/>
  <c r="F593" i="3"/>
  <c r="G593" i="3" s="1"/>
  <c r="F594" i="3"/>
  <c r="G594" i="3" s="1"/>
  <c r="F595" i="3"/>
  <c r="G595" i="3" s="1"/>
  <c r="F596" i="3"/>
  <c r="G596" i="3" s="1"/>
  <c r="F597" i="3"/>
  <c r="G597" i="3" s="1"/>
  <c r="F598" i="3"/>
  <c r="G598" i="3" s="1"/>
  <c r="F599" i="3"/>
  <c r="G599" i="3" s="1"/>
  <c r="F600" i="3"/>
  <c r="G600" i="3" s="1"/>
  <c r="F601" i="3"/>
  <c r="G601" i="3" s="1"/>
  <c r="F602" i="3"/>
  <c r="G602" i="3" s="1"/>
  <c r="F603" i="3"/>
  <c r="G603" i="3" s="1"/>
  <c r="F604" i="3"/>
  <c r="G604" i="3" s="1"/>
  <c r="F605" i="3"/>
  <c r="G605" i="3" s="1"/>
  <c r="F606" i="3"/>
  <c r="G606" i="3" s="1"/>
  <c r="F607" i="3"/>
  <c r="G607" i="3" s="1"/>
  <c r="F608" i="3"/>
  <c r="G608" i="3" s="1"/>
  <c r="F609" i="3"/>
  <c r="G609" i="3" s="1"/>
  <c r="F610" i="3"/>
  <c r="G610" i="3" s="1"/>
  <c r="F611" i="3"/>
  <c r="G611" i="3" s="1"/>
  <c r="F612" i="3"/>
  <c r="G612" i="3" s="1"/>
  <c r="F613" i="3"/>
  <c r="G613" i="3" s="1"/>
  <c r="F614" i="3"/>
  <c r="G614" i="3" s="1"/>
  <c r="F615" i="3"/>
  <c r="G615" i="3" s="1"/>
  <c r="F616" i="3"/>
  <c r="G616" i="3" s="1"/>
  <c r="F617" i="3"/>
  <c r="G617" i="3" s="1"/>
  <c r="F618" i="3"/>
  <c r="G618" i="3" s="1"/>
  <c r="F619" i="3"/>
  <c r="G619" i="3" s="1"/>
  <c r="F620" i="3"/>
  <c r="G620" i="3" s="1"/>
  <c r="F621" i="3"/>
  <c r="G621" i="3" s="1"/>
  <c r="F622" i="3"/>
  <c r="G622" i="3" s="1"/>
  <c r="F623" i="3"/>
  <c r="G623" i="3" s="1"/>
  <c r="F624" i="3"/>
  <c r="G624" i="3" s="1"/>
  <c r="F625" i="3"/>
  <c r="G625" i="3" s="1"/>
  <c r="F626" i="3"/>
  <c r="G626" i="3" s="1"/>
  <c r="F627" i="3"/>
  <c r="G627" i="3" s="1"/>
  <c r="F628" i="3"/>
  <c r="G628" i="3" s="1"/>
  <c r="F629" i="3"/>
  <c r="G629" i="3" s="1"/>
  <c r="F630" i="3"/>
  <c r="G630" i="3" s="1"/>
  <c r="F631" i="3"/>
  <c r="G631" i="3" s="1"/>
  <c r="F632" i="3"/>
  <c r="G632" i="3" s="1"/>
  <c r="F633" i="3"/>
  <c r="G633" i="3" s="1"/>
  <c r="F634" i="3"/>
  <c r="G634" i="3" s="1"/>
  <c r="F635" i="3"/>
  <c r="G635" i="3" s="1"/>
  <c r="F636" i="3"/>
  <c r="G636" i="3" s="1"/>
  <c r="F637" i="3"/>
  <c r="G637" i="3" s="1"/>
  <c r="F638" i="3"/>
  <c r="G638" i="3" s="1"/>
  <c r="F639" i="3"/>
  <c r="G639" i="3" s="1"/>
  <c r="F640" i="3"/>
  <c r="G640" i="3" s="1"/>
  <c r="F641" i="3"/>
  <c r="G641" i="3" s="1"/>
  <c r="F642" i="3"/>
  <c r="G642" i="3" s="1"/>
  <c r="F643" i="3"/>
  <c r="G643" i="3" s="1"/>
  <c r="F644" i="3"/>
  <c r="G644" i="3" s="1"/>
  <c r="F645" i="3"/>
  <c r="G645" i="3" s="1"/>
  <c r="F646" i="3"/>
  <c r="G646" i="3" s="1"/>
  <c r="F647" i="3"/>
  <c r="G647" i="3" s="1"/>
  <c r="F648" i="3"/>
  <c r="G648" i="3" s="1"/>
  <c r="F649" i="3"/>
  <c r="G649" i="3" s="1"/>
  <c r="F650" i="3"/>
  <c r="G650" i="3" s="1"/>
  <c r="F651" i="3"/>
  <c r="G651" i="3" s="1"/>
  <c r="F652" i="3"/>
  <c r="G652" i="3" s="1"/>
  <c r="F653" i="3"/>
  <c r="G653" i="3" s="1"/>
  <c r="F654" i="3"/>
  <c r="G654" i="3" s="1"/>
  <c r="F655" i="3"/>
  <c r="G655" i="3" s="1"/>
  <c r="F656" i="3"/>
  <c r="G656" i="3" s="1"/>
  <c r="F657" i="3"/>
  <c r="G657" i="3" s="1"/>
  <c r="F658" i="3"/>
  <c r="G658" i="3" s="1"/>
  <c r="F659" i="3"/>
  <c r="G659" i="3" s="1"/>
  <c r="F660" i="3"/>
  <c r="G660" i="3" s="1"/>
  <c r="F661" i="3"/>
  <c r="G661" i="3" s="1"/>
  <c r="F662" i="3"/>
  <c r="G662" i="3" s="1"/>
  <c r="F663" i="3"/>
  <c r="G663" i="3" s="1"/>
  <c r="F664" i="3"/>
  <c r="G664" i="3" s="1"/>
  <c r="F665" i="3"/>
  <c r="G665" i="3" s="1"/>
  <c r="F666" i="3"/>
  <c r="G666" i="3" s="1"/>
  <c r="F667" i="3"/>
  <c r="G667" i="3" s="1"/>
  <c r="F668" i="3"/>
  <c r="G668" i="3" s="1"/>
  <c r="F669" i="3"/>
  <c r="G669" i="3" s="1"/>
  <c r="F670" i="3"/>
  <c r="G670" i="3" s="1"/>
  <c r="F671" i="3"/>
  <c r="G671" i="3" s="1"/>
  <c r="F672" i="3"/>
  <c r="G672" i="3" s="1"/>
  <c r="F673" i="3"/>
  <c r="G673" i="3" s="1"/>
  <c r="F674" i="3"/>
  <c r="G674" i="3" s="1"/>
  <c r="F675" i="3"/>
  <c r="G675" i="3" s="1"/>
  <c r="F676" i="3"/>
  <c r="G676" i="3" s="1"/>
  <c r="F677" i="3"/>
  <c r="G677" i="3" s="1"/>
  <c r="F678" i="3"/>
  <c r="G678" i="3" s="1"/>
  <c r="F679" i="3"/>
  <c r="G679" i="3" s="1"/>
  <c r="F680" i="3"/>
  <c r="G680" i="3" s="1"/>
  <c r="F681" i="3"/>
  <c r="G681" i="3" s="1"/>
  <c r="F682" i="3"/>
  <c r="G682" i="3" s="1"/>
  <c r="F683" i="3"/>
  <c r="G683" i="3" s="1"/>
  <c r="F684" i="3"/>
  <c r="G684" i="3" s="1"/>
  <c r="F685" i="3"/>
  <c r="G685" i="3" s="1"/>
  <c r="F686" i="3"/>
  <c r="G686" i="3" s="1"/>
  <c r="F687" i="3"/>
  <c r="G687" i="3" s="1"/>
  <c r="F688" i="3"/>
  <c r="G688" i="3" s="1"/>
  <c r="F689" i="3"/>
  <c r="G689" i="3" s="1"/>
  <c r="F690" i="3"/>
  <c r="G690" i="3" s="1"/>
  <c r="F691" i="3"/>
  <c r="G691" i="3" s="1"/>
  <c r="F692" i="3"/>
  <c r="G692" i="3" s="1"/>
  <c r="F693" i="3"/>
  <c r="G693" i="3" s="1"/>
  <c r="F694" i="3"/>
  <c r="G694" i="3" s="1"/>
  <c r="F695" i="3"/>
  <c r="G695" i="3" s="1"/>
  <c r="F696" i="3"/>
  <c r="G696" i="3" s="1"/>
  <c r="F697" i="3"/>
  <c r="G697" i="3" s="1"/>
  <c r="F698" i="3"/>
  <c r="G698" i="3" s="1"/>
  <c r="F699" i="3"/>
  <c r="G699" i="3" s="1"/>
  <c r="F700" i="3"/>
  <c r="G700" i="3" s="1"/>
  <c r="F701" i="3"/>
  <c r="G701" i="3" s="1"/>
  <c r="F702" i="3"/>
  <c r="G702" i="3" s="1"/>
  <c r="F703" i="3"/>
  <c r="G703" i="3" s="1"/>
  <c r="F704" i="3"/>
  <c r="G704" i="3" s="1"/>
  <c r="F705" i="3"/>
  <c r="G705" i="3" s="1"/>
  <c r="F706" i="3"/>
  <c r="G706" i="3" s="1"/>
  <c r="F707" i="3"/>
  <c r="G707" i="3" s="1"/>
  <c r="F708" i="3"/>
  <c r="G708" i="3" s="1"/>
  <c r="F709" i="3"/>
  <c r="G709" i="3" s="1"/>
  <c r="F710" i="3"/>
  <c r="G710" i="3" s="1"/>
  <c r="F711" i="3"/>
  <c r="G711" i="3" s="1"/>
  <c r="F712" i="3"/>
  <c r="G712" i="3" s="1"/>
  <c r="F713" i="3"/>
  <c r="G713" i="3" s="1"/>
  <c r="F714" i="3"/>
  <c r="G714" i="3" s="1"/>
  <c r="F715" i="3"/>
  <c r="G715" i="3" s="1"/>
  <c r="F716" i="3"/>
  <c r="G716" i="3" s="1"/>
  <c r="F717" i="3"/>
  <c r="G717" i="3" s="1"/>
  <c r="F718" i="3"/>
  <c r="G718" i="3" s="1"/>
  <c r="F719" i="3"/>
  <c r="G719" i="3" s="1"/>
  <c r="F720" i="3"/>
  <c r="G720" i="3" s="1"/>
  <c r="F721" i="3"/>
  <c r="G721" i="3" s="1"/>
  <c r="F722" i="3"/>
  <c r="G722" i="3" s="1"/>
  <c r="F723" i="3"/>
  <c r="G723" i="3" s="1"/>
  <c r="F724" i="3"/>
  <c r="G724" i="3" s="1"/>
  <c r="F725" i="3"/>
  <c r="G725" i="3" s="1"/>
  <c r="F726" i="3"/>
  <c r="G726" i="3" s="1"/>
  <c r="F727" i="3"/>
  <c r="G727" i="3" s="1"/>
  <c r="F728" i="3"/>
  <c r="G728" i="3" s="1"/>
  <c r="F729" i="3"/>
  <c r="G729" i="3" s="1"/>
  <c r="F730" i="3"/>
  <c r="G730" i="3" s="1"/>
  <c r="F731" i="3"/>
  <c r="G731" i="3" s="1"/>
  <c r="F732" i="3"/>
  <c r="G732" i="3" s="1"/>
  <c r="F733" i="3"/>
  <c r="G733" i="3" s="1"/>
  <c r="F734" i="3"/>
  <c r="G734" i="3" s="1"/>
  <c r="F735" i="3"/>
  <c r="G735" i="3" s="1"/>
  <c r="F8" i="3"/>
  <c r="G8" i="3" s="1"/>
  <c r="D5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D5" i="2" l="1"/>
  <c r="D502" i="1" l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K502" i="2" l="1"/>
  <c r="L502" i="2" s="1"/>
  <c r="K503" i="2"/>
  <c r="L503" i="2" s="1"/>
  <c r="K504" i="2"/>
  <c r="L504" i="2" s="1"/>
  <c r="K505" i="2"/>
  <c r="L505" i="2" s="1"/>
  <c r="K506" i="2"/>
  <c r="L506" i="2" s="1"/>
  <c r="K507" i="2"/>
  <c r="L507" i="2" s="1"/>
  <c r="K508" i="2"/>
  <c r="L508" i="2" s="1"/>
  <c r="K509" i="2"/>
  <c r="L509" i="2" s="1"/>
  <c r="K510" i="2"/>
  <c r="L510" i="2" s="1"/>
  <c r="K511" i="2"/>
  <c r="L511" i="2" s="1"/>
  <c r="K512" i="2"/>
  <c r="L512" i="2" s="1"/>
  <c r="K513" i="2"/>
  <c r="L513" i="2" s="1"/>
  <c r="K514" i="2"/>
  <c r="L514" i="2" s="1"/>
  <c r="K515" i="2"/>
  <c r="L515" i="2" s="1"/>
  <c r="K516" i="2"/>
  <c r="L516" i="2" s="1"/>
  <c r="K517" i="2"/>
  <c r="L517" i="2" s="1"/>
  <c r="K518" i="2"/>
  <c r="L518" i="2" s="1"/>
  <c r="K519" i="2"/>
  <c r="L519" i="2" s="1"/>
  <c r="K520" i="2"/>
  <c r="L520" i="2" s="1"/>
  <c r="K521" i="2"/>
  <c r="L521" i="2" s="1"/>
  <c r="K522" i="2"/>
  <c r="L522" i="2" s="1"/>
  <c r="K523" i="2"/>
  <c r="L523" i="2" s="1"/>
  <c r="K524" i="2"/>
  <c r="L524" i="2" s="1"/>
  <c r="K525" i="2"/>
  <c r="L525" i="2" s="1"/>
  <c r="K526" i="2"/>
  <c r="L526" i="2" s="1"/>
  <c r="K527" i="2"/>
  <c r="L527" i="2" s="1"/>
  <c r="K528" i="2"/>
  <c r="L528" i="2" s="1"/>
  <c r="K529" i="2"/>
  <c r="L529" i="2" s="1"/>
  <c r="K530" i="2"/>
  <c r="L530" i="2" s="1"/>
  <c r="K531" i="2"/>
  <c r="L531" i="2" s="1"/>
  <c r="K532" i="2"/>
  <c r="L532" i="2" s="1"/>
  <c r="K533" i="2"/>
  <c r="L533" i="2" s="1"/>
  <c r="K534" i="2"/>
  <c r="L534" i="2" s="1"/>
  <c r="K535" i="2"/>
  <c r="L535" i="2" s="1"/>
  <c r="K536" i="2"/>
  <c r="L536" i="2" s="1"/>
  <c r="K537" i="2"/>
  <c r="L537" i="2" s="1"/>
  <c r="K538" i="2"/>
  <c r="L538" i="2" s="1"/>
  <c r="K539" i="2"/>
  <c r="L539" i="2" s="1"/>
  <c r="K540" i="2"/>
  <c r="L540" i="2" s="1"/>
  <c r="K541" i="2"/>
  <c r="L541" i="2" s="1"/>
  <c r="K542" i="2"/>
  <c r="L542" i="2" s="1"/>
  <c r="K543" i="2"/>
  <c r="L543" i="2" s="1"/>
  <c r="K544" i="2"/>
  <c r="L544" i="2" s="1"/>
  <c r="K545" i="2"/>
  <c r="L545" i="2" s="1"/>
  <c r="K546" i="2"/>
  <c r="L546" i="2" s="1"/>
  <c r="K547" i="2"/>
  <c r="L547" i="2" s="1"/>
  <c r="K548" i="2"/>
  <c r="L548" i="2" s="1"/>
  <c r="K549" i="2"/>
  <c r="L549" i="2" s="1"/>
  <c r="K550" i="2"/>
  <c r="L550" i="2" s="1"/>
  <c r="K551" i="2"/>
  <c r="L551" i="2" s="1"/>
  <c r="K552" i="2"/>
  <c r="L552" i="2" s="1"/>
  <c r="K553" i="2"/>
  <c r="L553" i="2" s="1"/>
  <c r="K554" i="2"/>
  <c r="L554" i="2" s="1"/>
  <c r="K555" i="2"/>
  <c r="L555" i="2" s="1"/>
  <c r="K556" i="2"/>
  <c r="L556" i="2" s="1"/>
  <c r="K557" i="2"/>
  <c r="L557" i="2" s="1"/>
  <c r="K558" i="2"/>
  <c r="L558" i="2" s="1"/>
  <c r="K559" i="2"/>
  <c r="L559" i="2" s="1"/>
  <c r="K560" i="2"/>
  <c r="L560" i="2" s="1"/>
  <c r="K561" i="2"/>
  <c r="L561" i="2" s="1"/>
  <c r="K562" i="2"/>
  <c r="L562" i="2" s="1"/>
  <c r="K563" i="2"/>
  <c r="L563" i="2" s="1"/>
  <c r="K564" i="2"/>
  <c r="L564" i="2" s="1"/>
  <c r="K565" i="2"/>
  <c r="L565" i="2" s="1"/>
  <c r="K566" i="2"/>
  <c r="L566" i="2" s="1"/>
  <c r="K567" i="2"/>
  <c r="L567" i="2" s="1"/>
  <c r="K568" i="2"/>
  <c r="L568" i="2" s="1"/>
  <c r="K569" i="2"/>
  <c r="L569" i="2" s="1"/>
  <c r="K570" i="2"/>
  <c r="L570" i="2" s="1"/>
  <c r="K571" i="2"/>
  <c r="L571" i="2" s="1"/>
  <c r="K572" i="2"/>
  <c r="L572" i="2" s="1"/>
  <c r="K573" i="2"/>
  <c r="L573" i="2" s="1"/>
  <c r="K574" i="2"/>
  <c r="L574" i="2" s="1"/>
  <c r="K575" i="2"/>
  <c r="L575" i="2" s="1"/>
  <c r="K576" i="2"/>
  <c r="L576" i="2" s="1"/>
  <c r="K577" i="2"/>
  <c r="L577" i="2" s="1"/>
  <c r="K578" i="2"/>
  <c r="L578" i="2" s="1"/>
  <c r="K579" i="2"/>
  <c r="L579" i="2" s="1"/>
  <c r="K580" i="2"/>
  <c r="L580" i="2" s="1"/>
  <c r="K581" i="2"/>
  <c r="L581" i="2" s="1"/>
  <c r="K582" i="2"/>
  <c r="L582" i="2" s="1"/>
  <c r="K583" i="2"/>
  <c r="L583" i="2" s="1"/>
  <c r="K584" i="2"/>
  <c r="L584" i="2" s="1"/>
  <c r="K585" i="2"/>
  <c r="L585" i="2" s="1"/>
  <c r="K586" i="2"/>
  <c r="L586" i="2" s="1"/>
  <c r="K587" i="2"/>
  <c r="L587" i="2" s="1"/>
  <c r="K588" i="2"/>
  <c r="L588" i="2" s="1"/>
  <c r="K589" i="2"/>
  <c r="L589" i="2" s="1"/>
  <c r="K590" i="2"/>
  <c r="L590" i="2" s="1"/>
  <c r="K591" i="2"/>
  <c r="L591" i="2" s="1"/>
  <c r="K592" i="2"/>
  <c r="L592" i="2" s="1"/>
  <c r="K593" i="2"/>
  <c r="L593" i="2" s="1"/>
  <c r="K594" i="2"/>
  <c r="L594" i="2" s="1"/>
  <c r="K595" i="2"/>
  <c r="L595" i="2" s="1"/>
  <c r="K596" i="2"/>
  <c r="L596" i="2" s="1"/>
  <c r="K597" i="2"/>
  <c r="L597" i="2" s="1"/>
  <c r="K598" i="2"/>
  <c r="L598" i="2" s="1"/>
  <c r="K599" i="2"/>
  <c r="L599" i="2" s="1"/>
  <c r="K600" i="2"/>
  <c r="L600" i="2" s="1"/>
  <c r="K601" i="2"/>
  <c r="L601" i="2" s="1"/>
  <c r="K602" i="2"/>
  <c r="L602" i="2" s="1"/>
  <c r="K603" i="2"/>
  <c r="L603" i="2" s="1"/>
  <c r="K604" i="2"/>
  <c r="L604" i="2" s="1"/>
  <c r="K605" i="2"/>
  <c r="L605" i="2" s="1"/>
  <c r="K606" i="2"/>
  <c r="L606" i="2" s="1"/>
  <c r="K607" i="2"/>
  <c r="L607" i="2" s="1"/>
  <c r="K608" i="2"/>
  <c r="L608" i="2" s="1"/>
  <c r="K609" i="2"/>
  <c r="L609" i="2" s="1"/>
  <c r="K610" i="2"/>
  <c r="L610" i="2" s="1"/>
  <c r="K611" i="2"/>
  <c r="L611" i="2" s="1"/>
  <c r="K612" i="2"/>
  <c r="L612" i="2" s="1"/>
  <c r="K613" i="2"/>
  <c r="L613" i="2" s="1"/>
  <c r="K614" i="2"/>
  <c r="L614" i="2" s="1"/>
  <c r="K615" i="2"/>
  <c r="L615" i="2" s="1"/>
  <c r="K616" i="2"/>
  <c r="L616" i="2" s="1"/>
  <c r="K617" i="2"/>
  <c r="L617" i="2" s="1"/>
  <c r="K618" i="2"/>
  <c r="L618" i="2" s="1"/>
  <c r="K619" i="2"/>
  <c r="L619" i="2" s="1"/>
  <c r="K620" i="2"/>
  <c r="L620" i="2" s="1"/>
  <c r="K621" i="2"/>
  <c r="L621" i="2" s="1"/>
  <c r="K622" i="2"/>
  <c r="L622" i="2" s="1"/>
  <c r="K623" i="2"/>
  <c r="L623" i="2" s="1"/>
  <c r="K624" i="2"/>
  <c r="L624" i="2" s="1"/>
  <c r="K625" i="2"/>
  <c r="L625" i="2" s="1"/>
  <c r="K626" i="2"/>
  <c r="L626" i="2" s="1"/>
  <c r="K627" i="2"/>
  <c r="L627" i="2" s="1"/>
  <c r="K628" i="2"/>
  <c r="L628" i="2" s="1"/>
  <c r="K629" i="2"/>
  <c r="L629" i="2" s="1"/>
  <c r="K630" i="2"/>
  <c r="L630" i="2" s="1"/>
  <c r="K631" i="2"/>
  <c r="L631" i="2" s="1"/>
  <c r="K632" i="2"/>
  <c r="L632" i="2" s="1"/>
  <c r="K633" i="2"/>
  <c r="L633" i="2" s="1"/>
  <c r="K634" i="2"/>
  <c r="L634" i="2" s="1"/>
  <c r="K635" i="2"/>
  <c r="L635" i="2" s="1"/>
  <c r="K636" i="2"/>
  <c r="L636" i="2" s="1"/>
  <c r="K637" i="2"/>
  <c r="L637" i="2" s="1"/>
  <c r="K638" i="2"/>
  <c r="L638" i="2" s="1"/>
  <c r="K639" i="2"/>
  <c r="L639" i="2" s="1"/>
  <c r="K640" i="2"/>
  <c r="L640" i="2" s="1"/>
  <c r="K641" i="2"/>
  <c r="L641" i="2" s="1"/>
  <c r="K642" i="2"/>
  <c r="L642" i="2" s="1"/>
  <c r="K643" i="2"/>
  <c r="L643" i="2" s="1"/>
  <c r="K644" i="2"/>
  <c r="L644" i="2" s="1"/>
  <c r="K645" i="2"/>
  <c r="L645" i="2" s="1"/>
  <c r="K646" i="2"/>
  <c r="L646" i="2" s="1"/>
  <c r="K647" i="2"/>
  <c r="L647" i="2" s="1"/>
  <c r="K648" i="2"/>
  <c r="L648" i="2" s="1"/>
  <c r="K649" i="2"/>
  <c r="L649" i="2" s="1"/>
  <c r="K650" i="2"/>
  <c r="L650" i="2" s="1"/>
  <c r="K651" i="2"/>
  <c r="L651" i="2" s="1"/>
  <c r="K652" i="2"/>
  <c r="L652" i="2" s="1"/>
  <c r="K653" i="2"/>
  <c r="L653" i="2" s="1"/>
  <c r="K654" i="2"/>
  <c r="L654" i="2" s="1"/>
  <c r="K655" i="2"/>
  <c r="L655" i="2" s="1"/>
  <c r="K656" i="2"/>
  <c r="L656" i="2" s="1"/>
  <c r="K657" i="2"/>
  <c r="L657" i="2" s="1"/>
  <c r="K658" i="2"/>
  <c r="L658" i="2" s="1"/>
  <c r="K659" i="2"/>
  <c r="L659" i="2" s="1"/>
  <c r="K660" i="2"/>
  <c r="L660" i="2" s="1"/>
  <c r="K661" i="2"/>
  <c r="L661" i="2" s="1"/>
  <c r="K662" i="2"/>
  <c r="L662" i="2" s="1"/>
  <c r="K663" i="2"/>
  <c r="L663" i="2" s="1"/>
  <c r="K664" i="2"/>
  <c r="L664" i="2" s="1"/>
  <c r="K665" i="2"/>
  <c r="L665" i="2" s="1"/>
  <c r="K666" i="2"/>
  <c r="L666" i="2" s="1"/>
  <c r="K667" i="2"/>
  <c r="L667" i="2" s="1"/>
  <c r="K668" i="2"/>
  <c r="L668" i="2" s="1"/>
  <c r="K669" i="2"/>
  <c r="L669" i="2" s="1"/>
  <c r="K670" i="2"/>
  <c r="L670" i="2" s="1"/>
  <c r="K671" i="2"/>
  <c r="L671" i="2" s="1"/>
  <c r="K672" i="2"/>
  <c r="L672" i="2" s="1"/>
  <c r="K673" i="2"/>
  <c r="L673" i="2" s="1"/>
  <c r="K674" i="2"/>
  <c r="L674" i="2" s="1"/>
  <c r="K675" i="2"/>
  <c r="L675" i="2" s="1"/>
  <c r="K676" i="2"/>
  <c r="L676" i="2" s="1"/>
  <c r="K677" i="2"/>
  <c r="L677" i="2" s="1"/>
  <c r="K678" i="2"/>
  <c r="L678" i="2" s="1"/>
  <c r="K679" i="2"/>
  <c r="L679" i="2" s="1"/>
  <c r="K680" i="2"/>
  <c r="L680" i="2" s="1"/>
  <c r="K681" i="2"/>
  <c r="L681" i="2" s="1"/>
  <c r="K682" i="2"/>
  <c r="L682" i="2" s="1"/>
  <c r="K683" i="2"/>
  <c r="L683" i="2" s="1"/>
  <c r="K684" i="2"/>
  <c r="L684" i="2" s="1"/>
  <c r="K685" i="2"/>
  <c r="L685" i="2" s="1"/>
  <c r="K686" i="2"/>
  <c r="L686" i="2" s="1"/>
  <c r="K687" i="2"/>
  <c r="L687" i="2" s="1"/>
  <c r="K688" i="2"/>
  <c r="L688" i="2" s="1"/>
  <c r="K689" i="2"/>
  <c r="L689" i="2" s="1"/>
  <c r="K690" i="2"/>
  <c r="L690" i="2" s="1"/>
  <c r="K691" i="2"/>
  <c r="L691" i="2" s="1"/>
  <c r="K692" i="2"/>
  <c r="L692" i="2" s="1"/>
  <c r="K693" i="2"/>
  <c r="L693" i="2" s="1"/>
  <c r="K694" i="2"/>
  <c r="L694" i="2" s="1"/>
  <c r="K695" i="2"/>
  <c r="L695" i="2" s="1"/>
  <c r="K696" i="2"/>
  <c r="L696" i="2" s="1"/>
  <c r="K697" i="2"/>
  <c r="L697" i="2" s="1"/>
  <c r="K698" i="2"/>
  <c r="L698" i="2" s="1"/>
  <c r="K699" i="2"/>
  <c r="L699" i="2" s="1"/>
  <c r="K700" i="2"/>
  <c r="L700" i="2" s="1"/>
  <c r="K701" i="2"/>
  <c r="L701" i="2" s="1"/>
  <c r="K702" i="2"/>
  <c r="L702" i="2" s="1"/>
  <c r="K703" i="2"/>
  <c r="L703" i="2" s="1"/>
  <c r="K704" i="2"/>
  <c r="L704" i="2" s="1"/>
  <c r="K705" i="2"/>
  <c r="L705" i="2" s="1"/>
  <c r="K706" i="2"/>
  <c r="L706" i="2" s="1"/>
  <c r="K707" i="2"/>
  <c r="L707" i="2" s="1"/>
  <c r="K708" i="2"/>
  <c r="L708" i="2" s="1"/>
  <c r="K709" i="2"/>
  <c r="L709" i="2" s="1"/>
  <c r="K710" i="2"/>
  <c r="L710" i="2" s="1"/>
  <c r="K711" i="2"/>
  <c r="L711" i="2" s="1"/>
  <c r="K712" i="2"/>
  <c r="L712" i="2" s="1"/>
  <c r="K713" i="2"/>
  <c r="L713" i="2" s="1"/>
  <c r="K714" i="2"/>
  <c r="L714" i="2" s="1"/>
  <c r="K715" i="2"/>
  <c r="L715" i="2" s="1"/>
  <c r="K716" i="2"/>
  <c r="L716" i="2" s="1"/>
  <c r="K717" i="2"/>
  <c r="L717" i="2" s="1"/>
  <c r="K718" i="2"/>
  <c r="L718" i="2" s="1"/>
  <c r="K719" i="2"/>
  <c r="L719" i="2" s="1"/>
  <c r="K720" i="2"/>
  <c r="L720" i="2" s="1"/>
  <c r="K721" i="2"/>
  <c r="L721" i="2" s="1"/>
  <c r="K722" i="2"/>
  <c r="L722" i="2" s="1"/>
  <c r="K723" i="2"/>
  <c r="L723" i="2" s="1"/>
  <c r="K724" i="2"/>
  <c r="L724" i="2" s="1"/>
  <c r="K725" i="2"/>
  <c r="L725" i="2" s="1"/>
  <c r="K726" i="2"/>
  <c r="L726" i="2" s="1"/>
  <c r="K727" i="2"/>
  <c r="L727" i="2" s="1"/>
  <c r="K728" i="2"/>
  <c r="L728" i="2" s="1"/>
  <c r="K729" i="2"/>
  <c r="L729" i="2" s="1"/>
  <c r="K730" i="2"/>
  <c r="L730" i="2" s="1"/>
  <c r="K731" i="2"/>
  <c r="L731" i="2" s="1"/>
  <c r="K732" i="2"/>
  <c r="L732" i="2" s="1"/>
  <c r="K733" i="2"/>
  <c r="L733" i="2" s="1"/>
  <c r="K734" i="2"/>
  <c r="L734" i="2" s="1"/>
  <c r="K735" i="2"/>
  <c r="L735" i="2" s="1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K6" i="2" l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" i="2"/>
  <c r="C501" i="3"/>
  <c r="D501" i="3" s="1"/>
  <c r="C500" i="3"/>
  <c r="D500" i="3" s="1"/>
  <c r="C499" i="3"/>
  <c r="D499" i="3" s="1"/>
  <c r="C498" i="3"/>
  <c r="D498" i="3" s="1"/>
  <c r="C497" i="3"/>
  <c r="D497" i="3" s="1"/>
  <c r="C496" i="3"/>
  <c r="D496" i="3" s="1"/>
  <c r="C495" i="3"/>
  <c r="D495" i="3" s="1"/>
  <c r="C494" i="3"/>
  <c r="D494" i="3" s="1"/>
  <c r="C493" i="3"/>
  <c r="D493" i="3" s="1"/>
  <c r="C492" i="3"/>
  <c r="D492" i="3" s="1"/>
  <c r="C491" i="3"/>
  <c r="D491" i="3" s="1"/>
  <c r="C490" i="3"/>
  <c r="D490" i="3" s="1"/>
  <c r="C489" i="3"/>
  <c r="D489" i="3" s="1"/>
  <c r="C488" i="3"/>
  <c r="D488" i="3" s="1"/>
  <c r="C487" i="3"/>
  <c r="D487" i="3" s="1"/>
  <c r="C486" i="3"/>
  <c r="D486" i="3" s="1"/>
  <c r="C485" i="3"/>
  <c r="D485" i="3" s="1"/>
  <c r="C484" i="3"/>
  <c r="D484" i="3" s="1"/>
  <c r="C483" i="3"/>
  <c r="D483" i="3" s="1"/>
  <c r="C482" i="3"/>
  <c r="D482" i="3" s="1"/>
  <c r="C481" i="3"/>
  <c r="D481" i="3" s="1"/>
  <c r="C480" i="3"/>
  <c r="D480" i="3" s="1"/>
  <c r="C479" i="3"/>
  <c r="D479" i="3" s="1"/>
  <c r="C478" i="3"/>
  <c r="D478" i="3" s="1"/>
  <c r="C477" i="3"/>
  <c r="D477" i="3" s="1"/>
  <c r="C476" i="3"/>
  <c r="D476" i="3" s="1"/>
  <c r="C475" i="3"/>
  <c r="D475" i="3" s="1"/>
  <c r="C474" i="3"/>
  <c r="D474" i="3" s="1"/>
  <c r="C473" i="3"/>
  <c r="D473" i="3" s="1"/>
  <c r="C472" i="3"/>
  <c r="D472" i="3" s="1"/>
  <c r="C471" i="3"/>
  <c r="D471" i="3" s="1"/>
  <c r="C470" i="3"/>
  <c r="D470" i="3" s="1"/>
  <c r="C469" i="3"/>
  <c r="D469" i="3" s="1"/>
  <c r="C468" i="3"/>
  <c r="D468" i="3" s="1"/>
  <c r="C467" i="3"/>
  <c r="D467" i="3" s="1"/>
  <c r="C466" i="3"/>
  <c r="D466" i="3" s="1"/>
  <c r="C465" i="3"/>
  <c r="D465" i="3" s="1"/>
  <c r="C464" i="3"/>
  <c r="D464" i="3" s="1"/>
  <c r="C463" i="3"/>
  <c r="D463" i="3" s="1"/>
  <c r="C462" i="3"/>
  <c r="D462" i="3" s="1"/>
  <c r="C461" i="3"/>
  <c r="D461" i="3" s="1"/>
  <c r="C460" i="3"/>
  <c r="D460" i="3" s="1"/>
  <c r="C459" i="3"/>
  <c r="D459" i="3" s="1"/>
  <c r="C458" i="3"/>
  <c r="D458" i="3" s="1"/>
  <c r="C457" i="3"/>
  <c r="D457" i="3" s="1"/>
  <c r="C456" i="3"/>
  <c r="D456" i="3" s="1"/>
  <c r="C455" i="3"/>
  <c r="D455" i="3" s="1"/>
  <c r="C454" i="3"/>
  <c r="D454" i="3" s="1"/>
  <c r="C453" i="3"/>
  <c r="D453" i="3" s="1"/>
  <c r="C452" i="3"/>
  <c r="D452" i="3" s="1"/>
  <c r="C451" i="3"/>
  <c r="D451" i="3" s="1"/>
  <c r="C450" i="3"/>
  <c r="D450" i="3" s="1"/>
  <c r="C449" i="3"/>
  <c r="D449" i="3" s="1"/>
  <c r="C448" i="3"/>
  <c r="D448" i="3" s="1"/>
  <c r="C447" i="3"/>
  <c r="D447" i="3" s="1"/>
  <c r="C446" i="3"/>
  <c r="D446" i="3" s="1"/>
  <c r="C445" i="3"/>
  <c r="D445" i="3" s="1"/>
  <c r="C444" i="3"/>
  <c r="D444" i="3" s="1"/>
  <c r="C443" i="3"/>
  <c r="D443" i="3" s="1"/>
  <c r="C442" i="3"/>
  <c r="D442" i="3" s="1"/>
  <c r="C441" i="3"/>
  <c r="D441" i="3" s="1"/>
  <c r="C440" i="3"/>
  <c r="D440" i="3" s="1"/>
  <c r="C439" i="3"/>
  <c r="D439" i="3" s="1"/>
  <c r="C438" i="3"/>
  <c r="D438" i="3" s="1"/>
  <c r="C437" i="3"/>
  <c r="D437" i="3" s="1"/>
  <c r="C436" i="3"/>
  <c r="D436" i="3" s="1"/>
  <c r="C435" i="3"/>
  <c r="D435" i="3" s="1"/>
  <c r="C434" i="3"/>
  <c r="D434" i="3" s="1"/>
  <c r="C433" i="3"/>
  <c r="D433" i="3" s="1"/>
  <c r="C432" i="3"/>
  <c r="D432" i="3" s="1"/>
  <c r="C431" i="3"/>
  <c r="D431" i="3" s="1"/>
  <c r="C430" i="3"/>
  <c r="D430" i="3" s="1"/>
  <c r="C429" i="3"/>
  <c r="D429" i="3" s="1"/>
  <c r="C428" i="3"/>
  <c r="D428" i="3" s="1"/>
  <c r="C427" i="3"/>
  <c r="D427" i="3" s="1"/>
  <c r="C426" i="3"/>
  <c r="D426" i="3" s="1"/>
  <c r="C425" i="3"/>
  <c r="D425" i="3" s="1"/>
  <c r="C424" i="3"/>
  <c r="D424" i="3" s="1"/>
  <c r="C423" i="3"/>
  <c r="D423" i="3" s="1"/>
  <c r="C422" i="3"/>
  <c r="D422" i="3" s="1"/>
  <c r="C421" i="3"/>
  <c r="D421" i="3" s="1"/>
  <c r="C420" i="3"/>
  <c r="D420" i="3" s="1"/>
  <c r="C419" i="3"/>
  <c r="D419" i="3" s="1"/>
  <c r="C418" i="3"/>
  <c r="D418" i="3" s="1"/>
  <c r="C417" i="3"/>
  <c r="D417" i="3" s="1"/>
  <c r="C416" i="3"/>
  <c r="D416" i="3" s="1"/>
  <c r="C415" i="3"/>
  <c r="D415" i="3" s="1"/>
  <c r="C414" i="3"/>
  <c r="D414" i="3" s="1"/>
  <c r="C413" i="3"/>
  <c r="D413" i="3" s="1"/>
  <c r="C412" i="3"/>
  <c r="D412" i="3" s="1"/>
  <c r="C411" i="3"/>
  <c r="D411" i="3" s="1"/>
  <c r="C410" i="3"/>
  <c r="D410" i="3" s="1"/>
  <c r="C409" i="3"/>
  <c r="D409" i="3" s="1"/>
  <c r="C408" i="3"/>
  <c r="D408" i="3" s="1"/>
  <c r="C407" i="3"/>
  <c r="D407" i="3" s="1"/>
  <c r="C406" i="3"/>
  <c r="D406" i="3" s="1"/>
  <c r="C405" i="3"/>
  <c r="D405" i="3" s="1"/>
  <c r="C404" i="3"/>
  <c r="D404" i="3" s="1"/>
  <c r="C403" i="3"/>
  <c r="D403" i="3" s="1"/>
  <c r="C402" i="3"/>
  <c r="D402" i="3" s="1"/>
  <c r="C401" i="3"/>
  <c r="D401" i="3" s="1"/>
  <c r="C400" i="3"/>
  <c r="D400" i="3" s="1"/>
  <c r="C399" i="3"/>
  <c r="D399" i="3" s="1"/>
  <c r="C398" i="3"/>
  <c r="D398" i="3" s="1"/>
  <c r="C397" i="3"/>
  <c r="D397" i="3" s="1"/>
  <c r="C396" i="3"/>
  <c r="D396" i="3" s="1"/>
  <c r="C395" i="3"/>
  <c r="D395" i="3" s="1"/>
  <c r="C394" i="3"/>
  <c r="D394" i="3" s="1"/>
  <c r="C393" i="3"/>
  <c r="D393" i="3" s="1"/>
  <c r="C392" i="3"/>
  <c r="D392" i="3" s="1"/>
  <c r="C391" i="3"/>
  <c r="D391" i="3" s="1"/>
  <c r="C390" i="3"/>
  <c r="D390" i="3" s="1"/>
  <c r="C389" i="3"/>
  <c r="D389" i="3" s="1"/>
  <c r="C388" i="3"/>
  <c r="D388" i="3" s="1"/>
  <c r="C387" i="3"/>
  <c r="D387" i="3" s="1"/>
  <c r="C386" i="3"/>
  <c r="D386" i="3" s="1"/>
  <c r="C385" i="3"/>
  <c r="D385" i="3" s="1"/>
  <c r="C384" i="3"/>
  <c r="D384" i="3" s="1"/>
  <c r="C383" i="3"/>
  <c r="D383" i="3" s="1"/>
  <c r="C382" i="3"/>
  <c r="D382" i="3" s="1"/>
  <c r="C381" i="3"/>
  <c r="D381" i="3" s="1"/>
  <c r="C380" i="3"/>
  <c r="D380" i="3" s="1"/>
  <c r="C379" i="3"/>
  <c r="D379" i="3" s="1"/>
  <c r="C378" i="3"/>
  <c r="D378" i="3" s="1"/>
  <c r="C377" i="3"/>
  <c r="D377" i="3" s="1"/>
  <c r="C376" i="3"/>
  <c r="D376" i="3" s="1"/>
  <c r="C375" i="3"/>
  <c r="D375" i="3" s="1"/>
  <c r="C374" i="3"/>
  <c r="D374" i="3" s="1"/>
  <c r="C373" i="3"/>
  <c r="D373" i="3" s="1"/>
  <c r="C372" i="3"/>
  <c r="D372" i="3" s="1"/>
  <c r="C371" i="3"/>
  <c r="D371" i="3" s="1"/>
  <c r="C370" i="3"/>
  <c r="D370" i="3" s="1"/>
  <c r="C369" i="3"/>
  <c r="D369" i="3" s="1"/>
  <c r="C368" i="3"/>
  <c r="D368" i="3" s="1"/>
  <c r="C367" i="3"/>
  <c r="D367" i="3" s="1"/>
  <c r="C366" i="3"/>
  <c r="D366" i="3" s="1"/>
  <c r="C365" i="3"/>
  <c r="D365" i="3" s="1"/>
  <c r="C364" i="3"/>
  <c r="D364" i="3" s="1"/>
  <c r="C363" i="3"/>
  <c r="D363" i="3" s="1"/>
  <c r="C362" i="3"/>
  <c r="D362" i="3" s="1"/>
  <c r="C361" i="3"/>
  <c r="D361" i="3" s="1"/>
  <c r="C360" i="3"/>
  <c r="D360" i="3" s="1"/>
  <c r="C359" i="3"/>
  <c r="D359" i="3" s="1"/>
  <c r="C358" i="3"/>
  <c r="D358" i="3" s="1"/>
  <c r="C357" i="3"/>
  <c r="D357" i="3" s="1"/>
  <c r="C356" i="3"/>
  <c r="D356" i="3" s="1"/>
  <c r="C355" i="3"/>
  <c r="D355" i="3" s="1"/>
  <c r="C354" i="3"/>
  <c r="D354" i="3" s="1"/>
  <c r="C353" i="3"/>
  <c r="D353" i="3" s="1"/>
  <c r="C352" i="3"/>
  <c r="D352" i="3" s="1"/>
  <c r="C351" i="3"/>
  <c r="D351" i="3" s="1"/>
  <c r="C350" i="3"/>
  <c r="D350" i="3" s="1"/>
  <c r="C349" i="3"/>
  <c r="D349" i="3" s="1"/>
  <c r="C348" i="3"/>
  <c r="D348" i="3" s="1"/>
  <c r="C347" i="3"/>
  <c r="D347" i="3" s="1"/>
  <c r="C346" i="3"/>
  <c r="D346" i="3" s="1"/>
  <c r="C345" i="3"/>
  <c r="D345" i="3" s="1"/>
  <c r="C344" i="3"/>
  <c r="D344" i="3" s="1"/>
  <c r="C343" i="3"/>
  <c r="D343" i="3" s="1"/>
  <c r="C342" i="3"/>
  <c r="D342" i="3" s="1"/>
  <c r="C341" i="3"/>
  <c r="D341" i="3" s="1"/>
  <c r="C340" i="3"/>
  <c r="D340" i="3" s="1"/>
  <c r="C339" i="3"/>
  <c r="D339" i="3" s="1"/>
  <c r="C338" i="3"/>
  <c r="D338" i="3" s="1"/>
  <c r="C337" i="3"/>
  <c r="D337" i="3" s="1"/>
  <c r="C336" i="3"/>
  <c r="D336" i="3" s="1"/>
  <c r="C335" i="3"/>
  <c r="D335" i="3" s="1"/>
  <c r="C334" i="3"/>
  <c r="D334" i="3" s="1"/>
  <c r="C333" i="3"/>
  <c r="D333" i="3" s="1"/>
  <c r="C332" i="3"/>
  <c r="D332" i="3" s="1"/>
  <c r="C331" i="3"/>
  <c r="D331" i="3" s="1"/>
  <c r="C330" i="3"/>
  <c r="D330" i="3" s="1"/>
  <c r="C329" i="3"/>
  <c r="D329" i="3" s="1"/>
  <c r="C328" i="3"/>
  <c r="D328" i="3" s="1"/>
  <c r="C327" i="3"/>
  <c r="D327" i="3" s="1"/>
  <c r="C326" i="3"/>
  <c r="D326" i="3" s="1"/>
  <c r="C325" i="3"/>
  <c r="D325" i="3" s="1"/>
  <c r="C324" i="3"/>
  <c r="D324" i="3" s="1"/>
  <c r="C323" i="3"/>
  <c r="D323" i="3" s="1"/>
  <c r="C322" i="3"/>
  <c r="D322" i="3" s="1"/>
  <c r="C321" i="3"/>
  <c r="D321" i="3" s="1"/>
  <c r="C320" i="3"/>
  <c r="D320" i="3" s="1"/>
  <c r="C319" i="3"/>
  <c r="D319" i="3" s="1"/>
  <c r="C318" i="3"/>
  <c r="D318" i="3" s="1"/>
  <c r="C317" i="3"/>
  <c r="D317" i="3" s="1"/>
  <c r="C316" i="3"/>
  <c r="D316" i="3" s="1"/>
  <c r="C315" i="3"/>
  <c r="D315" i="3" s="1"/>
  <c r="C314" i="3"/>
  <c r="D314" i="3" s="1"/>
  <c r="C313" i="3"/>
  <c r="D313" i="3" s="1"/>
  <c r="C312" i="3"/>
  <c r="D312" i="3" s="1"/>
  <c r="C311" i="3"/>
  <c r="D311" i="3" s="1"/>
  <c r="C310" i="3"/>
  <c r="D310" i="3" s="1"/>
  <c r="C309" i="3"/>
  <c r="D309" i="3" s="1"/>
  <c r="C308" i="3"/>
  <c r="D308" i="3" s="1"/>
  <c r="C307" i="3"/>
  <c r="D307" i="3" s="1"/>
  <c r="C306" i="3"/>
  <c r="D306" i="3" s="1"/>
  <c r="C305" i="3"/>
  <c r="D305" i="3" s="1"/>
  <c r="C304" i="3"/>
  <c r="D304" i="3" s="1"/>
  <c r="C303" i="3"/>
  <c r="D303" i="3" s="1"/>
  <c r="C302" i="3"/>
  <c r="D302" i="3" s="1"/>
  <c r="C301" i="3"/>
  <c r="D301" i="3" s="1"/>
  <c r="C300" i="3"/>
  <c r="D300" i="3" s="1"/>
  <c r="C299" i="3"/>
  <c r="D299" i="3" s="1"/>
  <c r="C298" i="3"/>
  <c r="D298" i="3" s="1"/>
  <c r="C297" i="3"/>
  <c r="D297" i="3" s="1"/>
  <c r="C296" i="3"/>
  <c r="D296" i="3" s="1"/>
  <c r="C295" i="3"/>
  <c r="D295" i="3" s="1"/>
  <c r="C294" i="3"/>
  <c r="D294" i="3" s="1"/>
  <c r="C293" i="3"/>
  <c r="D293" i="3" s="1"/>
  <c r="C292" i="3"/>
  <c r="D292" i="3" s="1"/>
  <c r="C291" i="3"/>
  <c r="D291" i="3" s="1"/>
  <c r="C290" i="3"/>
  <c r="D290" i="3" s="1"/>
  <c r="C289" i="3"/>
  <c r="D289" i="3" s="1"/>
  <c r="C288" i="3"/>
  <c r="D288" i="3" s="1"/>
  <c r="C287" i="3"/>
  <c r="D287" i="3" s="1"/>
  <c r="C286" i="3"/>
  <c r="D286" i="3" s="1"/>
  <c r="C285" i="3"/>
  <c r="D285" i="3" s="1"/>
  <c r="C284" i="3"/>
  <c r="D284" i="3" s="1"/>
  <c r="C283" i="3"/>
  <c r="D283" i="3" s="1"/>
  <c r="C282" i="3"/>
  <c r="D282" i="3" s="1"/>
  <c r="C281" i="3"/>
  <c r="D281" i="3" s="1"/>
  <c r="C280" i="3"/>
  <c r="D280" i="3" s="1"/>
  <c r="C279" i="3"/>
  <c r="D279" i="3" s="1"/>
  <c r="C278" i="3"/>
  <c r="D278" i="3" s="1"/>
  <c r="C277" i="3"/>
  <c r="D277" i="3" s="1"/>
  <c r="C276" i="3"/>
  <c r="D276" i="3" s="1"/>
  <c r="C275" i="3"/>
  <c r="D275" i="3" s="1"/>
  <c r="C274" i="3"/>
  <c r="D274" i="3" s="1"/>
  <c r="C273" i="3"/>
  <c r="D273" i="3" s="1"/>
  <c r="C272" i="3"/>
  <c r="D272" i="3" s="1"/>
  <c r="C271" i="3"/>
  <c r="D271" i="3" s="1"/>
  <c r="C270" i="3"/>
  <c r="D270" i="3" s="1"/>
  <c r="C269" i="3"/>
  <c r="D269" i="3" s="1"/>
  <c r="C268" i="3"/>
  <c r="D268" i="3" s="1"/>
  <c r="C267" i="3"/>
  <c r="D267" i="3" s="1"/>
  <c r="C266" i="3"/>
  <c r="D266" i="3" s="1"/>
  <c r="C265" i="3"/>
  <c r="D265" i="3" s="1"/>
  <c r="C264" i="3"/>
  <c r="D264" i="3" s="1"/>
  <c r="C263" i="3"/>
  <c r="D263" i="3" s="1"/>
  <c r="C262" i="3"/>
  <c r="D262" i="3" s="1"/>
  <c r="C261" i="3"/>
  <c r="D261" i="3" s="1"/>
  <c r="C260" i="3"/>
  <c r="D260" i="3" s="1"/>
  <c r="C259" i="3"/>
  <c r="D259" i="3" s="1"/>
  <c r="C258" i="3"/>
  <c r="D258" i="3" s="1"/>
  <c r="C257" i="3"/>
  <c r="D257" i="3" s="1"/>
  <c r="C256" i="3"/>
  <c r="D256" i="3" s="1"/>
  <c r="C255" i="3"/>
  <c r="D255" i="3" s="1"/>
  <c r="C254" i="3"/>
  <c r="D254" i="3" s="1"/>
  <c r="C253" i="3"/>
  <c r="D253" i="3" s="1"/>
  <c r="C252" i="3"/>
  <c r="D252" i="3" s="1"/>
  <c r="C251" i="3"/>
  <c r="D251" i="3" s="1"/>
  <c r="C250" i="3"/>
  <c r="D250" i="3" s="1"/>
  <c r="C249" i="3"/>
  <c r="D249" i="3" s="1"/>
  <c r="C248" i="3"/>
  <c r="D248" i="3" s="1"/>
  <c r="C247" i="3"/>
  <c r="D247" i="3" s="1"/>
  <c r="C246" i="3"/>
  <c r="D246" i="3" s="1"/>
  <c r="C245" i="3"/>
  <c r="D245" i="3" s="1"/>
  <c r="C244" i="3"/>
  <c r="D244" i="3" s="1"/>
  <c r="C243" i="3"/>
  <c r="D243" i="3" s="1"/>
  <c r="C242" i="3"/>
  <c r="D242" i="3" s="1"/>
  <c r="C241" i="3"/>
  <c r="D241" i="3" s="1"/>
  <c r="C240" i="3"/>
  <c r="D240" i="3" s="1"/>
  <c r="C239" i="3"/>
  <c r="D239" i="3" s="1"/>
  <c r="C238" i="3"/>
  <c r="D238" i="3" s="1"/>
  <c r="C237" i="3"/>
  <c r="D237" i="3" s="1"/>
  <c r="C236" i="3"/>
  <c r="D236" i="3" s="1"/>
  <c r="C235" i="3"/>
  <c r="D235" i="3" s="1"/>
  <c r="C234" i="3"/>
  <c r="D234" i="3" s="1"/>
  <c r="C233" i="3"/>
  <c r="D233" i="3" s="1"/>
  <c r="C232" i="3"/>
  <c r="D232" i="3" s="1"/>
  <c r="C231" i="3"/>
  <c r="D231" i="3" s="1"/>
  <c r="C230" i="3"/>
  <c r="D230" i="3" s="1"/>
  <c r="C229" i="3"/>
  <c r="D229" i="3" s="1"/>
  <c r="C228" i="3"/>
  <c r="D228" i="3" s="1"/>
  <c r="C227" i="3"/>
  <c r="D227" i="3" s="1"/>
  <c r="C226" i="3"/>
  <c r="D226" i="3" s="1"/>
  <c r="C225" i="3"/>
  <c r="D225" i="3" s="1"/>
  <c r="C224" i="3"/>
  <c r="D224" i="3" s="1"/>
  <c r="C223" i="3"/>
  <c r="D223" i="3" s="1"/>
  <c r="C222" i="3"/>
  <c r="D222" i="3" s="1"/>
  <c r="C221" i="3"/>
  <c r="D221" i="3" s="1"/>
  <c r="C220" i="3"/>
  <c r="D220" i="3" s="1"/>
  <c r="C219" i="3"/>
  <c r="D219" i="3" s="1"/>
  <c r="C218" i="3"/>
  <c r="D218" i="3" s="1"/>
  <c r="C217" i="3"/>
  <c r="D217" i="3" s="1"/>
  <c r="C216" i="3"/>
  <c r="D216" i="3" s="1"/>
  <c r="C215" i="3"/>
  <c r="D215" i="3" s="1"/>
  <c r="C214" i="3"/>
  <c r="D214" i="3" s="1"/>
  <c r="C213" i="3"/>
  <c r="D213" i="3" s="1"/>
  <c r="C212" i="3"/>
  <c r="D212" i="3" s="1"/>
  <c r="C211" i="3"/>
  <c r="D211" i="3" s="1"/>
  <c r="C210" i="3"/>
  <c r="D210" i="3" s="1"/>
  <c r="C209" i="3"/>
  <c r="D209" i="3" s="1"/>
  <c r="C208" i="3"/>
  <c r="D208" i="3" s="1"/>
  <c r="C207" i="3"/>
  <c r="D207" i="3" s="1"/>
  <c r="C206" i="3"/>
  <c r="D206" i="3" s="1"/>
  <c r="C205" i="3"/>
  <c r="D205" i="3" s="1"/>
  <c r="C204" i="3"/>
  <c r="D204" i="3" s="1"/>
  <c r="C203" i="3"/>
  <c r="D203" i="3" s="1"/>
  <c r="C202" i="3"/>
  <c r="D202" i="3" s="1"/>
  <c r="C201" i="3"/>
  <c r="D201" i="3" s="1"/>
  <c r="C200" i="3"/>
  <c r="D200" i="3" s="1"/>
  <c r="C199" i="3"/>
  <c r="D199" i="3" s="1"/>
  <c r="C198" i="3"/>
  <c r="D198" i="3" s="1"/>
  <c r="C197" i="3"/>
  <c r="D197" i="3" s="1"/>
  <c r="C196" i="3"/>
  <c r="D196" i="3" s="1"/>
  <c r="C195" i="3"/>
  <c r="D195" i="3" s="1"/>
  <c r="C194" i="3"/>
  <c r="D194" i="3" s="1"/>
  <c r="C193" i="3"/>
  <c r="D193" i="3" s="1"/>
  <c r="C192" i="3"/>
  <c r="D192" i="3" s="1"/>
  <c r="C191" i="3"/>
  <c r="D191" i="3" s="1"/>
  <c r="C190" i="3"/>
  <c r="D190" i="3" s="1"/>
  <c r="C189" i="3"/>
  <c r="D189" i="3" s="1"/>
  <c r="C188" i="3"/>
  <c r="D188" i="3" s="1"/>
  <c r="C187" i="3"/>
  <c r="D187" i="3" s="1"/>
  <c r="C186" i="3"/>
  <c r="D186" i="3" s="1"/>
  <c r="C185" i="3"/>
  <c r="D185" i="3" s="1"/>
  <c r="C184" i="3"/>
  <c r="D184" i="3" s="1"/>
  <c r="C183" i="3"/>
  <c r="D183" i="3" s="1"/>
  <c r="C182" i="3"/>
  <c r="D182" i="3" s="1"/>
  <c r="C181" i="3"/>
  <c r="D181" i="3" s="1"/>
  <c r="C180" i="3"/>
  <c r="D180" i="3" s="1"/>
  <c r="C179" i="3"/>
  <c r="D179" i="3" s="1"/>
  <c r="C178" i="3"/>
  <c r="D178" i="3" s="1"/>
  <c r="C177" i="3"/>
  <c r="D177" i="3" s="1"/>
  <c r="C176" i="3"/>
  <c r="D176" i="3" s="1"/>
  <c r="C175" i="3"/>
  <c r="D175" i="3" s="1"/>
  <c r="C174" i="3"/>
  <c r="D174" i="3" s="1"/>
  <c r="C173" i="3"/>
  <c r="D173" i="3" s="1"/>
  <c r="C172" i="3"/>
  <c r="D172" i="3" s="1"/>
  <c r="C171" i="3"/>
  <c r="D171" i="3" s="1"/>
  <c r="C170" i="3"/>
  <c r="D170" i="3" s="1"/>
  <c r="C169" i="3"/>
  <c r="D169" i="3" s="1"/>
  <c r="C168" i="3"/>
  <c r="D168" i="3" s="1"/>
  <c r="C167" i="3"/>
  <c r="D167" i="3" s="1"/>
  <c r="C166" i="3"/>
  <c r="D166" i="3" s="1"/>
  <c r="C165" i="3"/>
  <c r="D165" i="3" s="1"/>
  <c r="C164" i="3"/>
  <c r="D164" i="3" s="1"/>
  <c r="C163" i="3"/>
  <c r="D163" i="3" s="1"/>
  <c r="C162" i="3"/>
  <c r="D162" i="3" s="1"/>
  <c r="C161" i="3"/>
  <c r="D161" i="3" s="1"/>
  <c r="C160" i="3"/>
  <c r="D160" i="3" s="1"/>
  <c r="C159" i="3"/>
  <c r="D159" i="3" s="1"/>
  <c r="C158" i="3"/>
  <c r="D158" i="3" s="1"/>
  <c r="C157" i="3"/>
  <c r="D157" i="3" s="1"/>
  <c r="C156" i="3"/>
  <c r="D156" i="3" s="1"/>
  <c r="C155" i="3"/>
  <c r="D155" i="3" s="1"/>
  <c r="C154" i="3"/>
  <c r="D154" i="3" s="1"/>
  <c r="C153" i="3"/>
  <c r="D153" i="3" s="1"/>
  <c r="C152" i="3"/>
  <c r="D152" i="3" s="1"/>
  <c r="C151" i="3"/>
  <c r="D151" i="3" s="1"/>
  <c r="C150" i="3"/>
  <c r="D150" i="3" s="1"/>
  <c r="C149" i="3"/>
  <c r="D149" i="3" s="1"/>
  <c r="C148" i="3"/>
  <c r="D148" i="3" s="1"/>
  <c r="C147" i="3"/>
  <c r="D147" i="3" s="1"/>
  <c r="C146" i="3"/>
  <c r="D146" i="3" s="1"/>
  <c r="C145" i="3"/>
  <c r="D145" i="3" s="1"/>
  <c r="C144" i="3"/>
  <c r="D144" i="3" s="1"/>
  <c r="C143" i="3"/>
  <c r="D143" i="3" s="1"/>
  <c r="C142" i="3"/>
  <c r="D142" i="3" s="1"/>
  <c r="C141" i="3"/>
  <c r="D141" i="3" s="1"/>
  <c r="C140" i="3"/>
  <c r="D140" i="3" s="1"/>
  <c r="C139" i="3"/>
  <c r="D139" i="3" s="1"/>
  <c r="C138" i="3"/>
  <c r="D138" i="3" s="1"/>
  <c r="C137" i="3"/>
  <c r="D137" i="3" s="1"/>
  <c r="C136" i="3"/>
  <c r="D136" i="3" s="1"/>
  <c r="C135" i="3"/>
  <c r="D135" i="3" s="1"/>
  <c r="C134" i="3"/>
  <c r="D134" i="3" s="1"/>
  <c r="C133" i="3"/>
  <c r="D133" i="3" s="1"/>
  <c r="C132" i="3"/>
  <c r="D132" i="3" s="1"/>
  <c r="C131" i="3"/>
  <c r="D131" i="3" s="1"/>
  <c r="C130" i="3"/>
  <c r="D130" i="3" s="1"/>
  <c r="C129" i="3"/>
  <c r="D129" i="3" s="1"/>
  <c r="C128" i="3"/>
  <c r="D128" i="3" s="1"/>
  <c r="C127" i="3"/>
  <c r="D127" i="3" s="1"/>
  <c r="C126" i="3"/>
  <c r="D126" i="3" s="1"/>
  <c r="C125" i="3"/>
  <c r="D125" i="3" s="1"/>
  <c r="C124" i="3"/>
  <c r="D124" i="3" s="1"/>
  <c r="C123" i="3"/>
  <c r="D123" i="3" s="1"/>
  <c r="C122" i="3"/>
  <c r="D122" i="3" s="1"/>
  <c r="C121" i="3"/>
  <c r="D121" i="3" s="1"/>
  <c r="C120" i="3"/>
  <c r="D120" i="3" s="1"/>
  <c r="C119" i="3"/>
  <c r="D119" i="3" s="1"/>
  <c r="C118" i="3"/>
  <c r="D118" i="3" s="1"/>
  <c r="C117" i="3"/>
  <c r="D117" i="3" s="1"/>
  <c r="C116" i="3"/>
  <c r="D116" i="3" s="1"/>
  <c r="C115" i="3"/>
  <c r="D115" i="3" s="1"/>
  <c r="C114" i="3"/>
  <c r="D114" i="3" s="1"/>
  <c r="C113" i="3"/>
  <c r="D113" i="3" s="1"/>
  <c r="C112" i="3"/>
  <c r="D112" i="3" s="1"/>
  <c r="C111" i="3"/>
  <c r="D111" i="3" s="1"/>
  <c r="C110" i="3"/>
  <c r="D110" i="3" s="1"/>
  <c r="C109" i="3"/>
  <c r="D109" i="3" s="1"/>
  <c r="C108" i="3"/>
  <c r="D108" i="3" s="1"/>
  <c r="C107" i="3"/>
  <c r="D107" i="3" s="1"/>
  <c r="C106" i="3"/>
  <c r="D106" i="3" s="1"/>
  <c r="C105" i="3"/>
  <c r="D105" i="3" s="1"/>
  <c r="C104" i="3"/>
  <c r="D104" i="3" s="1"/>
  <c r="C103" i="3"/>
  <c r="D103" i="3" s="1"/>
  <c r="C102" i="3"/>
  <c r="D102" i="3" s="1"/>
  <c r="C101" i="3"/>
  <c r="D101" i="3" s="1"/>
  <c r="C100" i="3"/>
  <c r="D100" i="3" s="1"/>
  <c r="C99" i="3"/>
  <c r="D99" i="3" s="1"/>
  <c r="C98" i="3"/>
  <c r="D98" i="3" s="1"/>
  <c r="C97" i="3"/>
  <c r="D97" i="3" s="1"/>
  <c r="C96" i="3"/>
  <c r="D96" i="3" s="1"/>
  <c r="C95" i="3"/>
  <c r="D95" i="3" s="1"/>
  <c r="C94" i="3"/>
  <c r="D94" i="3" s="1"/>
  <c r="C93" i="3"/>
  <c r="D93" i="3" s="1"/>
  <c r="C92" i="3"/>
  <c r="D92" i="3" s="1"/>
  <c r="C91" i="3"/>
  <c r="D91" i="3" s="1"/>
  <c r="C90" i="3"/>
  <c r="D90" i="3" s="1"/>
  <c r="C89" i="3"/>
  <c r="D89" i="3" s="1"/>
  <c r="C88" i="3"/>
  <c r="D88" i="3" s="1"/>
  <c r="C87" i="3"/>
  <c r="D87" i="3" s="1"/>
  <c r="C86" i="3"/>
  <c r="D86" i="3" s="1"/>
  <c r="C85" i="3"/>
  <c r="D85" i="3" s="1"/>
  <c r="C84" i="3"/>
  <c r="D84" i="3" s="1"/>
  <c r="C83" i="3"/>
  <c r="D83" i="3" s="1"/>
  <c r="C82" i="3"/>
  <c r="D82" i="3" s="1"/>
  <c r="C81" i="3"/>
  <c r="D81" i="3" s="1"/>
  <c r="C80" i="3"/>
  <c r="D80" i="3" s="1"/>
  <c r="C79" i="3"/>
  <c r="D79" i="3" s="1"/>
  <c r="C78" i="3"/>
  <c r="D78" i="3" s="1"/>
  <c r="C77" i="3"/>
  <c r="D77" i="3" s="1"/>
  <c r="C76" i="3"/>
  <c r="D76" i="3" s="1"/>
  <c r="C75" i="3"/>
  <c r="D75" i="3" s="1"/>
  <c r="C74" i="3"/>
  <c r="D74" i="3" s="1"/>
  <c r="C73" i="3"/>
  <c r="D73" i="3" s="1"/>
  <c r="C72" i="3"/>
  <c r="D72" i="3" s="1"/>
  <c r="C71" i="3"/>
  <c r="D71" i="3" s="1"/>
  <c r="C70" i="3"/>
  <c r="D70" i="3" s="1"/>
  <c r="C69" i="3"/>
  <c r="D69" i="3" s="1"/>
  <c r="C68" i="3"/>
  <c r="D68" i="3" s="1"/>
  <c r="C67" i="3"/>
  <c r="D67" i="3" s="1"/>
  <c r="C66" i="3"/>
  <c r="D66" i="3" s="1"/>
  <c r="C65" i="3"/>
  <c r="D65" i="3" s="1"/>
  <c r="C64" i="3"/>
  <c r="D64" i="3" s="1"/>
  <c r="C63" i="3"/>
  <c r="D63" i="3" s="1"/>
  <c r="C62" i="3"/>
  <c r="D62" i="3" s="1"/>
  <c r="C61" i="3"/>
  <c r="D61" i="3" s="1"/>
  <c r="C60" i="3"/>
  <c r="D60" i="3" s="1"/>
  <c r="C59" i="3"/>
  <c r="D59" i="3" s="1"/>
  <c r="C58" i="3"/>
  <c r="D58" i="3" s="1"/>
  <c r="C57" i="3"/>
  <c r="D57" i="3" s="1"/>
  <c r="C56" i="3"/>
  <c r="D56" i="3" s="1"/>
  <c r="C55" i="3"/>
  <c r="D55" i="3" s="1"/>
  <c r="C54" i="3"/>
  <c r="D54" i="3" s="1"/>
  <c r="C53" i="3"/>
  <c r="D53" i="3" s="1"/>
  <c r="C52" i="3"/>
  <c r="D52" i="3" s="1"/>
  <c r="C51" i="3"/>
  <c r="D51" i="3" s="1"/>
  <c r="C50" i="3"/>
  <c r="D50" i="3" s="1"/>
  <c r="C49" i="3"/>
  <c r="D49" i="3" s="1"/>
  <c r="C48" i="3"/>
  <c r="D48" i="3" s="1"/>
  <c r="C47" i="3"/>
  <c r="D47" i="3" s="1"/>
  <c r="C46" i="3"/>
  <c r="D46" i="3" s="1"/>
  <c r="C45" i="3"/>
  <c r="D45" i="3" s="1"/>
  <c r="C44" i="3"/>
  <c r="D44" i="3" s="1"/>
  <c r="C43" i="3"/>
  <c r="D43" i="3" s="1"/>
  <c r="C42" i="3"/>
  <c r="D42" i="3" s="1"/>
  <c r="C41" i="3"/>
  <c r="D41" i="3" s="1"/>
  <c r="C40" i="3"/>
  <c r="D40" i="3" s="1"/>
  <c r="C39" i="3"/>
  <c r="D39" i="3" s="1"/>
  <c r="C38" i="3"/>
  <c r="D38" i="3" s="1"/>
  <c r="C37" i="3"/>
  <c r="D37" i="3" s="1"/>
  <c r="C36" i="3"/>
  <c r="D36" i="3" s="1"/>
  <c r="C35" i="3"/>
  <c r="D35" i="3" s="1"/>
  <c r="C34" i="3"/>
  <c r="D34" i="3" s="1"/>
  <c r="C33" i="3"/>
  <c r="D33" i="3" s="1"/>
  <c r="C32" i="3"/>
  <c r="D32" i="3" s="1"/>
  <c r="C31" i="3"/>
  <c r="D31" i="3" s="1"/>
  <c r="C30" i="3"/>
  <c r="D30" i="3" s="1"/>
  <c r="C29" i="3"/>
  <c r="D29" i="3" s="1"/>
  <c r="C28" i="3"/>
  <c r="D28" i="3" s="1"/>
  <c r="C27" i="3"/>
  <c r="D27" i="3" s="1"/>
  <c r="C26" i="3"/>
  <c r="D26" i="3" s="1"/>
  <c r="C25" i="3"/>
  <c r="D25" i="3" s="1"/>
  <c r="C24" i="3"/>
  <c r="D24" i="3" s="1"/>
  <c r="C23" i="3"/>
  <c r="D23" i="3" s="1"/>
  <c r="C22" i="3"/>
  <c r="D22" i="3" s="1"/>
  <c r="C21" i="3"/>
  <c r="D21" i="3" s="1"/>
  <c r="C20" i="3"/>
  <c r="D20" i="3" s="1"/>
  <c r="C19" i="3"/>
  <c r="D19" i="3" s="1"/>
  <c r="C18" i="3"/>
  <c r="D18" i="3" s="1"/>
  <c r="C17" i="3"/>
  <c r="D17" i="3" s="1"/>
  <c r="C16" i="3"/>
  <c r="D16" i="3" s="1"/>
  <c r="C15" i="3"/>
  <c r="D15" i="3" s="1"/>
  <c r="C14" i="3"/>
  <c r="D14" i="3" s="1"/>
  <c r="C13" i="3"/>
  <c r="D13" i="3" s="1"/>
  <c r="C12" i="3"/>
  <c r="D12" i="3" s="1"/>
  <c r="C11" i="3"/>
  <c r="D11" i="3" s="1"/>
  <c r="C10" i="3"/>
  <c r="D10" i="3" s="1"/>
  <c r="C9" i="3"/>
  <c r="D9" i="3" s="1"/>
  <c r="C8" i="3"/>
  <c r="D8" i="3" s="1"/>
  <c r="C7" i="3"/>
  <c r="D7" i="3" s="1"/>
  <c r="C6" i="3"/>
  <c r="D6" i="3" s="1"/>
  <c r="C5" i="3"/>
  <c r="C4" i="3"/>
  <c r="C3" i="3"/>
  <c r="L494" i="2" l="1"/>
  <c r="L486" i="2"/>
  <c r="L478" i="2"/>
  <c r="L470" i="2"/>
  <c r="L462" i="2"/>
  <c r="L422" i="2"/>
  <c r="L414" i="2"/>
  <c r="L406" i="2"/>
  <c r="L398" i="2"/>
  <c r="C501" i="2"/>
  <c r="D501" i="2" s="1"/>
  <c r="L501" i="2" s="1"/>
  <c r="C500" i="2"/>
  <c r="D500" i="2" s="1"/>
  <c r="L500" i="2" s="1"/>
  <c r="C499" i="2"/>
  <c r="D499" i="2" s="1"/>
  <c r="L499" i="2" s="1"/>
  <c r="C498" i="2"/>
  <c r="D498" i="2" s="1"/>
  <c r="L498" i="2" s="1"/>
  <c r="C497" i="2"/>
  <c r="D497" i="2" s="1"/>
  <c r="L497" i="2" s="1"/>
  <c r="C496" i="2"/>
  <c r="D496" i="2" s="1"/>
  <c r="L496" i="2" s="1"/>
  <c r="C495" i="2"/>
  <c r="D495" i="2" s="1"/>
  <c r="L495" i="2" s="1"/>
  <c r="C494" i="2"/>
  <c r="D494" i="2" s="1"/>
  <c r="C493" i="2"/>
  <c r="D493" i="2" s="1"/>
  <c r="L493" i="2" s="1"/>
  <c r="C492" i="2"/>
  <c r="D492" i="2" s="1"/>
  <c r="L492" i="2" s="1"/>
  <c r="C491" i="2"/>
  <c r="D491" i="2" s="1"/>
  <c r="L491" i="2" s="1"/>
  <c r="C490" i="2"/>
  <c r="D490" i="2" s="1"/>
  <c r="L490" i="2" s="1"/>
  <c r="C489" i="2"/>
  <c r="D489" i="2" s="1"/>
  <c r="L489" i="2" s="1"/>
  <c r="C488" i="2"/>
  <c r="D488" i="2" s="1"/>
  <c r="L488" i="2" s="1"/>
  <c r="C487" i="2"/>
  <c r="D487" i="2" s="1"/>
  <c r="L487" i="2" s="1"/>
  <c r="C486" i="2"/>
  <c r="D486" i="2" s="1"/>
  <c r="C485" i="2"/>
  <c r="D485" i="2" s="1"/>
  <c r="L485" i="2" s="1"/>
  <c r="C484" i="2"/>
  <c r="D484" i="2" s="1"/>
  <c r="L484" i="2" s="1"/>
  <c r="C483" i="2"/>
  <c r="D483" i="2" s="1"/>
  <c r="L483" i="2" s="1"/>
  <c r="C482" i="2"/>
  <c r="D482" i="2" s="1"/>
  <c r="L482" i="2" s="1"/>
  <c r="C481" i="2"/>
  <c r="D481" i="2" s="1"/>
  <c r="L481" i="2" s="1"/>
  <c r="C480" i="2"/>
  <c r="D480" i="2" s="1"/>
  <c r="L480" i="2" s="1"/>
  <c r="C479" i="2"/>
  <c r="D479" i="2" s="1"/>
  <c r="L479" i="2" s="1"/>
  <c r="C478" i="2"/>
  <c r="D478" i="2" s="1"/>
  <c r="C477" i="2"/>
  <c r="D477" i="2" s="1"/>
  <c r="L477" i="2" s="1"/>
  <c r="C476" i="2"/>
  <c r="D476" i="2" s="1"/>
  <c r="L476" i="2" s="1"/>
  <c r="C475" i="2"/>
  <c r="D475" i="2" s="1"/>
  <c r="L475" i="2" s="1"/>
  <c r="C474" i="2"/>
  <c r="D474" i="2" s="1"/>
  <c r="L474" i="2" s="1"/>
  <c r="C473" i="2"/>
  <c r="D473" i="2" s="1"/>
  <c r="L473" i="2" s="1"/>
  <c r="C472" i="2"/>
  <c r="D472" i="2" s="1"/>
  <c r="L472" i="2" s="1"/>
  <c r="C471" i="2"/>
  <c r="D471" i="2" s="1"/>
  <c r="L471" i="2" s="1"/>
  <c r="C470" i="2"/>
  <c r="D470" i="2" s="1"/>
  <c r="C469" i="2"/>
  <c r="D469" i="2" s="1"/>
  <c r="L469" i="2" s="1"/>
  <c r="C468" i="2"/>
  <c r="D468" i="2" s="1"/>
  <c r="L468" i="2" s="1"/>
  <c r="C467" i="2"/>
  <c r="D467" i="2" s="1"/>
  <c r="L467" i="2" s="1"/>
  <c r="C466" i="2"/>
  <c r="D466" i="2" s="1"/>
  <c r="L466" i="2" s="1"/>
  <c r="C465" i="2"/>
  <c r="D465" i="2" s="1"/>
  <c r="L465" i="2" s="1"/>
  <c r="C464" i="2"/>
  <c r="D464" i="2" s="1"/>
  <c r="L464" i="2" s="1"/>
  <c r="C463" i="2"/>
  <c r="D463" i="2" s="1"/>
  <c r="L463" i="2" s="1"/>
  <c r="C462" i="2"/>
  <c r="D462" i="2" s="1"/>
  <c r="C461" i="2"/>
  <c r="D461" i="2" s="1"/>
  <c r="L461" i="2" s="1"/>
  <c r="C460" i="2"/>
  <c r="D460" i="2" s="1"/>
  <c r="L460" i="2" s="1"/>
  <c r="C459" i="2"/>
  <c r="D459" i="2" s="1"/>
  <c r="L459" i="2" s="1"/>
  <c r="C458" i="2"/>
  <c r="D458" i="2" s="1"/>
  <c r="L458" i="2" s="1"/>
  <c r="C457" i="2"/>
  <c r="D457" i="2" s="1"/>
  <c r="L457" i="2" s="1"/>
  <c r="C456" i="2"/>
  <c r="D456" i="2" s="1"/>
  <c r="L456" i="2" s="1"/>
  <c r="C455" i="2"/>
  <c r="D455" i="2" s="1"/>
  <c r="L455" i="2" s="1"/>
  <c r="C454" i="2"/>
  <c r="D454" i="2" s="1"/>
  <c r="L454" i="2" s="1"/>
  <c r="C453" i="2"/>
  <c r="D453" i="2" s="1"/>
  <c r="L453" i="2" s="1"/>
  <c r="C452" i="2"/>
  <c r="D452" i="2" s="1"/>
  <c r="L452" i="2" s="1"/>
  <c r="C451" i="2"/>
  <c r="D451" i="2" s="1"/>
  <c r="L451" i="2" s="1"/>
  <c r="C450" i="2"/>
  <c r="D450" i="2" s="1"/>
  <c r="L450" i="2" s="1"/>
  <c r="C449" i="2"/>
  <c r="D449" i="2" s="1"/>
  <c r="L449" i="2" s="1"/>
  <c r="C448" i="2"/>
  <c r="D448" i="2" s="1"/>
  <c r="L448" i="2" s="1"/>
  <c r="C447" i="2"/>
  <c r="D447" i="2" s="1"/>
  <c r="L447" i="2" s="1"/>
  <c r="C446" i="2"/>
  <c r="D446" i="2" s="1"/>
  <c r="L446" i="2" s="1"/>
  <c r="C445" i="2"/>
  <c r="D445" i="2" s="1"/>
  <c r="L445" i="2" s="1"/>
  <c r="C444" i="2"/>
  <c r="D444" i="2" s="1"/>
  <c r="L444" i="2" s="1"/>
  <c r="C443" i="2"/>
  <c r="D443" i="2" s="1"/>
  <c r="L443" i="2" s="1"/>
  <c r="C442" i="2"/>
  <c r="D442" i="2" s="1"/>
  <c r="L442" i="2" s="1"/>
  <c r="C441" i="2"/>
  <c r="D441" i="2" s="1"/>
  <c r="L441" i="2" s="1"/>
  <c r="C440" i="2"/>
  <c r="D440" i="2" s="1"/>
  <c r="L440" i="2" s="1"/>
  <c r="C439" i="2"/>
  <c r="D439" i="2" s="1"/>
  <c r="L439" i="2" s="1"/>
  <c r="C438" i="2"/>
  <c r="D438" i="2" s="1"/>
  <c r="L438" i="2" s="1"/>
  <c r="C437" i="2"/>
  <c r="D437" i="2" s="1"/>
  <c r="L437" i="2" s="1"/>
  <c r="C436" i="2"/>
  <c r="D436" i="2" s="1"/>
  <c r="L436" i="2" s="1"/>
  <c r="C435" i="2"/>
  <c r="D435" i="2" s="1"/>
  <c r="L435" i="2" s="1"/>
  <c r="C434" i="2"/>
  <c r="D434" i="2" s="1"/>
  <c r="L434" i="2" s="1"/>
  <c r="C433" i="2"/>
  <c r="D433" i="2" s="1"/>
  <c r="L433" i="2" s="1"/>
  <c r="C432" i="2"/>
  <c r="D432" i="2" s="1"/>
  <c r="L432" i="2" s="1"/>
  <c r="C431" i="2"/>
  <c r="D431" i="2" s="1"/>
  <c r="L431" i="2" s="1"/>
  <c r="C430" i="2"/>
  <c r="D430" i="2" s="1"/>
  <c r="L430" i="2" s="1"/>
  <c r="C429" i="2"/>
  <c r="D429" i="2" s="1"/>
  <c r="L429" i="2" s="1"/>
  <c r="C428" i="2"/>
  <c r="D428" i="2" s="1"/>
  <c r="L428" i="2" s="1"/>
  <c r="C427" i="2"/>
  <c r="D427" i="2" s="1"/>
  <c r="L427" i="2" s="1"/>
  <c r="C426" i="2"/>
  <c r="D426" i="2" s="1"/>
  <c r="L426" i="2" s="1"/>
  <c r="C425" i="2"/>
  <c r="D425" i="2" s="1"/>
  <c r="L425" i="2" s="1"/>
  <c r="C424" i="2"/>
  <c r="D424" i="2" s="1"/>
  <c r="L424" i="2" s="1"/>
  <c r="C423" i="2"/>
  <c r="D423" i="2" s="1"/>
  <c r="L423" i="2" s="1"/>
  <c r="C422" i="2"/>
  <c r="D422" i="2" s="1"/>
  <c r="C421" i="2"/>
  <c r="D421" i="2" s="1"/>
  <c r="L421" i="2" s="1"/>
  <c r="C420" i="2"/>
  <c r="D420" i="2" s="1"/>
  <c r="L420" i="2" s="1"/>
  <c r="C419" i="2"/>
  <c r="D419" i="2" s="1"/>
  <c r="L419" i="2" s="1"/>
  <c r="C418" i="2"/>
  <c r="D418" i="2" s="1"/>
  <c r="L418" i="2" s="1"/>
  <c r="C417" i="2"/>
  <c r="D417" i="2" s="1"/>
  <c r="L417" i="2" s="1"/>
  <c r="C416" i="2"/>
  <c r="D416" i="2" s="1"/>
  <c r="L416" i="2" s="1"/>
  <c r="C415" i="2"/>
  <c r="D415" i="2" s="1"/>
  <c r="L415" i="2" s="1"/>
  <c r="C414" i="2"/>
  <c r="D414" i="2" s="1"/>
  <c r="C413" i="2"/>
  <c r="D413" i="2" s="1"/>
  <c r="L413" i="2" s="1"/>
  <c r="C412" i="2"/>
  <c r="D412" i="2" s="1"/>
  <c r="L412" i="2" s="1"/>
  <c r="C411" i="2"/>
  <c r="D411" i="2" s="1"/>
  <c r="L411" i="2" s="1"/>
  <c r="C410" i="2"/>
  <c r="D410" i="2" s="1"/>
  <c r="L410" i="2" s="1"/>
  <c r="C409" i="2"/>
  <c r="D409" i="2" s="1"/>
  <c r="L409" i="2" s="1"/>
  <c r="C408" i="2"/>
  <c r="D408" i="2" s="1"/>
  <c r="L408" i="2" s="1"/>
  <c r="C407" i="2"/>
  <c r="D407" i="2" s="1"/>
  <c r="L407" i="2" s="1"/>
  <c r="C406" i="2"/>
  <c r="D406" i="2" s="1"/>
  <c r="C405" i="2"/>
  <c r="D405" i="2" s="1"/>
  <c r="L405" i="2" s="1"/>
  <c r="C404" i="2"/>
  <c r="D404" i="2" s="1"/>
  <c r="L404" i="2" s="1"/>
  <c r="C403" i="2"/>
  <c r="D403" i="2" s="1"/>
  <c r="L403" i="2" s="1"/>
  <c r="C402" i="2"/>
  <c r="D402" i="2" s="1"/>
  <c r="L402" i="2" s="1"/>
  <c r="C401" i="2"/>
  <c r="D401" i="2" s="1"/>
  <c r="L401" i="2" s="1"/>
  <c r="C400" i="2"/>
  <c r="D400" i="2" s="1"/>
  <c r="L400" i="2" s="1"/>
  <c r="C399" i="2"/>
  <c r="D399" i="2" s="1"/>
  <c r="L399" i="2" s="1"/>
  <c r="C398" i="2"/>
  <c r="D398" i="2" s="1"/>
  <c r="C397" i="2"/>
  <c r="D397" i="2" s="1"/>
  <c r="L397" i="2" s="1"/>
  <c r="C396" i="2"/>
  <c r="D396" i="2" s="1"/>
  <c r="L396" i="2" s="1"/>
  <c r="C395" i="2"/>
  <c r="D395" i="2" s="1"/>
  <c r="L395" i="2" s="1"/>
  <c r="C394" i="2"/>
  <c r="D394" i="2" s="1"/>
  <c r="L394" i="2" s="1"/>
  <c r="C393" i="2"/>
  <c r="D393" i="2" s="1"/>
  <c r="L393" i="2" s="1"/>
  <c r="C392" i="2"/>
  <c r="D392" i="2" s="1"/>
  <c r="L392" i="2" s="1"/>
  <c r="C391" i="2"/>
  <c r="D391" i="2" s="1"/>
  <c r="L391" i="2" s="1"/>
  <c r="C390" i="2"/>
  <c r="D390" i="2" s="1"/>
  <c r="L390" i="2" s="1"/>
  <c r="C389" i="2"/>
  <c r="D389" i="2" s="1"/>
  <c r="L389" i="2" s="1"/>
  <c r="C388" i="2"/>
  <c r="D388" i="2" s="1"/>
  <c r="L388" i="2" s="1"/>
  <c r="C387" i="2"/>
  <c r="D387" i="2" s="1"/>
  <c r="L387" i="2" s="1"/>
  <c r="C386" i="2"/>
  <c r="D386" i="2" s="1"/>
  <c r="L386" i="2" s="1"/>
  <c r="C385" i="2"/>
  <c r="D385" i="2" s="1"/>
  <c r="L385" i="2" s="1"/>
  <c r="C384" i="2"/>
  <c r="D384" i="2" s="1"/>
  <c r="L384" i="2" s="1"/>
  <c r="C383" i="2"/>
  <c r="D383" i="2" s="1"/>
  <c r="L383" i="2" s="1"/>
  <c r="C382" i="2"/>
  <c r="D382" i="2" s="1"/>
  <c r="L382" i="2" s="1"/>
  <c r="C381" i="2"/>
  <c r="D381" i="2" s="1"/>
  <c r="L381" i="2" s="1"/>
  <c r="C380" i="2"/>
  <c r="D380" i="2" s="1"/>
  <c r="L380" i="2" s="1"/>
  <c r="C379" i="2"/>
  <c r="D379" i="2" s="1"/>
  <c r="L379" i="2" s="1"/>
  <c r="C378" i="2"/>
  <c r="D378" i="2" s="1"/>
  <c r="L378" i="2" s="1"/>
  <c r="C377" i="2"/>
  <c r="D377" i="2" s="1"/>
  <c r="L377" i="2" s="1"/>
  <c r="C376" i="2"/>
  <c r="D376" i="2" s="1"/>
  <c r="L376" i="2" s="1"/>
  <c r="C375" i="2"/>
  <c r="D375" i="2" s="1"/>
  <c r="L375" i="2" s="1"/>
  <c r="C374" i="2"/>
  <c r="D374" i="2" s="1"/>
  <c r="L374" i="2" s="1"/>
  <c r="C373" i="2"/>
  <c r="D373" i="2" s="1"/>
  <c r="L373" i="2" s="1"/>
  <c r="C372" i="2"/>
  <c r="D372" i="2" s="1"/>
  <c r="L372" i="2" s="1"/>
  <c r="C371" i="2"/>
  <c r="D371" i="2" s="1"/>
  <c r="L371" i="2" s="1"/>
  <c r="C370" i="2"/>
  <c r="D370" i="2" s="1"/>
  <c r="L370" i="2" s="1"/>
  <c r="C369" i="2"/>
  <c r="D369" i="2" s="1"/>
  <c r="L369" i="2" s="1"/>
  <c r="C368" i="2"/>
  <c r="D368" i="2" s="1"/>
  <c r="L368" i="2" s="1"/>
  <c r="C367" i="2"/>
  <c r="D367" i="2" s="1"/>
  <c r="L367" i="2" s="1"/>
  <c r="C366" i="2"/>
  <c r="D366" i="2" s="1"/>
  <c r="L366" i="2" s="1"/>
  <c r="C365" i="2"/>
  <c r="D365" i="2" s="1"/>
  <c r="L365" i="2" s="1"/>
  <c r="C364" i="2"/>
  <c r="D364" i="2" s="1"/>
  <c r="L364" i="2" s="1"/>
  <c r="C363" i="2"/>
  <c r="D363" i="2" s="1"/>
  <c r="L363" i="2" s="1"/>
  <c r="C362" i="2"/>
  <c r="D362" i="2" s="1"/>
  <c r="L362" i="2" s="1"/>
  <c r="C361" i="2"/>
  <c r="D361" i="2" s="1"/>
  <c r="L361" i="2" s="1"/>
  <c r="C360" i="2"/>
  <c r="D360" i="2" s="1"/>
  <c r="L360" i="2" s="1"/>
  <c r="C359" i="2"/>
  <c r="D359" i="2" s="1"/>
  <c r="L359" i="2" s="1"/>
  <c r="C358" i="2"/>
  <c r="D358" i="2" s="1"/>
  <c r="L358" i="2" s="1"/>
  <c r="C357" i="2"/>
  <c r="D357" i="2" s="1"/>
  <c r="L357" i="2" s="1"/>
  <c r="C356" i="2"/>
  <c r="D356" i="2" s="1"/>
  <c r="L356" i="2" s="1"/>
  <c r="C355" i="2"/>
  <c r="D355" i="2" s="1"/>
  <c r="L355" i="2" s="1"/>
  <c r="C354" i="2"/>
  <c r="D354" i="2" s="1"/>
  <c r="L354" i="2" s="1"/>
  <c r="C353" i="2"/>
  <c r="D353" i="2" s="1"/>
  <c r="L353" i="2" s="1"/>
  <c r="C352" i="2"/>
  <c r="D352" i="2" s="1"/>
  <c r="L352" i="2" s="1"/>
  <c r="C351" i="2"/>
  <c r="D351" i="2" s="1"/>
  <c r="L351" i="2" s="1"/>
  <c r="C350" i="2"/>
  <c r="D350" i="2" s="1"/>
  <c r="L350" i="2" s="1"/>
  <c r="C349" i="2"/>
  <c r="D349" i="2" s="1"/>
  <c r="L349" i="2" s="1"/>
  <c r="C348" i="2"/>
  <c r="D348" i="2" s="1"/>
  <c r="L348" i="2" s="1"/>
  <c r="C347" i="2"/>
  <c r="D347" i="2" s="1"/>
  <c r="L347" i="2" s="1"/>
  <c r="C346" i="2"/>
  <c r="D346" i="2" s="1"/>
  <c r="L346" i="2" s="1"/>
  <c r="C345" i="2"/>
  <c r="D345" i="2" s="1"/>
  <c r="L345" i="2" s="1"/>
  <c r="C344" i="2"/>
  <c r="D344" i="2" s="1"/>
  <c r="L344" i="2" s="1"/>
  <c r="C343" i="2"/>
  <c r="D343" i="2" s="1"/>
  <c r="L343" i="2" s="1"/>
  <c r="C342" i="2"/>
  <c r="D342" i="2" s="1"/>
  <c r="L342" i="2" s="1"/>
  <c r="C341" i="2"/>
  <c r="D341" i="2" s="1"/>
  <c r="L341" i="2" s="1"/>
  <c r="C340" i="2"/>
  <c r="D340" i="2" s="1"/>
  <c r="L340" i="2" s="1"/>
  <c r="C339" i="2"/>
  <c r="D339" i="2" s="1"/>
  <c r="L339" i="2" s="1"/>
  <c r="C338" i="2"/>
  <c r="D338" i="2" s="1"/>
  <c r="L338" i="2" s="1"/>
  <c r="C337" i="2"/>
  <c r="D337" i="2" s="1"/>
  <c r="L337" i="2" s="1"/>
  <c r="C336" i="2"/>
  <c r="D336" i="2" s="1"/>
  <c r="L336" i="2" s="1"/>
  <c r="C335" i="2"/>
  <c r="D335" i="2" s="1"/>
  <c r="L335" i="2" s="1"/>
  <c r="C334" i="2"/>
  <c r="D334" i="2" s="1"/>
  <c r="L334" i="2" s="1"/>
  <c r="C333" i="2"/>
  <c r="D333" i="2" s="1"/>
  <c r="L333" i="2" s="1"/>
  <c r="C332" i="2"/>
  <c r="D332" i="2" s="1"/>
  <c r="L332" i="2" s="1"/>
  <c r="C331" i="2"/>
  <c r="D331" i="2" s="1"/>
  <c r="L331" i="2" s="1"/>
  <c r="C330" i="2"/>
  <c r="D330" i="2" s="1"/>
  <c r="L330" i="2" s="1"/>
  <c r="C329" i="2"/>
  <c r="D329" i="2" s="1"/>
  <c r="L329" i="2" s="1"/>
  <c r="C328" i="2"/>
  <c r="D328" i="2" s="1"/>
  <c r="L328" i="2" s="1"/>
  <c r="C327" i="2"/>
  <c r="D327" i="2" s="1"/>
  <c r="L327" i="2" s="1"/>
  <c r="C326" i="2"/>
  <c r="D326" i="2" s="1"/>
  <c r="L326" i="2" s="1"/>
  <c r="C325" i="2"/>
  <c r="D325" i="2" s="1"/>
  <c r="L325" i="2" s="1"/>
  <c r="C324" i="2"/>
  <c r="D324" i="2" s="1"/>
  <c r="L324" i="2" s="1"/>
  <c r="C323" i="2"/>
  <c r="D323" i="2" s="1"/>
  <c r="L323" i="2" s="1"/>
  <c r="C322" i="2"/>
  <c r="D322" i="2" s="1"/>
  <c r="L322" i="2" s="1"/>
  <c r="C321" i="2"/>
  <c r="D321" i="2" s="1"/>
  <c r="L321" i="2" s="1"/>
  <c r="C320" i="2"/>
  <c r="D320" i="2" s="1"/>
  <c r="L320" i="2" s="1"/>
  <c r="C319" i="2"/>
  <c r="D319" i="2" s="1"/>
  <c r="L319" i="2" s="1"/>
  <c r="C318" i="2"/>
  <c r="D318" i="2" s="1"/>
  <c r="L318" i="2" s="1"/>
  <c r="C317" i="2"/>
  <c r="D317" i="2" s="1"/>
  <c r="L317" i="2" s="1"/>
  <c r="C316" i="2"/>
  <c r="D316" i="2" s="1"/>
  <c r="L316" i="2" s="1"/>
  <c r="C315" i="2"/>
  <c r="D315" i="2" s="1"/>
  <c r="L315" i="2" s="1"/>
  <c r="C314" i="2"/>
  <c r="D314" i="2" s="1"/>
  <c r="L314" i="2" s="1"/>
  <c r="C313" i="2"/>
  <c r="D313" i="2" s="1"/>
  <c r="L313" i="2" s="1"/>
  <c r="C312" i="2"/>
  <c r="D312" i="2" s="1"/>
  <c r="L312" i="2" s="1"/>
  <c r="C311" i="2"/>
  <c r="D311" i="2" s="1"/>
  <c r="L311" i="2" s="1"/>
  <c r="C310" i="2"/>
  <c r="D310" i="2" s="1"/>
  <c r="L310" i="2" s="1"/>
  <c r="C309" i="2"/>
  <c r="D309" i="2" s="1"/>
  <c r="L309" i="2" s="1"/>
  <c r="C308" i="2"/>
  <c r="D308" i="2" s="1"/>
  <c r="L308" i="2" s="1"/>
  <c r="C307" i="2"/>
  <c r="D307" i="2" s="1"/>
  <c r="L307" i="2" s="1"/>
  <c r="C306" i="2"/>
  <c r="D306" i="2" s="1"/>
  <c r="L306" i="2" s="1"/>
  <c r="C305" i="2"/>
  <c r="D305" i="2" s="1"/>
  <c r="L305" i="2" s="1"/>
  <c r="C304" i="2"/>
  <c r="D304" i="2" s="1"/>
  <c r="L304" i="2" s="1"/>
  <c r="C303" i="2"/>
  <c r="D303" i="2" s="1"/>
  <c r="L303" i="2" s="1"/>
  <c r="C302" i="2"/>
  <c r="D302" i="2" s="1"/>
  <c r="L302" i="2" s="1"/>
  <c r="C301" i="2"/>
  <c r="D301" i="2" s="1"/>
  <c r="L301" i="2" s="1"/>
  <c r="C300" i="2"/>
  <c r="D300" i="2" s="1"/>
  <c r="L300" i="2" s="1"/>
  <c r="C299" i="2"/>
  <c r="D299" i="2" s="1"/>
  <c r="L299" i="2" s="1"/>
  <c r="C298" i="2"/>
  <c r="D298" i="2" s="1"/>
  <c r="L298" i="2" s="1"/>
  <c r="C297" i="2"/>
  <c r="D297" i="2" s="1"/>
  <c r="L297" i="2" s="1"/>
  <c r="C296" i="2"/>
  <c r="D296" i="2" s="1"/>
  <c r="L296" i="2" s="1"/>
  <c r="C295" i="2"/>
  <c r="D295" i="2" s="1"/>
  <c r="L295" i="2" s="1"/>
  <c r="C294" i="2"/>
  <c r="D294" i="2" s="1"/>
  <c r="L294" i="2" s="1"/>
  <c r="C293" i="2"/>
  <c r="D293" i="2" s="1"/>
  <c r="L293" i="2" s="1"/>
  <c r="C292" i="2"/>
  <c r="D292" i="2" s="1"/>
  <c r="L292" i="2" s="1"/>
  <c r="C291" i="2"/>
  <c r="D291" i="2" s="1"/>
  <c r="L291" i="2" s="1"/>
  <c r="C290" i="2"/>
  <c r="D290" i="2" s="1"/>
  <c r="L290" i="2" s="1"/>
  <c r="C289" i="2"/>
  <c r="D289" i="2" s="1"/>
  <c r="L289" i="2" s="1"/>
  <c r="C288" i="2"/>
  <c r="D288" i="2" s="1"/>
  <c r="L288" i="2" s="1"/>
  <c r="C287" i="2"/>
  <c r="D287" i="2" s="1"/>
  <c r="L287" i="2" s="1"/>
  <c r="C286" i="2"/>
  <c r="D286" i="2" s="1"/>
  <c r="L286" i="2" s="1"/>
  <c r="C285" i="2"/>
  <c r="D285" i="2" s="1"/>
  <c r="L285" i="2" s="1"/>
  <c r="C284" i="2"/>
  <c r="D284" i="2" s="1"/>
  <c r="L284" i="2" s="1"/>
  <c r="C283" i="2"/>
  <c r="D283" i="2" s="1"/>
  <c r="L283" i="2" s="1"/>
  <c r="C282" i="2"/>
  <c r="D282" i="2" s="1"/>
  <c r="L282" i="2" s="1"/>
  <c r="C281" i="2"/>
  <c r="D281" i="2" s="1"/>
  <c r="L281" i="2" s="1"/>
  <c r="C280" i="2"/>
  <c r="D280" i="2" s="1"/>
  <c r="L280" i="2" s="1"/>
  <c r="C279" i="2"/>
  <c r="D279" i="2" s="1"/>
  <c r="L279" i="2" s="1"/>
  <c r="C278" i="2"/>
  <c r="D278" i="2" s="1"/>
  <c r="L278" i="2" s="1"/>
  <c r="C277" i="2"/>
  <c r="D277" i="2" s="1"/>
  <c r="L277" i="2" s="1"/>
  <c r="C276" i="2"/>
  <c r="D276" i="2" s="1"/>
  <c r="L276" i="2" s="1"/>
  <c r="C275" i="2"/>
  <c r="D275" i="2" s="1"/>
  <c r="L275" i="2" s="1"/>
  <c r="C274" i="2"/>
  <c r="D274" i="2" s="1"/>
  <c r="L274" i="2" s="1"/>
  <c r="C273" i="2"/>
  <c r="D273" i="2" s="1"/>
  <c r="L273" i="2" s="1"/>
  <c r="C272" i="2"/>
  <c r="D272" i="2" s="1"/>
  <c r="L272" i="2" s="1"/>
  <c r="C271" i="2"/>
  <c r="D271" i="2" s="1"/>
  <c r="L271" i="2" s="1"/>
  <c r="C270" i="2"/>
  <c r="D270" i="2" s="1"/>
  <c r="L270" i="2" s="1"/>
  <c r="C269" i="2"/>
  <c r="D269" i="2" s="1"/>
  <c r="L269" i="2" s="1"/>
  <c r="C268" i="2"/>
  <c r="D268" i="2" s="1"/>
  <c r="L268" i="2" s="1"/>
  <c r="C267" i="2"/>
  <c r="D267" i="2" s="1"/>
  <c r="L267" i="2" s="1"/>
  <c r="C266" i="2"/>
  <c r="D266" i="2" s="1"/>
  <c r="L266" i="2" s="1"/>
  <c r="C265" i="2"/>
  <c r="D265" i="2" s="1"/>
  <c r="L265" i="2" s="1"/>
  <c r="C264" i="2"/>
  <c r="D264" i="2" s="1"/>
  <c r="L264" i="2" s="1"/>
  <c r="C263" i="2"/>
  <c r="D263" i="2" s="1"/>
  <c r="L263" i="2" s="1"/>
  <c r="C262" i="2"/>
  <c r="D262" i="2" s="1"/>
  <c r="L262" i="2" s="1"/>
  <c r="C261" i="2"/>
  <c r="D261" i="2" s="1"/>
  <c r="L261" i="2" s="1"/>
  <c r="C260" i="2"/>
  <c r="D260" i="2" s="1"/>
  <c r="L260" i="2" s="1"/>
  <c r="C259" i="2"/>
  <c r="D259" i="2" s="1"/>
  <c r="L259" i="2" s="1"/>
  <c r="C258" i="2"/>
  <c r="D258" i="2" s="1"/>
  <c r="L258" i="2" s="1"/>
  <c r="C257" i="2"/>
  <c r="D257" i="2" s="1"/>
  <c r="L257" i="2" s="1"/>
  <c r="C256" i="2"/>
  <c r="D256" i="2" s="1"/>
  <c r="L256" i="2" s="1"/>
  <c r="C255" i="2"/>
  <c r="D255" i="2" s="1"/>
  <c r="L255" i="2" s="1"/>
  <c r="C254" i="2"/>
  <c r="D254" i="2" s="1"/>
  <c r="L254" i="2" s="1"/>
  <c r="C253" i="2"/>
  <c r="D253" i="2" s="1"/>
  <c r="L253" i="2" s="1"/>
  <c r="C252" i="2"/>
  <c r="D252" i="2" s="1"/>
  <c r="L252" i="2" s="1"/>
  <c r="C251" i="2"/>
  <c r="D251" i="2" s="1"/>
  <c r="L251" i="2" s="1"/>
  <c r="C250" i="2"/>
  <c r="D250" i="2" s="1"/>
  <c r="L250" i="2" s="1"/>
  <c r="C249" i="2"/>
  <c r="D249" i="2" s="1"/>
  <c r="L249" i="2" s="1"/>
  <c r="C248" i="2"/>
  <c r="D248" i="2" s="1"/>
  <c r="L248" i="2" s="1"/>
  <c r="C247" i="2"/>
  <c r="D247" i="2" s="1"/>
  <c r="L247" i="2" s="1"/>
  <c r="C246" i="2"/>
  <c r="D246" i="2" s="1"/>
  <c r="L246" i="2" s="1"/>
  <c r="C245" i="2"/>
  <c r="D245" i="2" s="1"/>
  <c r="L245" i="2" s="1"/>
  <c r="C244" i="2"/>
  <c r="D244" i="2" s="1"/>
  <c r="L244" i="2" s="1"/>
  <c r="C243" i="2"/>
  <c r="D243" i="2" s="1"/>
  <c r="L243" i="2" s="1"/>
  <c r="C242" i="2"/>
  <c r="D242" i="2" s="1"/>
  <c r="L242" i="2" s="1"/>
  <c r="C241" i="2"/>
  <c r="D241" i="2" s="1"/>
  <c r="L241" i="2" s="1"/>
  <c r="C240" i="2"/>
  <c r="D240" i="2" s="1"/>
  <c r="L240" i="2" s="1"/>
  <c r="C239" i="2"/>
  <c r="D239" i="2" s="1"/>
  <c r="L239" i="2" s="1"/>
  <c r="C238" i="2"/>
  <c r="D238" i="2" s="1"/>
  <c r="L238" i="2" s="1"/>
  <c r="C237" i="2"/>
  <c r="D237" i="2" s="1"/>
  <c r="L237" i="2" s="1"/>
  <c r="C236" i="2"/>
  <c r="D236" i="2" s="1"/>
  <c r="L236" i="2" s="1"/>
  <c r="C235" i="2"/>
  <c r="D235" i="2" s="1"/>
  <c r="L235" i="2" s="1"/>
  <c r="C234" i="2"/>
  <c r="D234" i="2" s="1"/>
  <c r="L234" i="2" s="1"/>
  <c r="C233" i="2"/>
  <c r="D233" i="2" s="1"/>
  <c r="L233" i="2" s="1"/>
  <c r="C232" i="2"/>
  <c r="D232" i="2" s="1"/>
  <c r="L232" i="2" s="1"/>
  <c r="C231" i="2"/>
  <c r="D231" i="2" s="1"/>
  <c r="L231" i="2" s="1"/>
  <c r="C230" i="2"/>
  <c r="D230" i="2" s="1"/>
  <c r="L230" i="2" s="1"/>
  <c r="C229" i="2"/>
  <c r="D229" i="2" s="1"/>
  <c r="L229" i="2" s="1"/>
  <c r="C228" i="2"/>
  <c r="D228" i="2" s="1"/>
  <c r="L228" i="2" s="1"/>
  <c r="C227" i="2"/>
  <c r="D227" i="2" s="1"/>
  <c r="L227" i="2" s="1"/>
  <c r="C226" i="2"/>
  <c r="D226" i="2" s="1"/>
  <c r="L226" i="2" s="1"/>
  <c r="C225" i="2"/>
  <c r="D225" i="2" s="1"/>
  <c r="L225" i="2" s="1"/>
  <c r="C224" i="2"/>
  <c r="D224" i="2" s="1"/>
  <c r="L224" i="2" s="1"/>
  <c r="C223" i="2"/>
  <c r="D223" i="2" s="1"/>
  <c r="L223" i="2" s="1"/>
  <c r="C222" i="2"/>
  <c r="D222" i="2" s="1"/>
  <c r="L222" i="2" s="1"/>
  <c r="C221" i="2"/>
  <c r="D221" i="2" s="1"/>
  <c r="L221" i="2" s="1"/>
  <c r="C220" i="2"/>
  <c r="D220" i="2" s="1"/>
  <c r="L220" i="2" s="1"/>
  <c r="C219" i="2"/>
  <c r="D219" i="2" s="1"/>
  <c r="L219" i="2" s="1"/>
  <c r="C218" i="2"/>
  <c r="D218" i="2" s="1"/>
  <c r="L218" i="2" s="1"/>
  <c r="C217" i="2"/>
  <c r="D217" i="2" s="1"/>
  <c r="L217" i="2" s="1"/>
  <c r="C216" i="2"/>
  <c r="D216" i="2" s="1"/>
  <c r="L216" i="2" s="1"/>
  <c r="C215" i="2"/>
  <c r="D215" i="2" s="1"/>
  <c r="L215" i="2" s="1"/>
  <c r="C214" i="2"/>
  <c r="D214" i="2" s="1"/>
  <c r="L214" i="2" s="1"/>
  <c r="C213" i="2"/>
  <c r="D213" i="2" s="1"/>
  <c r="L213" i="2" s="1"/>
  <c r="C212" i="2"/>
  <c r="D212" i="2" s="1"/>
  <c r="L212" i="2" s="1"/>
  <c r="C211" i="2"/>
  <c r="D211" i="2" s="1"/>
  <c r="L211" i="2" s="1"/>
  <c r="C210" i="2"/>
  <c r="D210" i="2" s="1"/>
  <c r="L210" i="2" s="1"/>
  <c r="C209" i="2"/>
  <c r="D209" i="2" s="1"/>
  <c r="L209" i="2" s="1"/>
  <c r="C208" i="2"/>
  <c r="D208" i="2" s="1"/>
  <c r="L208" i="2" s="1"/>
  <c r="C207" i="2"/>
  <c r="D207" i="2" s="1"/>
  <c r="L207" i="2" s="1"/>
  <c r="C206" i="2"/>
  <c r="D206" i="2" s="1"/>
  <c r="L206" i="2" s="1"/>
  <c r="C205" i="2"/>
  <c r="D205" i="2" s="1"/>
  <c r="L205" i="2" s="1"/>
  <c r="C204" i="2"/>
  <c r="D204" i="2" s="1"/>
  <c r="L204" i="2" s="1"/>
  <c r="C203" i="2"/>
  <c r="D203" i="2" s="1"/>
  <c r="L203" i="2" s="1"/>
  <c r="C202" i="2"/>
  <c r="D202" i="2" s="1"/>
  <c r="L202" i="2" s="1"/>
  <c r="C201" i="2"/>
  <c r="D201" i="2" s="1"/>
  <c r="L201" i="2" s="1"/>
  <c r="C200" i="2"/>
  <c r="D200" i="2" s="1"/>
  <c r="L200" i="2" s="1"/>
  <c r="C199" i="2"/>
  <c r="D199" i="2" s="1"/>
  <c r="L199" i="2" s="1"/>
  <c r="C198" i="2"/>
  <c r="D198" i="2" s="1"/>
  <c r="L198" i="2" s="1"/>
  <c r="C197" i="2"/>
  <c r="D197" i="2" s="1"/>
  <c r="L197" i="2" s="1"/>
  <c r="C196" i="2"/>
  <c r="D196" i="2" s="1"/>
  <c r="L196" i="2" s="1"/>
  <c r="C195" i="2"/>
  <c r="D195" i="2" s="1"/>
  <c r="L195" i="2" s="1"/>
  <c r="C194" i="2"/>
  <c r="D194" i="2" s="1"/>
  <c r="L194" i="2" s="1"/>
  <c r="C193" i="2"/>
  <c r="D193" i="2" s="1"/>
  <c r="L193" i="2" s="1"/>
  <c r="C192" i="2"/>
  <c r="D192" i="2" s="1"/>
  <c r="L192" i="2" s="1"/>
  <c r="C191" i="2"/>
  <c r="D191" i="2" s="1"/>
  <c r="L191" i="2" s="1"/>
  <c r="C190" i="2"/>
  <c r="D190" i="2" s="1"/>
  <c r="L190" i="2" s="1"/>
  <c r="C189" i="2"/>
  <c r="D189" i="2" s="1"/>
  <c r="L189" i="2" s="1"/>
  <c r="C188" i="2"/>
  <c r="D188" i="2" s="1"/>
  <c r="L188" i="2" s="1"/>
  <c r="C187" i="2"/>
  <c r="D187" i="2" s="1"/>
  <c r="L187" i="2" s="1"/>
  <c r="C186" i="2"/>
  <c r="D186" i="2" s="1"/>
  <c r="L186" i="2" s="1"/>
  <c r="C185" i="2"/>
  <c r="D185" i="2" s="1"/>
  <c r="L185" i="2" s="1"/>
  <c r="C184" i="2"/>
  <c r="D184" i="2" s="1"/>
  <c r="L184" i="2" s="1"/>
  <c r="C183" i="2"/>
  <c r="D183" i="2" s="1"/>
  <c r="L183" i="2" s="1"/>
  <c r="C182" i="2"/>
  <c r="D182" i="2" s="1"/>
  <c r="L182" i="2" s="1"/>
  <c r="C181" i="2"/>
  <c r="D181" i="2" s="1"/>
  <c r="L181" i="2" s="1"/>
  <c r="C180" i="2"/>
  <c r="D180" i="2" s="1"/>
  <c r="L180" i="2" s="1"/>
  <c r="C179" i="2"/>
  <c r="D179" i="2" s="1"/>
  <c r="L179" i="2" s="1"/>
  <c r="C178" i="2"/>
  <c r="D178" i="2" s="1"/>
  <c r="L178" i="2" s="1"/>
  <c r="C177" i="2"/>
  <c r="D177" i="2" s="1"/>
  <c r="L177" i="2" s="1"/>
  <c r="C176" i="2"/>
  <c r="D176" i="2" s="1"/>
  <c r="L176" i="2" s="1"/>
  <c r="C175" i="2"/>
  <c r="D175" i="2" s="1"/>
  <c r="L175" i="2" s="1"/>
  <c r="C174" i="2"/>
  <c r="D174" i="2" s="1"/>
  <c r="L174" i="2" s="1"/>
  <c r="C173" i="2"/>
  <c r="D173" i="2" s="1"/>
  <c r="L173" i="2" s="1"/>
  <c r="C172" i="2"/>
  <c r="D172" i="2" s="1"/>
  <c r="L172" i="2" s="1"/>
  <c r="C171" i="2"/>
  <c r="D171" i="2" s="1"/>
  <c r="L171" i="2" s="1"/>
  <c r="C170" i="2"/>
  <c r="D170" i="2" s="1"/>
  <c r="L170" i="2" s="1"/>
  <c r="C169" i="2"/>
  <c r="D169" i="2" s="1"/>
  <c r="L169" i="2" s="1"/>
  <c r="C168" i="2"/>
  <c r="D168" i="2" s="1"/>
  <c r="L168" i="2" s="1"/>
  <c r="C167" i="2"/>
  <c r="D167" i="2" s="1"/>
  <c r="L167" i="2" s="1"/>
  <c r="C166" i="2"/>
  <c r="D166" i="2" s="1"/>
  <c r="L166" i="2" s="1"/>
  <c r="C165" i="2"/>
  <c r="D165" i="2" s="1"/>
  <c r="L165" i="2" s="1"/>
  <c r="C164" i="2"/>
  <c r="D164" i="2" s="1"/>
  <c r="L164" i="2" s="1"/>
  <c r="C163" i="2"/>
  <c r="D163" i="2" s="1"/>
  <c r="L163" i="2" s="1"/>
  <c r="C162" i="2"/>
  <c r="D162" i="2" s="1"/>
  <c r="L162" i="2" s="1"/>
  <c r="C161" i="2"/>
  <c r="D161" i="2" s="1"/>
  <c r="L161" i="2" s="1"/>
  <c r="C160" i="2"/>
  <c r="D160" i="2" s="1"/>
  <c r="L160" i="2" s="1"/>
  <c r="C159" i="2"/>
  <c r="D159" i="2" s="1"/>
  <c r="L159" i="2" s="1"/>
  <c r="C158" i="2"/>
  <c r="D158" i="2" s="1"/>
  <c r="L158" i="2" s="1"/>
  <c r="C157" i="2"/>
  <c r="D157" i="2" s="1"/>
  <c r="L157" i="2" s="1"/>
  <c r="C156" i="2"/>
  <c r="D156" i="2" s="1"/>
  <c r="L156" i="2" s="1"/>
  <c r="C155" i="2"/>
  <c r="D155" i="2" s="1"/>
  <c r="L155" i="2" s="1"/>
  <c r="C154" i="2"/>
  <c r="D154" i="2" s="1"/>
  <c r="L154" i="2" s="1"/>
  <c r="C153" i="2"/>
  <c r="D153" i="2" s="1"/>
  <c r="L153" i="2" s="1"/>
  <c r="C152" i="2"/>
  <c r="D152" i="2" s="1"/>
  <c r="L152" i="2" s="1"/>
  <c r="C151" i="2"/>
  <c r="D151" i="2" s="1"/>
  <c r="L151" i="2" s="1"/>
  <c r="C150" i="2"/>
  <c r="D150" i="2" s="1"/>
  <c r="L150" i="2" s="1"/>
  <c r="C149" i="2"/>
  <c r="D149" i="2" s="1"/>
  <c r="L149" i="2" s="1"/>
  <c r="C148" i="2"/>
  <c r="D148" i="2" s="1"/>
  <c r="L148" i="2" s="1"/>
  <c r="C147" i="2"/>
  <c r="D147" i="2" s="1"/>
  <c r="L147" i="2" s="1"/>
  <c r="C146" i="2"/>
  <c r="D146" i="2" s="1"/>
  <c r="L146" i="2" s="1"/>
  <c r="C145" i="2"/>
  <c r="D145" i="2" s="1"/>
  <c r="L145" i="2" s="1"/>
  <c r="C144" i="2"/>
  <c r="D144" i="2" s="1"/>
  <c r="L144" i="2" s="1"/>
  <c r="C143" i="2"/>
  <c r="D143" i="2" s="1"/>
  <c r="L143" i="2" s="1"/>
  <c r="C142" i="2"/>
  <c r="D142" i="2" s="1"/>
  <c r="L142" i="2" s="1"/>
  <c r="C141" i="2"/>
  <c r="D141" i="2" s="1"/>
  <c r="L141" i="2" s="1"/>
  <c r="C140" i="2"/>
  <c r="D140" i="2" s="1"/>
  <c r="L140" i="2" s="1"/>
  <c r="C139" i="2"/>
  <c r="D139" i="2" s="1"/>
  <c r="L139" i="2" s="1"/>
  <c r="C138" i="2"/>
  <c r="D138" i="2" s="1"/>
  <c r="L138" i="2" s="1"/>
  <c r="C137" i="2"/>
  <c r="D137" i="2" s="1"/>
  <c r="L137" i="2" s="1"/>
  <c r="C136" i="2"/>
  <c r="D136" i="2" s="1"/>
  <c r="L136" i="2" s="1"/>
  <c r="C135" i="2"/>
  <c r="D135" i="2" s="1"/>
  <c r="L135" i="2" s="1"/>
  <c r="C134" i="2"/>
  <c r="D134" i="2" s="1"/>
  <c r="L134" i="2" s="1"/>
  <c r="C133" i="2"/>
  <c r="D133" i="2" s="1"/>
  <c r="L133" i="2" s="1"/>
  <c r="C132" i="2"/>
  <c r="D132" i="2" s="1"/>
  <c r="L132" i="2" s="1"/>
  <c r="C131" i="2"/>
  <c r="D131" i="2" s="1"/>
  <c r="L131" i="2" s="1"/>
  <c r="C130" i="2"/>
  <c r="D130" i="2" s="1"/>
  <c r="L130" i="2" s="1"/>
  <c r="C129" i="2"/>
  <c r="D129" i="2" s="1"/>
  <c r="L129" i="2" s="1"/>
  <c r="C128" i="2"/>
  <c r="D128" i="2" s="1"/>
  <c r="L128" i="2" s="1"/>
  <c r="C127" i="2"/>
  <c r="D127" i="2" s="1"/>
  <c r="L127" i="2" s="1"/>
  <c r="C126" i="2"/>
  <c r="D126" i="2" s="1"/>
  <c r="L126" i="2" s="1"/>
  <c r="C125" i="2"/>
  <c r="D125" i="2" s="1"/>
  <c r="L125" i="2" s="1"/>
  <c r="C124" i="2"/>
  <c r="D124" i="2" s="1"/>
  <c r="L124" i="2" s="1"/>
  <c r="C123" i="2"/>
  <c r="D123" i="2" s="1"/>
  <c r="L123" i="2" s="1"/>
  <c r="C122" i="2"/>
  <c r="D122" i="2" s="1"/>
  <c r="L122" i="2" s="1"/>
  <c r="C121" i="2"/>
  <c r="D121" i="2" s="1"/>
  <c r="L121" i="2" s="1"/>
  <c r="C120" i="2"/>
  <c r="D120" i="2" s="1"/>
  <c r="L120" i="2" s="1"/>
  <c r="C119" i="2"/>
  <c r="D119" i="2" s="1"/>
  <c r="L119" i="2" s="1"/>
  <c r="C118" i="2"/>
  <c r="D118" i="2" s="1"/>
  <c r="L118" i="2" s="1"/>
  <c r="C117" i="2"/>
  <c r="D117" i="2" s="1"/>
  <c r="L117" i="2" s="1"/>
  <c r="C116" i="2"/>
  <c r="D116" i="2" s="1"/>
  <c r="L116" i="2" s="1"/>
  <c r="C115" i="2"/>
  <c r="D115" i="2" s="1"/>
  <c r="L115" i="2" s="1"/>
  <c r="C114" i="2"/>
  <c r="D114" i="2" s="1"/>
  <c r="L114" i="2" s="1"/>
  <c r="C113" i="2"/>
  <c r="D113" i="2" s="1"/>
  <c r="L113" i="2" s="1"/>
  <c r="C112" i="2"/>
  <c r="D112" i="2" s="1"/>
  <c r="L112" i="2" s="1"/>
  <c r="C111" i="2"/>
  <c r="D111" i="2" s="1"/>
  <c r="L111" i="2" s="1"/>
  <c r="C110" i="2"/>
  <c r="D110" i="2" s="1"/>
  <c r="L110" i="2" s="1"/>
  <c r="C109" i="2"/>
  <c r="D109" i="2" s="1"/>
  <c r="L109" i="2" s="1"/>
  <c r="C108" i="2"/>
  <c r="D108" i="2" s="1"/>
  <c r="L108" i="2" s="1"/>
  <c r="C107" i="2"/>
  <c r="D107" i="2" s="1"/>
  <c r="L107" i="2" s="1"/>
  <c r="C106" i="2"/>
  <c r="D106" i="2" s="1"/>
  <c r="L106" i="2" s="1"/>
  <c r="C105" i="2"/>
  <c r="D105" i="2" s="1"/>
  <c r="L105" i="2" s="1"/>
  <c r="C104" i="2"/>
  <c r="D104" i="2" s="1"/>
  <c r="L104" i="2" s="1"/>
  <c r="C103" i="2"/>
  <c r="D103" i="2" s="1"/>
  <c r="L103" i="2" s="1"/>
  <c r="C102" i="2"/>
  <c r="D102" i="2" s="1"/>
  <c r="L102" i="2" s="1"/>
  <c r="C101" i="2"/>
  <c r="D101" i="2" s="1"/>
  <c r="L101" i="2" s="1"/>
  <c r="C100" i="2"/>
  <c r="D100" i="2" s="1"/>
  <c r="L100" i="2" s="1"/>
  <c r="C99" i="2"/>
  <c r="D99" i="2" s="1"/>
  <c r="L99" i="2" s="1"/>
  <c r="C98" i="2"/>
  <c r="D98" i="2" s="1"/>
  <c r="L98" i="2" s="1"/>
  <c r="C97" i="2"/>
  <c r="D97" i="2" s="1"/>
  <c r="L97" i="2" s="1"/>
  <c r="C96" i="2"/>
  <c r="D96" i="2" s="1"/>
  <c r="L96" i="2" s="1"/>
  <c r="C95" i="2"/>
  <c r="D95" i="2" s="1"/>
  <c r="L95" i="2" s="1"/>
  <c r="C94" i="2"/>
  <c r="D94" i="2" s="1"/>
  <c r="L94" i="2" s="1"/>
  <c r="C93" i="2"/>
  <c r="D93" i="2" s="1"/>
  <c r="L93" i="2" s="1"/>
  <c r="C92" i="2"/>
  <c r="D92" i="2" s="1"/>
  <c r="L92" i="2" s="1"/>
  <c r="C91" i="2"/>
  <c r="D91" i="2" s="1"/>
  <c r="L91" i="2" s="1"/>
  <c r="C90" i="2"/>
  <c r="D90" i="2" s="1"/>
  <c r="L90" i="2" s="1"/>
  <c r="C89" i="2"/>
  <c r="D89" i="2" s="1"/>
  <c r="L89" i="2" s="1"/>
  <c r="C88" i="2"/>
  <c r="D88" i="2" s="1"/>
  <c r="L88" i="2" s="1"/>
  <c r="C87" i="2"/>
  <c r="D87" i="2" s="1"/>
  <c r="L87" i="2" s="1"/>
  <c r="C86" i="2"/>
  <c r="D86" i="2" s="1"/>
  <c r="L86" i="2" s="1"/>
  <c r="C85" i="2"/>
  <c r="D85" i="2" s="1"/>
  <c r="L85" i="2" s="1"/>
  <c r="C84" i="2"/>
  <c r="D84" i="2" s="1"/>
  <c r="L84" i="2" s="1"/>
  <c r="C83" i="2"/>
  <c r="D83" i="2" s="1"/>
  <c r="L83" i="2" s="1"/>
  <c r="C82" i="2"/>
  <c r="D82" i="2" s="1"/>
  <c r="L82" i="2" s="1"/>
  <c r="C81" i="2"/>
  <c r="D81" i="2" s="1"/>
  <c r="L81" i="2" s="1"/>
  <c r="C80" i="2"/>
  <c r="D80" i="2" s="1"/>
  <c r="L80" i="2" s="1"/>
  <c r="C79" i="2"/>
  <c r="D79" i="2" s="1"/>
  <c r="L79" i="2" s="1"/>
  <c r="C78" i="2"/>
  <c r="D78" i="2" s="1"/>
  <c r="L78" i="2" s="1"/>
  <c r="C77" i="2"/>
  <c r="D77" i="2" s="1"/>
  <c r="L77" i="2" s="1"/>
  <c r="C76" i="2"/>
  <c r="D76" i="2" s="1"/>
  <c r="L76" i="2" s="1"/>
  <c r="C75" i="2"/>
  <c r="D75" i="2" s="1"/>
  <c r="L75" i="2" s="1"/>
  <c r="C74" i="2"/>
  <c r="D74" i="2" s="1"/>
  <c r="L74" i="2" s="1"/>
  <c r="C73" i="2"/>
  <c r="D73" i="2" s="1"/>
  <c r="L73" i="2" s="1"/>
  <c r="C72" i="2"/>
  <c r="D72" i="2" s="1"/>
  <c r="L72" i="2" s="1"/>
  <c r="C71" i="2"/>
  <c r="D71" i="2" s="1"/>
  <c r="L71" i="2" s="1"/>
  <c r="C70" i="2"/>
  <c r="D70" i="2" s="1"/>
  <c r="L70" i="2" s="1"/>
  <c r="C69" i="2"/>
  <c r="D69" i="2" s="1"/>
  <c r="L69" i="2" s="1"/>
  <c r="C68" i="2"/>
  <c r="D68" i="2" s="1"/>
  <c r="L68" i="2" s="1"/>
  <c r="C67" i="2"/>
  <c r="D67" i="2" s="1"/>
  <c r="L67" i="2" s="1"/>
  <c r="C66" i="2"/>
  <c r="D66" i="2" s="1"/>
  <c r="L66" i="2" s="1"/>
  <c r="C65" i="2"/>
  <c r="D65" i="2" s="1"/>
  <c r="L65" i="2" s="1"/>
  <c r="C64" i="2"/>
  <c r="D64" i="2" s="1"/>
  <c r="L64" i="2" s="1"/>
  <c r="C63" i="2"/>
  <c r="D63" i="2" s="1"/>
  <c r="L63" i="2" s="1"/>
  <c r="C62" i="2"/>
  <c r="D62" i="2" s="1"/>
  <c r="L62" i="2" s="1"/>
  <c r="C61" i="2"/>
  <c r="D61" i="2" s="1"/>
  <c r="L61" i="2" s="1"/>
  <c r="C60" i="2"/>
  <c r="D60" i="2" s="1"/>
  <c r="L60" i="2" s="1"/>
  <c r="C59" i="2"/>
  <c r="D59" i="2" s="1"/>
  <c r="L59" i="2" s="1"/>
  <c r="C58" i="2"/>
  <c r="D58" i="2" s="1"/>
  <c r="L58" i="2" s="1"/>
  <c r="C57" i="2"/>
  <c r="D57" i="2" s="1"/>
  <c r="L57" i="2" s="1"/>
  <c r="C56" i="2"/>
  <c r="D56" i="2" s="1"/>
  <c r="L56" i="2" s="1"/>
  <c r="C55" i="2"/>
  <c r="D55" i="2" s="1"/>
  <c r="L55" i="2" s="1"/>
  <c r="C54" i="2"/>
  <c r="D54" i="2" s="1"/>
  <c r="L54" i="2" s="1"/>
  <c r="C53" i="2"/>
  <c r="D53" i="2" s="1"/>
  <c r="L53" i="2" s="1"/>
  <c r="C52" i="2"/>
  <c r="D52" i="2" s="1"/>
  <c r="L52" i="2" s="1"/>
  <c r="C51" i="2"/>
  <c r="D51" i="2" s="1"/>
  <c r="L51" i="2" s="1"/>
  <c r="C50" i="2"/>
  <c r="D50" i="2" s="1"/>
  <c r="L50" i="2" s="1"/>
  <c r="C49" i="2"/>
  <c r="D49" i="2" s="1"/>
  <c r="L49" i="2" s="1"/>
  <c r="C48" i="2"/>
  <c r="D48" i="2" s="1"/>
  <c r="L48" i="2" s="1"/>
  <c r="C47" i="2"/>
  <c r="D47" i="2" s="1"/>
  <c r="L47" i="2" s="1"/>
  <c r="C46" i="2"/>
  <c r="D46" i="2" s="1"/>
  <c r="L46" i="2" s="1"/>
  <c r="C45" i="2"/>
  <c r="D45" i="2" s="1"/>
  <c r="L45" i="2" s="1"/>
  <c r="C44" i="2"/>
  <c r="D44" i="2" s="1"/>
  <c r="L44" i="2" s="1"/>
  <c r="C43" i="2"/>
  <c r="D43" i="2" s="1"/>
  <c r="L43" i="2" s="1"/>
  <c r="C42" i="2"/>
  <c r="D42" i="2" s="1"/>
  <c r="L42" i="2" s="1"/>
  <c r="C41" i="2"/>
  <c r="D41" i="2" s="1"/>
  <c r="L41" i="2" s="1"/>
  <c r="C40" i="2"/>
  <c r="D40" i="2" s="1"/>
  <c r="L40" i="2" s="1"/>
  <c r="C39" i="2"/>
  <c r="D39" i="2" s="1"/>
  <c r="L39" i="2" s="1"/>
  <c r="C38" i="2"/>
  <c r="D38" i="2" s="1"/>
  <c r="L38" i="2" s="1"/>
  <c r="C37" i="2"/>
  <c r="D37" i="2" s="1"/>
  <c r="L37" i="2" s="1"/>
  <c r="C36" i="2"/>
  <c r="D36" i="2" s="1"/>
  <c r="L36" i="2" s="1"/>
  <c r="C35" i="2"/>
  <c r="D35" i="2" s="1"/>
  <c r="L35" i="2" s="1"/>
  <c r="C34" i="2"/>
  <c r="D34" i="2" s="1"/>
  <c r="L34" i="2" s="1"/>
  <c r="C33" i="2"/>
  <c r="D33" i="2" s="1"/>
  <c r="L33" i="2" s="1"/>
  <c r="C32" i="2"/>
  <c r="D32" i="2" s="1"/>
  <c r="L32" i="2" s="1"/>
  <c r="C31" i="2"/>
  <c r="D31" i="2" s="1"/>
  <c r="L31" i="2" s="1"/>
  <c r="C30" i="2"/>
  <c r="D30" i="2" s="1"/>
  <c r="L30" i="2" s="1"/>
  <c r="C29" i="2"/>
  <c r="D29" i="2" s="1"/>
  <c r="L29" i="2" s="1"/>
  <c r="C28" i="2"/>
  <c r="D28" i="2" s="1"/>
  <c r="L28" i="2" s="1"/>
  <c r="C27" i="2"/>
  <c r="D27" i="2" s="1"/>
  <c r="L27" i="2" s="1"/>
  <c r="C26" i="2"/>
  <c r="D26" i="2" s="1"/>
  <c r="L26" i="2" s="1"/>
  <c r="C25" i="2"/>
  <c r="D25" i="2" s="1"/>
  <c r="L25" i="2" s="1"/>
  <c r="C24" i="2"/>
  <c r="D24" i="2" s="1"/>
  <c r="L24" i="2" s="1"/>
  <c r="C23" i="2"/>
  <c r="D23" i="2" s="1"/>
  <c r="L23" i="2" s="1"/>
  <c r="C22" i="2"/>
  <c r="D22" i="2" s="1"/>
  <c r="L22" i="2" s="1"/>
  <c r="C21" i="2"/>
  <c r="D21" i="2" s="1"/>
  <c r="L21" i="2" s="1"/>
  <c r="C20" i="2"/>
  <c r="D20" i="2" s="1"/>
  <c r="L20" i="2" s="1"/>
  <c r="C19" i="2"/>
  <c r="D19" i="2" s="1"/>
  <c r="L19" i="2" s="1"/>
  <c r="C18" i="2"/>
  <c r="D18" i="2" s="1"/>
  <c r="L18" i="2" s="1"/>
  <c r="C17" i="2"/>
  <c r="D17" i="2" s="1"/>
  <c r="L17" i="2" s="1"/>
  <c r="C16" i="2"/>
  <c r="D16" i="2" s="1"/>
  <c r="L16" i="2" s="1"/>
  <c r="C15" i="2"/>
  <c r="D15" i="2" s="1"/>
  <c r="L15" i="2" s="1"/>
  <c r="C14" i="2"/>
  <c r="D14" i="2" s="1"/>
  <c r="L14" i="2" s="1"/>
  <c r="C13" i="2"/>
  <c r="D13" i="2" s="1"/>
  <c r="L13" i="2" s="1"/>
  <c r="C12" i="2"/>
  <c r="D12" i="2" s="1"/>
  <c r="L12" i="2" s="1"/>
  <c r="C11" i="2"/>
  <c r="D11" i="2" s="1"/>
  <c r="L11" i="2" s="1"/>
  <c r="C10" i="2"/>
  <c r="D10" i="2" s="1"/>
  <c r="L10" i="2" s="1"/>
  <c r="C9" i="2"/>
  <c r="D9" i="2" s="1"/>
  <c r="L9" i="2" s="1"/>
  <c r="C8" i="2"/>
  <c r="D8" i="2" s="1"/>
  <c r="L8" i="2" s="1"/>
  <c r="C7" i="2"/>
  <c r="D7" i="2" s="1"/>
  <c r="L7" i="2" s="1"/>
  <c r="C6" i="2"/>
  <c r="D6" i="2" s="1"/>
  <c r="L6" i="2" s="1"/>
  <c r="C5" i="2"/>
  <c r="C4" i="2"/>
  <c r="C3" i="2"/>
  <c r="D36" i="1" l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68" i="1"/>
  <c r="D276" i="1"/>
  <c r="D284" i="1"/>
  <c r="D292" i="1"/>
  <c r="D300" i="1"/>
  <c r="D308" i="1"/>
  <c r="D316" i="1"/>
  <c r="D324" i="1"/>
  <c r="D332" i="1"/>
  <c r="D340" i="1"/>
  <c r="D348" i="1"/>
  <c r="D356" i="1"/>
  <c r="D364" i="1"/>
  <c r="D372" i="1"/>
  <c r="D380" i="1"/>
  <c r="D388" i="1"/>
  <c r="D396" i="1"/>
  <c r="D404" i="1"/>
  <c r="D412" i="1"/>
  <c r="D420" i="1"/>
  <c r="D428" i="1"/>
  <c r="D436" i="1"/>
  <c r="D444" i="1"/>
  <c r="D452" i="1"/>
  <c r="D460" i="1"/>
  <c r="D468" i="1"/>
  <c r="D476" i="1"/>
  <c r="D484" i="1"/>
  <c r="D492" i="1"/>
  <c r="D500" i="1"/>
  <c r="C30" i="1"/>
  <c r="D31" i="1" s="1"/>
  <c r="E31" i="1" s="1"/>
  <c r="C31" i="1"/>
  <c r="D32" i="1" s="1"/>
  <c r="E32" i="1" s="1"/>
  <c r="C32" i="1"/>
  <c r="D33" i="1" s="1"/>
  <c r="E33" i="1" s="1"/>
  <c r="C33" i="1"/>
  <c r="D34" i="1" s="1"/>
  <c r="E34" i="1" s="1"/>
  <c r="C34" i="1"/>
  <c r="D35" i="1" s="1"/>
  <c r="E35" i="1" s="1"/>
  <c r="C35" i="1"/>
  <c r="C36" i="1"/>
  <c r="D37" i="1" s="1"/>
  <c r="E37" i="1" s="1"/>
  <c r="C37" i="1"/>
  <c r="D38" i="1" s="1"/>
  <c r="E38" i="1" s="1"/>
  <c r="C38" i="1"/>
  <c r="D39" i="1" s="1"/>
  <c r="E39" i="1" s="1"/>
  <c r="C39" i="1"/>
  <c r="D40" i="1" s="1"/>
  <c r="E40" i="1" s="1"/>
  <c r="C40" i="1"/>
  <c r="D41" i="1" s="1"/>
  <c r="E41" i="1" s="1"/>
  <c r="C41" i="1"/>
  <c r="D42" i="1" s="1"/>
  <c r="E42" i="1" s="1"/>
  <c r="C42" i="1"/>
  <c r="D43" i="1" s="1"/>
  <c r="E43" i="1" s="1"/>
  <c r="C43" i="1"/>
  <c r="C44" i="1"/>
  <c r="D45" i="1" s="1"/>
  <c r="E45" i="1" s="1"/>
  <c r="C45" i="1"/>
  <c r="D46" i="1" s="1"/>
  <c r="E46" i="1" s="1"/>
  <c r="C46" i="1"/>
  <c r="D47" i="1" s="1"/>
  <c r="E47" i="1" s="1"/>
  <c r="C47" i="1"/>
  <c r="D48" i="1" s="1"/>
  <c r="E48" i="1" s="1"/>
  <c r="C48" i="1"/>
  <c r="D49" i="1" s="1"/>
  <c r="E49" i="1" s="1"/>
  <c r="C49" i="1"/>
  <c r="D50" i="1" s="1"/>
  <c r="E50" i="1" s="1"/>
  <c r="C50" i="1"/>
  <c r="D51" i="1" s="1"/>
  <c r="E51" i="1" s="1"/>
  <c r="C51" i="1"/>
  <c r="C52" i="1"/>
  <c r="D53" i="1" s="1"/>
  <c r="E53" i="1" s="1"/>
  <c r="C53" i="1"/>
  <c r="D54" i="1" s="1"/>
  <c r="E54" i="1" s="1"/>
  <c r="C54" i="1"/>
  <c r="D55" i="1" s="1"/>
  <c r="E55" i="1" s="1"/>
  <c r="C55" i="1"/>
  <c r="D56" i="1" s="1"/>
  <c r="E56" i="1" s="1"/>
  <c r="C56" i="1"/>
  <c r="D57" i="1" s="1"/>
  <c r="E57" i="1" s="1"/>
  <c r="C57" i="1"/>
  <c r="D58" i="1" s="1"/>
  <c r="E58" i="1" s="1"/>
  <c r="C58" i="1"/>
  <c r="D59" i="1" s="1"/>
  <c r="E59" i="1" s="1"/>
  <c r="C59" i="1"/>
  <c r="C60" i="1"/>
  <c r="D61" i="1" s="1"/>
  <c r="E61" i="1" s="1"/>
  <c r="C61" i="1"/>
  <c r="D62" i="1" s="1"/>
  <c r="E62" i="1" s="1"/>
  <c r="C62" i="1"/>
  <c r="D63" i="1" s="1"/>
  <c r="E63" i="1" s="1"/>
  <c r="C63" i="1"/>
  <c r="D64" i="1" s="1"/>
  <c r="E64" i="1" s="1"/>
  <c r="C64" i="1"/>
  <c r="D65" i="1" s="1"/>
  <c r="E65" i="1" s="1"/>
  <c r="C65" i="1"/>
  <c r="D66" i="1" s="1"/>
  <c r="E66" i="1" s="1"/>
  <c r="C66" i="1"/>
  <c r="D67" i="1" s="1"/>
  <c r="E67" i="1" s="1"/>
  <c r="C67" i="1"/>
  <c r="C68" i="1"/>
  <c r="D69" i="1" s="1"/>
  <c r="E69" i="1" s="1"/>
  <c r="C69" i="1"/>
  <c r="D70" i="1" s="1"/>
  <c r="E70" i="1" s="1"/>
  <c r="C70" i="1"/>
  <c r="D71" i="1" s="1"/>
  <c r="E71" i="1" s="1"/>
  <c r="C71" i="1"/>
  <c r="D72" i="1" s="1"/>
  <c r="E72" i="1" s="1"/>
  <c r="C72" i="1"/>
  <c r="D73" i="1" s="1"/>
  <c r="E73" i="1" s="1"/>
  <c r="C73" i="1"/>
  <c r="D74" i="1" s="1"/>
  <c r="E74" i="1" s="1"/>
  <c r="C74" i="1"/>
  <c r="D75" i="1" s="1"/>
  <c r="E75" i="1" s="1"/>
  <c r="C75" i="1"/>
  <c r="C76" i="1"/>
  <c r="D77" i="1" s="1"/>
  <c r="E77" i="1" s="1"/>
  <c r="C77" i="1"/>
  <c r="D78" i="1" s="1"/>
  <c r="E78" i="1" s="1"/>
  <c r="C78" i="1"/>
  <c r="D79" i="1" s="1"/>
  <c r="E79" i="1" s="1"/>
  <c r="C79" i="1"/>
  <c r="D80" i="1" s="1"/>
  <c r="E80" i="1" s="1"/>
  <c r="C80" i="1"/>
  <c r="D81" i="1" s="1"/>
  <c r="E81" i="1" s="1"/>
  <c r="C81" i="1"/>
  <c r="D82" i="1" s="1"/>
  <c r="E82" i="1" s="1"/>
  <c r="C82" i="1"/>
  <c r="D83" i="1" s="1"/>
  <c r="E83" i="1" s="1"/>
  <c r="C83" i="1"/>
  <c r="C84" i="1"/>
  <c r="D85" i="1" s="1"/>
  <c r="E85" i="1" s="1"/>
  <c r="C85" i="1"/>
  <c r="D86" i="1" s="1"/>
  <c r="E86" i="1" s="1"/>
  <c r="C86" i="1"/>
  <c r="D87" i="1" s="1"/>
  <c r="E87" i="1" s="1"/>
  <c r="C87" i="1"/>
  <c r="D88" i="1" s="1"/>
  <c r="E88" i="1" s="1"/>
  <c r="C88" i="1"/>
  <c r="D89" i="1" s="1"/>
  <c r="E89" i="1" s="1"/>
  <c r="C89" i="1"/>
  <c r="D90" i="1" s="1"/>
  <c r="E90" i="1" s="1"/>
  <c r="C90" i="1"/>
  <c r="D91" i="1" s="1"/>
  <c r="E91" i="1" s="1"/>
  <c r="C91" i="1"/>
  <c r="C92" i="1"/>
  <c r="D93" i="1" s="1"/>
  <c r="E93" i="1" s="1"/>
  <c r="C93" i="1"/>
  <c r="D94" i="1" s="1"/>
  <c r="E94" i="1" s="1"/>
  <c r="C94" i="1"/>
  <c r="D95" i="1" s="1"/>
  <c r="E95" i="1" s="1"/>
  <c r="C95" i="1"/>
  <c r="D96" i="1" s="1"/>
  <c r="E96" i="1" s="1"/>
  <c r="C96" i="1"/>
  <c r="D97" i="1" s="1"/>
  <c r="E97" i="1" s="1"/>
  <c r="C97" i="1"/>
  <c r="D98" i="1" s="1"/>
  <c r="E98" i="1" s="1"/>
  <c r="C98" i="1"/>
  <c r="D99" i="1" s="1"/>
  <c r="E99" i="1" s="1"/>
  <c r="C99" i="1"/>
  <c r="C100" i="1"/>
  <c r="D101" i="1" s="1"/>
  <c r="E101" i="1" s="1"/>
  <c r="C101" i="1"/>
  <c r="D102" i="1" s="1"/>
  <c r="E102" i="1" s="1"/>
  <c r="C102" i="1"/>
  <c r="D103" i="1" s="1"/>
  <c r="E103" i="1" s="1"/>
  <c r="C103" i="1"/>
  <c r="D104" i="1" s="1"/>
  <c r="E104" i="1" s="1"/>
  <c r="C104" i="1"/>
  <c r="D105" i="1" s="1"/>
  <c r="E105" i="1" s="1"/>
  <c r="C105" i="1"/>
  <c r="D106" i="1" s="1"/>
  <c r="E106" i="1" s="1"/>
  <c r="C106" i="1"/>
  <c r="D107" i="1" s="1"/>
  <c r="E107" i="1" s="1"/>
  <c r="C107" i="1"/>
  <c r="C108" i="1"/>
  <c r="D109" i="1" s="1"/>
  <c r="E109" i="1" s="1"/>
  <c r="C109" i="1"/>
  <c r="D110" i="1" s="1"/>
  <c r="E110" i="1" s="1"/>
  <c r="C110" i="1"/>
  <c r="D111" i="1" s="1"/>
  <c r="E111" i="1" s="1"/>
  <c r="C111" i="1"/>
  <c r="D112" i="1" s="1"/>
  <c r="E112" i="1" s="1"/>
  <c r="C112" i="1"/>
  <c r="D113" i="1" s="1"/>
  <c r="E113" i="1" s="1"/>
  <c r="C113" i="1"/>
  <c r="D114" i="1" s="1"/>
  <c r="E114" i="1" s="1"/>
  <c r="C114" i="1"/>
  <c r="D115" i="1" s="1"/>
  <c r="E115" i="1" s="1"/>
  <c r="C115" i="1"/>
  <c r="C116" i="1"/>
  <c r="D117" i="1" s="1"/>
  <c r="E117" i="1" s="1"/>
  <c r="C117" i="1"/>
  <c r="D118" i="1" s="1"/>
  <c r="E118" i="1" s="1"/>
  <c r="C118" i="1"/>
  <c r="D119" i="1" s="1"/>
  <c r="E119" i="1" s="1"/>
  <c r="C119" i="1"/>
  <c r="D120" i="1" s="1"/>
  <c r="E120" i="1" s="1"/>
  <c r="C120" i="1"/>
  <c r="D121" i="1" s="1"/>
  <c r="E121" i="1" s="1"/>
  <c r="C121" i="1"/>
  <c r="D122" i="1" s="1"/>
  <c r="E122" i="1" s="1"/>
  <c r="C122" i="1"/>
  <c r="D123" i="1" s="1"/>
  <c r="E123" i="1" s="1"/>
  <c r="C123" i="1"/>
  <c r="C124" i="1"/>
  <c r="D125" i="1" s="1"/>
  <c r="E125" i="1" s="1"/>
  <c r="C125" i="1"/>
  <c r="D126" i="1" s="1"/>
  <c r="E126" i="1" s="1"/>
  <c r="C126" i="1"/>
  <c r="D127" i="1" s="1"/>
  <c r="E127" i="1" s="1"/>
  <c r="C127" i="1"/>
  <c r="D128" i="1" s="1"/>
  <c r="E128" i="1" s="1"/>
  <c r="C128" i="1"/>
  <c r="D129" i="1" s="1"/>
  <c r="E129" i="1" s="1"/>
  <c r="C129" i="1"/>
  <c r="D130" i="1" s="1"/>
  <c r="E130" i="1" s="1"/>
  <c r="C130" i="1"/>
  <c r="D131" i="1" s="1"/>
  <c r="E131" i="1" s="1"/>
  <c r="C131" i="1"/>
  <c r="C132" i="1"/>
  <c r="D133" i="1" s="1"/>
  <c r="E133" i="1" s="1"/>
  <c r="C133" i="1"/>
  <c r="D134" i="1" s="1"/>
  <c r="E134" i="1" s="1"/>
  <c r="C134" i="1"/>
  <c r="D135" i="1" s="1"/>
  <c r="E135" i="1" s="1"/>
  <c r="C135" i="1"/>
  <c r="D136" i="1" s="1"/>
  <c r="E136" i="1" s="1"/>
  <c r="C136" i="1"/>
  <c r="D137" i="1" s="1"/>
  <c r="E137" i="1" s="1"/>
  <c r="C137" i="1"/>
  <c r="D138" i="1" s="1"/>
  <c r="E138" i="1" s="1"/>
  <c r="C138" i="1"/>
  <c r="D139" i="1" s="1"/>
  <c r="E139" i="1" s="1"/>
  <c r="C139" i="1"/>
  <c r="C140" i="1"/>
  <c r="D141" i="1" s="1"/>
  <c r="E141" i="1" s="1"/>
  <c r="C141" i="1"/>
  <c r="D142" i="1" s="1"/>
  <c r="E142" i="1" s="1"/>
  <c r="C142" i="1"/>
  <c r="D143" i="1" s="1"/>
  <c r="E143" i="1" s="1"/>
  <c r="C143" i="1"/>
  <c r="D144" i="1" s="1"/>
  <c r="E144" i="1" s="1"/>
  <c r="C144" i="1"/>
  <c r="D145" i="1" s="1"/>
  <c r="E145" i="1" s="1"/>
  <c r="C145" i="1"/>
  <c r="D146" i="1" s="1"/>
  <c r="E146" i="1" s="1"/>
  <c r="C146" i="1"/>
  <c r="D147" i="1" s="1"/>
  <c r="E147" i="1" s="1"/>
  <c r="C147" i="1"/>
  <c r="C148" i="1"/>
  <c r="D149" i="1" s="1"/>
  <c r="E149" i="1" s="1"/>
  <c r="C149" i="1"/>
  <c r="D150" i="1" s="1"/>
  <c r="E150" i="1" s="1"/>
  <c r="C150" i="1"/>
  <c r="D151" i="1" s="1"/>
  <c r="E151" i="1" s="1"/>
  <c r="C151" i="1"/>
  <c r="D152" i="1" s="1"/>
  <c r="E152" i="1" s="1"/>
  <c r="C152" i="1"/>
  <c r="D153" i="1" s="1"/>
  <c r="E153" i="1" s="1"/>
  <c r="C153" i="1"/>
  <c r="D154" i="1" s="1"/>
  <c r="E154" i="1" s="1"/>
  <c r="C154" i="1"/>
  <c r="D155" i="1" s="1"/>
  <c r="E155" i="1" s="1"/>
  <c r="C155" i="1"/>
  <c r="C156" i="1"/>
  <c r="D157" i="1" s="1"/>
  <c r="E157" i="1" s="1"/>
  <c r="C157" i="1"/>
  <c r="D158" i="1" s="1"/>
  <c r="E158" i="1" s="1"/>
  <c r="C158" i="1"/>
  <c r="D159" i="1" s="1"/>
  <c r="E159" i="1" s="1"/>
  <c r="C159" i="1"/>
  <c r="D160" i="1" s="1"/>
  <c r="E160" i="1" s="1"/>
  <c r="C160" i="1"/>
  <c r="D161" i="1" s="1"/>
  <c r="E161" i="1" s="1"/>
  <c r="C161" i="1"/>
  <c r="D162" i="1" s="1"/>
  <c r="E162" i="1" s="1"/>
  <c r="C162" i="1"/>
  <c r="D163" i="1" s="1"/>
  <c r="E163" i="1" s="1"/>
  <c r="C163" i="1"/>
  <c r="C164" i="1"/>
  <c r="D165" i="1" s="1"/>
  <c r="E165" i="1" s="1"/>
  <c r="C165" i="1"/>
  <c r="D166" i="1" s="1"/>
  <c r="E166" i="1" s="1"/>
  <c r="C166" i="1"/>
  <c r="D167" i="1" s="1"/>
  <c r="E167" i="1" s="1"/>
  <c r="C167" i="1"/>
  <c r="D168" i="1" s="1"/>
  <c r="E168" i="1" s="1"/>
  <c r="C168" i="1"/>
  <c r="D169" i="1" s="1"/>
  <c r="E169" i="1" s="1"/>
  <c r="C169" i="1"/>
  <c r="D170" i="1" s="1"/>
  <c r="E170" i="1" s="1"/>
  <c r="C170" i="1"/>
  <c r="D171" i="1" s="1"/>
  <c r="E171" i="1" s="1"/>
  <c r="C171" i="1"/>
  <c r="C172" i="1"/>
  <c r="D173" i="1" s="1"/>
  <c r="E173" i="1" s="1"/>
  <c r="C173" i="1"/>
  <c r="D174" i="1" s="1"/>
  <c r="E174" i="1" s="1"/>
  <c r="C174" i="1"/>
  <c r="D175" i="1" s="1"/>
  <c r="E175" i="1" s="1"/>
  <c r="C175" i="1"/>
  <c r="D176" i="1" s="1"/>
  <c r="E176" i="1" s="1"/>
  <c r="C176" i="1"/>
  <c r="D177" i="1" s="1"/>
  <c r="E177" i="1" s="1"/>
  <c r="C177" i="1"/>
  <c r="D178" i="1" s="1"/>
  <c r="E178" i="1" s="1"/>
  <c r="C178" i="1"/>
  <c r="D179" i="1" s="1"/>
  <c r="E179" i="1" s="1"/>
  <c r="C179" i="1"/>
  <c r="C180" i="1"/>
  <c r="D181" i="1" s="1"/>
  <c r="E181" i="1" s="1"/>
  <c r="C181" i="1"/>
  <c r="D182" i="1" s="1"/>
  <c r="E182" i="1" s="1"/>
  <c r="C182" i="1"/>
  <c r="D183" i="1" s="1"/>
  <c r="E183" i="1" s="1"/>
  <c r="C183" i="1"/>
  <c r="D184" i="1" s="1"/>
  <c r="E184" i="1" s="1"/>
  <c r="C184" i="1"/>
  <c r="D185" i="1" s="1"/>
  <c r="E185" i="1" s="1"/>
  <c r="C185" i="1"/>
  <c r="D186" i="1" s="1"/>
  <c r="E186" i="1" s="1"/>
  <c r="C186" i="1"/>
  <c r="D187" i="1" s="1"/>
  <c r="E187" i="1" s="1"/>
  <c r="C187" i="1"/>
  <c r="C188" i="1"/>
  <c r="D189" i="1" s="1"/>
  <c r="E189" i="1" s="1"/>
  <c r="C189" i="1"/>
  <c r="D190" i="1" s="1"/>
  <c r="E190" i="1" s="1"/>
  <c r="C190" i="1"/>
  <c r="D191" i="1" s="1"/>
  <c r="E191" i="1" s="1"/>
  <c r="C191" i="1"/>
  <c r="D192" i="1" s="1"/>
  <c r="E192" i="1" s="1"/>
  <c r="C192" i="1"/>
  <c r="D193" i="1" s="1"/>
  <c r="E193" i="1" s="1"/>
  <c r="C193" i="1"/>
  <c r="D194" i="1" s="1"/>
  <c r="E194" i="1" s="1"/>
  <c r="C194" i="1"/>
  <c r="D195" i="1" s="1"/>
  <c r="E195" i="1" s="1"/>
  <c r="C195" i="1"/>
  <c r="C196" i="1"/>
  <c r="D197" i="1" s="1"/>
  <c r="E197" i="1" s="1"/>
  <c r="C197" i="1"/>
  <c r="D198" i="1" s="1"/>
  <c r="E198" i="1" s="1"/>
  <c r="C198" i="1"/>
  <c r="D199" i="1" s="1"/>
  <c r="E199" i="1" s="1"/>
  <c r="C199" i="1"/>
  <c r="D200" i="1" s="1"/>
  <c r="E200" i="1" s="1"/>
  <c r="C200" i="1"/>
  <c r="D201" i="1" s="1"/>
  <c r="E201" i="1" s="1"/>
  <c r="C201" i="1"/>
  <c r="D202" i="1" s="1"/>
  <c r="E202" i="1" s="1"/>
  <c r="C202" i="1"/>
  <c r="D203" i="1" s="1"/>
  <c r="E203" i="1" s="1"/>
  <c r="C203" i="1"/>
  <c r="C204" i="1"/>
  <c r="D205" i="1" s="1"/>
  <c r="E205" i="1" s="1"/>
  <c r="C205" i="1"/>
  <c r="D206" i="1" s="1"/>
  <c r="E206" i="1" s="1"/>
  <c r="C206" i="1"/>
  <c r="D207" i="1" s="1"/>
  <c r="E207" i="1" s="1"/>
  <c r="C207" i="1"/>
  <c r="D208" i="1" s="1"/>
  <c r="E208" i="1" s="1"/>
  <c r="C208" i="1"/>
  <c r="D209" i="1" s="1"/>
  <c r="E209" i="1" s="1"/>
  <c r="C209" i="1"/>
  <c r="D210" i="1" s="1"/>
  <c r="E210" i="1" s="1"/>
  <c r="C210" i="1"/>
  <c r="D211" i="1" s="1"/>
  <c r="E211" i="1" s="1"/>
  <c r="C211" i="1"/>
  <c r="C212" i="1"/>
  <c r="D213" i="1" s="1"/>
  <c r="E213" i="1" s="1"/>
  <c r="C213" i="1"/>
  <c r="D214" i="1" s="1"/>
  <c r="E214" i="1" s="1"/>
  <c r="C214" i="1"/>
  <c r="D215" i="1" s="1"/>
  <c r="E215" i="1" s="1"/>
  <c r="C215" i="1"/>
  <c r="D216" i="1" s="1"/>
  <c r="E216" i="1" s="1"/>
  <c r="C216" i="1"/>
  <c r="D217" i="1" s="1"/>
  <c r="E217" i="1" s="1"/>
  <c r="C217" i="1"/>
  <c r="D218" i="1" s="1"/>
  <c r="E218" i="1" s="1"/>
  <c r="C218" i="1"/>
  <c r="D219" i="1" s="1"/>
  <c r="E219" i="1" s="1"/>
  <c r="C219" i="1"/>
  <c r="C220" i="1"/>
  <c r="D221" i="1" s="1"/>
  <c r="E221" i="1" s="1"/>
  <c r="C221" i="1"/>
  <c r="D222" i="1" s="1"/>
  <c r="E222" i="1" s="1"/>
  <c r="C222" i="1"/>
  <c r="D223" i="1" s="1"/>
  <c r="E223" i="1" s="1"/>
  <c r="C223" i="1"/>
  <c r="D224" i="1" s="1"/>
  <c r="E224" i="1" s="1"/>
  <c r="C224" i="1"/>
  <c r="D225" i="1" s="1"/>
  <c r="E225" i="1" s="1"/>
  <c r="C225" i="1"/>
  <c r="D226" i="1" s="1"/>
  <c r="E226" i="1" s="1"/>
  <c r="C226" i="1"/>
  <c r="D227" i="1" s="1"/>
  <c r="E227" i="1" s="1"/>
  <c r="C227" i="1"/>
  <c r="C228" i="1"/>
  <c r="D229" i="1" s="1"/>
  <c r="E229" i="1" s="1"/>
  <c r="C229" i="1"/>
  <c r="D230" i="1" s="1"/>
  <c r="E230" i="1" s="1"/>
  <c r="C230" i="1"/>
  <c r="D231" i="1" s="1"/>
  <c r="E231" i="1" s="1"/>
  <c r="C231" i="1"/>
  <c r="D232" i="1" s="1"/>
  <c r="E232" i="1" s="1"/>
  <c r="C232" i="1"/>
  <c r="D233" i="1" s="1"/>
  <c r="E233" i="1" s="1"/>
  <c r="C233" i="1"/>
  <c r="D234" i="1" s="1"/>
  <c r="E234" i="1" s="1"/>
  <c r="C234" i="1"/>
  <c r="D235" i="1" s="1"/>
  <c r="E235" i="1" s="1"/>
  <c r="C235" i="1"/>
  <c r="C236" i="1"/>
  <c r="D237" i="1" s="1"/>
  <c r="E237" i="1" s="1"/>
  <c r="C237" i="1"/>
  <c r="D238" i="1" s="1"/>
  <c r="E238" i="1" s="1"/>
  <c r="C238" i="1"/>
  <c r="D239" i="1" s="1"/>
  <c r="E239" i="1" s="1"/>
  <c r="C239" i="1"/>
  <c r="D240" i="1" s="1"/>
  <c r="E240" i="1" s="1"/>
  <c r="C240" i="1"/>
  <c r="D241" i="1" s="1"/>
  <c r="E241" i="1" s="1"/>
  <c r="C241" i="1"/>
  <c r="D242" i="1" s="1"/>
  <c r="E242" i="1" s="1"/>
  <c r="C242" i="1"/>
  <c r="D243" i="1" s="1"/>
  <c r="E243" i="1" s="1"/>
  <c r="C243" i="1"/>
  <c r="C244" i="1"/>
  <c r="D245" i="1" s="1"/>
  <c r="E245" i="1" s="1"/>
  <c r="C245" i="1"/>
  <c r="D246" i="1" s="1"/>
  <c r="E246" i="1" s="1"/>
  <c r="C246" i="1"/>
  <c r="D247" i="1" s="1"/>
  <c r="E247" i="1" s="1"/>
  <c r="C247" i="1"/>
  <c r="D248" i="1" s="1"/>
  <c r="E248" i="1" s="1"/>
  <c r="C248" i="1"/>
  <c r="D249" i="1" s="1"/>
  <c r="E249" i="1" s="1"/>
  <c r="C249" i="1"/>
  <c r="D250" i="1" s="1"/>
  <c r="E250" i="1" s="1"/>
  <c r="C250" i="1"/>
  <c r="D251" i="1" s="1"/>
  <c r="E251" i="1" s="1"/>
  <c r="C251" i="1"/>
  <c r="C252" i="1"/>
  <c r="D253" i="1" s="1"/>
  <c r="E253" i="1" s="1"/>
  <c r="C253" i="1"/>
  <c r="D254" i="1" s="1"/>
  <c r="E254" i="1" s="1"/>
  <c r="C254" i="1"/>
  <c r="D255" i="1" s="1"/>
  <c r="E255" i="1" s="1"/>
  <c r="C255" i="1"/>
  <c r="D256" i="1" s="1"/>
  <c r="E256" i="1" s="1"/>
  <c r="C256" i="1"/>
  <c r="D257" i="1" s="1"/>
  <c r="E257" i="1" s="1"/>
  <c r="C257" i="1"/>
  <c r="D258" i="1" s="1"/>
  <c r="E258" i="1" s="1"/>
  <c r="C258" i="1"/>
  <c r="D259" i="1" s="1"/>
  <c r="E259" i="1" s="1"/>
  <c r="C259" i="1"/>
  <c r="C260" i="1"/>
  <c r="D261" i="1" s="1"/>
  <c r="E261" i="1" s="1"/>
  <c r="C261" i="1"/>
  <c r="D262" i="1" s="1"/>
  <c r="E262" i="1" s="1"/>
  <c r="C262" i="1"/>
  <c r="D263" i="1" s="1"/>
  <c r="E263" i="1" s="1"/>
  <c r="C263" i="1"/>
  <c r="D264" i="1" s="1"/>
  <c r="E264" i="1" s="1"/>
  <c r="C264" i="1"/>
  <c r="D265" i="1" s="1"/>
  <c r="E265" i="1" s="1"/>
  <c r="C265" i="1"/>
  <c r="D266" i="1" s="1"/>
  <c r="E266" i="1" s="1"/>
  <c r="C266" i="1"/>
  <c r="D267" i="1" s="1"/>
  <c r="E267" i="1" s="1"/>
  <c r="C267" i="1"/>
  <c r="C268" i="1"/>
  <c r="D269" i="1" s="1"/>
  <c r="E269" i="1" s="1"/>
  <c r="C269" i="1"/>
  <c r="D270" i="1" s="1"/>
  <c r="E270" i="1" s="1"/>
  <c r="C270" i="1"/>
  <c r="D271" i="1" s="1"/>
  <c r="E271" i="1" s="1"/>
  <c r="C271" i="1"/>
  <c r="D272" i="1" s="1"/>
  <c r="E272" i="1" s="1"/>
  <c r="C272" i="1"/>
  <c r="D273" i="1" s="1"/>
  <c r="E273" i="1" s="1"/>
  <c r="C273" i="1"/>
  <c r="D274" i="1" s="1"/>
  <c r="E274" i="1" s="1"/>
  <c r="C274" i="1"/>
  <c r="D275" i="1" s="1"/>
  <c r="E275" i="1" s="1"/>
  <c r="C275" i="1"/>
  <c r="C276" i="1"/>
  <c r="D277" i="1" s="1"/>
  <c r="E277" i="1" s="1"/>
  <c r="C277" i="1"/>
  <c r="D278" i="1" s="1"/>
  <c r="E278" i="1" s="1"/>
  <c r="C278" i="1"/>
  <c r="D279" i="1" s="1"/>
  <c r="E279" i="1" s="1"/>
  <c r="C279" i="1"/>
  <c r="D280" i="1" s="1"/>
  <c r="E280" i="1" s="1"/>
  <c r="C280" i="1"/>
  <c r="D281" i="1" s="1"/>
  <c r="E281" i="1" s="1"/>
  <c r="C281" i="1"/>
  <c r="D282" i="1" s="1"/>
  <c r="E282" i="1" s="1"/>
  <c r="C282" i="1"/>
  <c r="D283" i="1" s="1"/>
  <c r="E283" i="1" s="1"/>
  <c r="C283" i="1"/>
  <c r="C284" i="1"/>
  <c r="D285" i="1" s="1"/>
  <c r="E285" i="1" s="1"/>
  <c r="C285" i="1"/>
  <c r="D286" i="1" s="1"/>
  <c r="E286" i="1" s="1"/>
  <c r="C286" i="1"/>
  <c r="D287" i="1" s="1"/>
  <c r="E287" i="1" s="1"/>
  <c r="C287" i="1"/>
  <c r="D288" i="1" s="1"/>
  <c r="E288" i="1" s="1"/>
  <c r="C288" i="1"/>
  <c r="D289" i="1" s="1"/>
  <c r="E289" i="1" s="1"/>
  <c r="C289" i="1"/>
  <c r="D290" i="1" s="1"/>
  <c r="E290" i="1" s="1"/>
  <c r="C290" i="1"/>
  <c r="D291" i="1" s="1"/>
  <c r="E291" i="1" s="1"/>
  <c r="C291" i="1"/>
  <c r="C292" i="1"/>
  <c r="D293" i="1" s="1"/>
  <c r="E293" i="1" s="1"/>
  <c r="C293" i="1"/>
  <c r="D294" i="1" s="1"/>
  <c r="E294" i="1" s="1"/>
  <c r="C294" i="1"/>
  <c r="D295" i="1" s="1"/>
  <c r="E295" i="1" s="1"/>
  <c r="C295" i="1"/>
  <c r="D296" i="1" s="1"/>
  <c r="E296" i="1" s="1"/>
  <c r="C296" i="1"/>
  <c r="D297" i="1" s="1"/>
  <c r="E297" i="1" s="1"/>
  <c r="C297" i="1"/>
  <c r="D298" i="1" s="1"/>
  <c r="E298" i="1" s="1"/>
  <c r="C298" i="1"/>
  <c r="D299" i="1" s="1"/>
  <c r="E299" i="1" s="1"/>
  <c r="C299" i="1"/>
  <c r="C300" i="1"/>
  <c r="D301" i="1" s="1"/>
  <c r="E301" i="1" s="1"/>
  <c r="C301" i="1"/>
  <c r="D302" i="1" s="1"/>
  <c r="E302" i="1" s="1"/>
  <c r="C302" i="1"/>
  <c r="D303" i="1" s="1"/>
  <c r="E303" i="1" s="1"/>
  <c r="C303" i="1"/>
  <c r="D304" i="1" s="1"/>
  <c r="E304" i="1" s="1"/>
  <c r="C304" i="1"/>
  <c r="D305" i="1" s="1"/>
  <c r="E305" i="1" s="1"/>
  <c r="C305" i="1"/>
  <c r="D306" i="1" s="1"/>
  <c r="E306" i="1" s="1"/>
  <c r="C306" i="1"/>
  <c r="D307" i="1" s="1"/>
  <c r="E307" i="1" s="1"/>
  <c r="C307" i="1"/>
  <c r="C308" i="1"/>
  <c r="D309" i="1" s="1"/>
  <c r="E309" i="1" s="1"/>
  <c r="C309" i="1"/>
  <c r="D310" i="1" s="1"/>
  <c r="E310" i="1" s="1"/>
  <c r="C310" i="1"/>
  <c r="D311" i="1" s="1"/>
  <c r="E311" i="1" s="1"/>
  <c r="C311" i="1"/>
  <c r="D312" i="1" s="1"/>
  <c r="E312" i="1" s="1"/>
  <c r="C312" i="1"/>
  <c r="D313" i="1" s="1"/>
  <c r="E313" i="1" s="1"/>
  <c r="C313" i="1"/>
  <c r="D314" i="1" s="1"/>
  <c r="E314" i="1" s="1"/>
  <c r="C314" i="1"/>
  <c r="D315" i="1" s="1"/>
  <c r="E315" i="1" s="1"/>
  <c r="C315" i="1"/>
  <c r="C316" i="1"/>
  <c r="D317" i="1" s="1"/>
  <c r="E317" i="1" s="1"/>
  <c r="C317" i="1"/>
  <c r="D318" i="1" s="1"/>
  <c r="E318" i="1" s="1"/>
  <c r="C318" i="1"/>
  <c r="D319" i="1" s="1"/>
  <c r="E319" i="1" s="1"/>
  <c r="C319" i="1"/>
  <c r="D320" i="1" s="1"/>
  <c r="E320" i="1" s="1"/>
  <c r="C320" i="1"/>
  <c r="D321" i="1" s="1"/>
  <c r="E321" i="1" s="1"/>
  <c r="C321" i="1"/>
  <c r="D322" i="1" s="1"/>
  <c r="E322" i="1" s="1"/>
  <c r="C322" i="1"/>
  <c r="D323" i="1" s="1"/>
  <c r="E323" i="1" s="1"/>
  <c r="C323" i="1"/>
  <c r="C324" i="1"/>
  <c r="D325" i="1" s="1"/>
  <c r="E325" i="1" s="1"/>
  <c r="C325" i="1"/>
  <c r="D326" i="1" s="1"/>
  <c r="E326" i="1" s="1"/>
  <c r="C326" i="1"/>
  <c r="D327" i="1" s="1"/>
  <c r="E327" i="1" s="1"/>
  <c r="C327" i="1"/>
  <c r="D328" i="1" s="1"/>
  <c r="E328" i="1" s="1"/>
  <c r="C328" i="1"/>
  <c r="D329" i="1" s="1"/>
  <c r="E329" i="1" s="1"/>
  <c r="C329" i="1"/>
  <c r="D330" i="1" s="1"/>
  <c r="E330" i="1" s="1"/>
  <c r="C330" i="1"/>
  <c r="D331" i="1" s="1"/>
  <c r="E331" i="1" s="1"/>
  <c r="C331" i="1"/>
  <c r="C332" i="1"/>
  <c r="D333" i="1" s="1"/>
  <c r="E333" i="1" s="1"/>
  <c r="C333" i="1"/>
  <c r="D334" i="1" s="1"/>
  <c r="E334" i="1" s="1"/>
  <c r="C334" i="1"/>
  <c r="D335" i="1" s="1"/>
  <c r="E335" i="1" s="1"/>
  <c r="C335" i="1"/>
  <c r="D336" i="1" s="1"/>
  <c r="E336" i="1" s="1"/>
  <c r="C336" i="1"/>
  <c r="D337" i="1" s="1"/>
  <c r="E337" i="1" s="1"/>
  <c r="C337" i="1"/>
  <c r="D338" i="1" s="1"/>
  <c r="E338" i="1" s="1"/>
  <c r="C338" i="1"/>
  <c r="D339" i="1" s="1"/>
  <c r="E339" i="1" s="1"/>
  <c r="C339" i="1"/>
  <c r="C340" i="1"/>
  <c r="D341" i="1" s="1"/>
  <c r="E341" i="1" s="1"/>
  <c r="C341" i="1"/>
  <c r="D342" i="1" s="1"/>
  <c r="E342" i="1" s="1"/>
  <c r="C342" i="1"/>
  <c r="D343" i="1" s="1"/>
  <c r="E343" i="1" s="1"/>
  <c r="C343" i="1"/>
  <c r="D344" i="1" s="1"/>
  <c r="E344" i="1" s="1"/>
  <c r="C344" i="1"/>
  <c r="D345" i="1" s="1"/>
  <c r="E345" i="1" s="1"/>
  <c r="C345" i="1"/>
  <c r="D346" i="1" s="1"/>
  <c r="E346" i="1" s="1"/>
  <c r="C346" i="1"/>
  <c r="D347" i="1" s="1"/>
  <c r="E347" i="1" s="1"/>
  <c r="C347" i="1"/>
  <c r="C348" i="1"/>
  <c r="D349" i="1" s="1"/>
  <c r="E349" i="1" s="1"/>
  <c r="C349" i="1"/>
  <c r="D350" i="1" s="1"/>
  <c r="E350" i="1" s="1"/>
  <c r="C350" i="1"/>
  <c r="D351" i="1" s="1"/>
  <c r="E351" i="1" s="1"/>
  <c r="C351" i="1"/>
  <c r="D352" i="1" s="1"/>
  <c r="E352" i="1" s="1"/>
  <c r="C352" i="1"/>
  <c r="D353" i="1" s="1"/>
  <c r="E353" i="1" s="1"/>
  <c r="C353" i="1"/>
  <c r="D354" i="1" s="1"/>
  <c r="E354" i="1" s="1"/>
  <c r="C354" i="1"/>
  <c r="D355" i="1" s="1"/>
  <c r="E355" i="1" s="1"/>
  <c r="C355" i="1"/>
  <c r="C356" i="1"/>
  <c r="D357" i="1" s="1"/>
  <c r="E357" i="1" s="1"/>
  <c r="C357" i="1"/>
  <c r="D358" i="1" s="1"/>
  <c r="E358" i="1" s="1"/>
  <c r="C358" i="1"/>
  <c r="D359" i="1" s="1"/>
  <c r="E359" i="1" s="1"/>
  <c r="C359" i="1"/>
  <c r="D360" i="1" s="1"/>
  <c r="E360" i="1" s="1"/>
  <c r="C360" i="1"/>
  <c r="D361" i="1" s="1"/>
  <c r="E361" i="1" s="1"/>
  <c r="C361" i="1"/>
  <c r="D362" i="1" s="1"/>
  <c r="E362" i="1" s="1"/>
  <c r="C362" i="1"/>
  <c r="D363" i="1" s="1"/>
  <c r="E363" i="1" s="1"/>
  <c r="C363" i="1"/>
  <c r="C364" i="1"/>
  <c r="D365" i="1" s="1"/>
  <c r="E365" i="1" s="1"/>
  <c r="C365" i="1"/>
  <c r="D366" i="1" s="1"/>
  <c r="E366" i="1" s="1"/>
  <c r="C366" i="1"/>
  <c r="D367" i="1" s="1"/>
  <c r="E367" i="1" s="1"/>
  <c r="C367" i="1"/>
  <c r="D368" i="1" s="1"/>
  <c r="E368" i="1" s="1"/>
  <c r="C368" i="1"/>
  <c r="D369" i="1" s="1"/>
  <c r="E369" i="1" s="1"/>
  <c r="C369" i="1"/>
  <c r="D370" i="1" s="1"/>
  <c r="E370" i="1" s="1"/>
  <c r="C370" i="1"/>
  <c r="D371" i="1" s="1"/>
  <c r="E371" i="1" s="1"/>
  <c r="C371" i="1"/>
  <c r="C372" i="1"/>
  <c r="D373" i="1" s="1"/>
  <c r="E373" i="1" s="1"/>
  <c r="C373" i="1"/>
  <c r="D374" i="1" s="1"/>
  <c r="E374" i="1" s="1"/>
  <c r="C374" i="1"/>
  <c r="D375" i="1" s="1"/>
  <c r="E375" i="1" s="1"/>
  <c r="C375" i="1"/>
  <c r="D376" i="1" s="1"/>
  <c r="E376" i="1" s="1"/>
  <c r="C376" i="1"/>
  <c r="D377" i="1" s="1"/>
  <c r="E377" i="1" s="1"/>
  <c r="C377" i="1"/>
  <c r="D378" i="1" s="1"/>
  <c r="E378" i="1" s="1"/>
  <c r="C378" i="1"/>
  <c r="D379" i="1" s="1"/>
  <c r="E379" i="1" s="1"/>
  <c r="C379" i="1"/>
  <c r="C380" i="1"/>
  <c r="D381" i="1" s="1"/>
  <c r="E381" i="1" s="1"/>
  <c r="C381" i="1"/>
  <c r="D382" i="1" s="1"/>
  <c r="E382" i="1" s="1"/>
  <c r="C382" i="1"/>
  <c r="D383" i="1" s="1"/>
  <c r="E383" i="1" s="1"/>
  <c r="C383" i="1"/>
  <c r="D384" i="1" s="1"/>
  <c r="E384" i="1" s="1"/>
  <c r="C384" i="1"/>
  <c r="D385" i="1" s="1"/>
  <c r="E385" i="1" s="1"/>
  <c r="C385" i="1"/>
  <c r="D386" i="1" s="1"/>
  <c r="E386" i="1" s="1"/>
  <c r="C386" i="1"/>
  <c r="D387" i="1" s="1"/>
  <c r="E387" i="1" s="1"/>
  <c r="C387" i="1"/>
  <c r="C388" i="1"/>
  <c r="D389" i="1" s="1"/>
  <c r="E389" i="1" s="1"/>
  <c r="C389" i="1"/>
  <c r="D390" i="1" s="1"/>
  <c r="E390" i="1" s="1"/>
  <c r="C390" i="1"/>
  <c r="D391" i="1" s="1"/>
  <c r="E391" i="1" s="1"/>
  <c r="C391" i="1"/>
  <c r="D392" i="1" s="1"/>
  <c r="E392" i="1" s="1"/>
  <c r="C392" i="1"/>
  <c r="D393" i="1" s="1"/>
  <c r="E393" i="1" s="1"/>
  <c r="C393" i="1"/>
  <c r="D394" i="1" s="1"/>
  <c r="E394" i="1" s="1"/>
  <c r="C394" i="1"/>
  <c r="D395" i="1" s="1"/>
  <c r="E395" i="1" s="1"/>
  <c r="C395" i="1"/>
  <c r="C396" i="1"/>
  <c r="D397" i="1" s="1"/>
  <c r="E397" i="1" s="1"/>
  <c r="C397" i="1"/>
  <c r="D398" i="1" s="1"/>
  <c r="E398" i="1" s="1"/>
  <c r="C398" i="1"/>
  <c r="D399" i="1" s="1"/>
  <c r="E399" i="1" s="1"/>
  <c r="C399" i="1"/>
  <c r="D400" i="1" s="1"/>
  <c r="E400" i="1" s="1"/>
  <c r="C400" i="1"/>
  <c r="D401" i="1" s="1"/>
  <c r="E401" i="1" s="1"/>
  <c r="C401" i="1"/>
  <c r="D402" i="1" s="1"/>
  <c r="E402" i="1" s="1"/>
  <c r="C402" i="1"/>
  <c r="D403" i="1" s="1"/>
  <c r="E403" i="1" s="1"/>
  <c r="C403" i="1"/>
  <c r="C404" i="1"/>
  <c r="D405" i="1" s="1"/>
  <c r="E405" i="1" s="1"/>
  <c r="C405" i="1"/>
  <c r="D406" i="1" s="1"/>
  <c r="E406" i="1" s="1"/>
  <c r="C406" i="1"/>
  <c r="D407" i="1" s="1"/>
  <c r="E407" i="1" s="1"/>
  <c r="C407" i="1"/>
  <c r="D408" i="1" s="1"/>
  <c r="E408" i="1" s="1"/>
  <c r="C408" i="1"/>
  <c r="D409" i="1" s="1"/>
  <c r="E409" i="1" s="1"/>
  <c r="C409" i="1"/>
  <c r="D410" i="1" s="1"/>
  <c r="E410" i="1" s="1"/>
  <c r="C410" i="1"/>
  <c r="D411" i="1" s="1"/>
  <c r="E411" i="1" s="1"/>
  <c r="C411" i="1"/>
  <c r="C412" i="1"/>
  <c r="D413" i="1" s="1"/>
  <c r="E413" i="1" s="1"/>
  <c r="C413" i="1"/>
  <c r="D414" i="1" s="1"/>
  <c r="E414" i="1" s="1"/>
  <c r="C414" i="1"/>
  <c r="D415" i="1" s="1"/>
  <c r="E415" i="1" s="1"/>
  <c r="C415" i="1"/>
  <c r="D416" i="1" s="1"/>
  <c r="E416" i="1" s="1"/>
  <c r="C416" i="1"/>
  <c r="D417" i="1" s="1"/>
  <c r="E417" i="1" s="1"/>
  <c r="C417" i="1"/>
  <c r="D418" i="1" s="1"/>
  <c r="E418" i="1" s="1"/>
  <c r="C418" i="1"/>
  <c r="D419" i="1" s="1"/>
  <c r="E419" i="1" s="1"/>
  <c r="C419" i="1"/>
  <c r="C420" i="1"/>
  <c r="D421" i="1" s="1"/>
  <c r="E421" i="1" s="1"/>
  <c r="C421" i="1"/>
  <c r="D422" i="1" s="1"/>
  <c r="E422" i="1" s="1"/>
  <c r="C422" i="1"/>
  <c r="D423" i="1" s="1"/>
  <c r="E423" i="1" s="1"/>
  <c r="C423" i="1"/>
  <c r="D424" i="1" s="1"/>
  <c r="E424" i="1" s="1"/>
  <c r="C424" i="1"/>
  <c r="D425" i="1" s="1"/>
  <c r="E425" i="1" s="1"/>
  <c r="C425" i="1"/>
  <c r="D426" i="1" s="1"/>
  <c r="E426" i="1" s="1"/>
  <c r="C426" i="1"/>
  <c r="D427" i="1" s="1"/>
  <c r="E427" i="1" s="1"/>
  <c r="C427" i="1"/>
  <c r="C428" i="1"/>
  <c r="D429" i="1" s="1"/>
  <c r="E429" i="1" s="1"/>
  <c r="C429" i="1"/>
  <c r="D430" i="1" s="1"/>
  <c r="E430" i="1" s="1"/>
  <c r="C430" i="1"/>
  <c r="D431" i="1" s="1"/>
  <c r="E431" i="1" s="1"/>
  <c r="C431" i="1"/>
  <c r="D432" i="1" s="1"/>
  <c r="E432" i="1" s="1"/>
  <c r="C432" i="1"/>
  <c r="D433" i="1" s="1"/>
  <c r="E433" i="1" s="1"/>
  <c r="C433" i="1"/>
  <c r="D434" i="1" s="1"/>
  <c r="E434" i="1" s="1"/>
  <c r="C434" i="1"/>
  <c r="D435" i="1" s="1"/>
  <c r="E435" i="1" s="1"/>
  <c r="C435" i="1"/>
  <c r="C436" i="1"/>
  <c r="D437" i="1" s="1"/>
  <c r="E437" i="1" s="1"/>
  <c r="C437" i="1"/>
  <c r="D438" i="1" s="1"/>
  <c r="E438" i="1" s="1"/>
  <c r="C438" i="1"/>
  <c r="D439" i="1" s="1"/>
  <c r="E439" i="1" s="1"/>
  <c r="C439" i="1"/>
  <c r="D440" i="1" s="1"/>
  <c r="E440" i="1" s="1"/>
  <c r="C440" i="1"/>
  <c r="D441" i="1" s="1"/>
  <c r="E441" i="1" s="1"/>
  <c r="C441" i="1"/>
  <c r="D442" i="1" s="1"/>
  <c r="E442" i="1" s="1"/>
  <c r="C442" i="1"/>
  <c r="D443" i="1" s="1"/>
  <c r="E443" i="1" s="1"/>
  <c r="C443" i="1"/>
  <c r="C444" i="1"/>
  <c r="D445" i="1" s="1"/>
  <c r="E445" i="1" s="1"/>
  <c r="C445" i="1"/>
  <c r="D446" i="1" s="1"/>
  <c r="E446" i="1" s="1"/>
  <c r="C446" i="1"/>
  <c r="D447" i="1" s="1"/>
  <c r="E447" i="1" s="1"/>
  <c r="C447" i="1"/>
  <c r="D448" i="1" s="1"/>
  <c r="E448" i="1" s="1"/>
  <c r="C448" i="1"/>
  <c r="D449" i="1" s="1"/>
  <c r="E449" i="1" s="1"/>
  <c r="C449" i="1"/>
  <c r="D450" i="1" s="1"/>
  <c r="E450" i="1" s="1"/>
  <c r="C450" i="1"/>
  <c r="D451" i="1" s="1"/>
  <c r="E451" i="1" s="1"/>
  <c r="C451" i="1"/>
  <c r="C452" i="1"/>
  <c r="D453" i="1" s="1"/>
  <c r="E453" i="1" s="1"/>
  <c r="C453" i="1"/>
  <c r="D454" i="1" s="1"/>
  <c r="E454" i="1" s="1"/>
  <c r="C454" i="1"/>
  <c r="D455" i="1" s="1"/>
  <c r="E455" i="1" s="1"/>
  <c r="C455" i="1"/>
  <c r="D456" i="1" s="1"/>
  <c r="E456" i="1" s="1"/>
  <c r="C456" i="1"/>
  <c r="D457" i="1" s="1"/>
  <c r="E457" i="1" s="1"/>
  <c r="C457" i="1"/>
  <c r="D458" i="1" s="1"/>
  <c r="E458" i="1" s="1"/>
  <c r="C458" i="1"/>
  <c r="D459" i="1" s="1"/>
  <c r="E459" i="1" s="1"/>
  <c r="C459" i="1"/>
  <c r="C460" i="1"/>
  <c r="D461" i="1" s="1"/>
  <c r="E461" i="1" s="1"/>
  <c r="C461" i="1"/>
  <c r="D462" i="1" s="1"/>
  <c r="E462" i="1" s="1"/>
  <c r="C462" i="1"/>
  <c r="D463" i="1" s="1"/>
  <c r="E463" i="1" s="1"/>
  <c r="C463" i="1"/>
  <c r="D464" i="1" s="1"/>
  <c r="E464" i="1" s="1"/>
  <c r="C464" i="1"/>
  <c r="D465" i="1" s="1"/>
  <c r="E465" i="1" s="1"/>
  <c r="C465" i="1"/>
  <c r="D466" i="1" s="1"/>
  <c r="E466" i="1" s="1"/>
  <c r="C466" i="1"/>
  <c r="D467" i="1" s="1"/>
  <c r="E467" i="1" s="1"/>
  <c r="C467" i="1"/>
  <c r="C468" i="1"/>
  <c r="D469" i="1" s="1"/>
  <c r="E469" i="1" s="1"/>
  <c r="C469" i="1"/>
  <c r="D470" i="1" s="1"/>
  <c r="E470" i="1" s="1"/>
  <c r="C470" i="1"/>
  <c r="D471" i="1" s="1"/>
  <c r="E471" i="1" s="1"/>
  <c r="C471" i="1"/>
  <c r="D472" i="1" s="1"/>
  <c r="E472" i="1" s="1"/>
  <c r="C472" i="1"/>
  <c r="D473" i="1" s="1"/>
  <c r="E473" i="1" s="1"/>
  <c r="C473" i="1"/>
  <c r="D474" i="1" s="1"/>
  <c r="E474" i="1" s="1"/>
  <c r="C474" i="1"/>
  <c r="D475" i="1" s="1"/>
  <c r="E475" i="1" s="1"/>
  <c r="C475" i="1"/>
  <c r="C476" i="1"/>
  <c r="D477" i="1" s="1"/>
  <c r="E477" i="1" s="1"/>
  <c r="C477" i="1"/>
  <c r="D478" i="1" s="1"/>
  <c r="E478" i="1" s="1"/>
  <c r="C478" i="1"/>
  <c r="D479" i="1" s="1"/>
  <c r="E479" i="1" s="1"/>
  <c r="C479" i="1"/>
  <c r="D480" i="1" s="1"/>
  <c r="E480" i="1" s="1"/>
  <c r="C480" i="1"/>
  <c r="D481" i="1" s="1"/>
  <c r="E481" i="1" s="1"/>
  <c r="C481" i="1"/>
  <c r="D482" i="1" s="1"/>
  <c r="E482" i="1" s="1"/>
  <c r="C482" i="1"/>
  <c r="D483" i="1" s="1"/>
  <c r="E483" i="1" s="1"/>
  <c r="C483" i="1"/>
  <c r="C484" i="1"/>
  <c r="D485" i="1" s="1"/>
  <c r="E485" i="1" s="1"/>
  <c r="C485" i="1"/>
  <c r="D486" i="1" s="1"/>
  <c r="E486" i="1" s="1"/>
  <c r="C486" i="1"/>
  <c r="D487" i="1" s="1"/>
  <c r="E487" i="1" s="1"/>
  <c r="C487" i="1"/>
  <c r="D488" i="1" s="1"/>
  <c r="E488" i="1" s="1"/>
  <c r="C488" i="1"/>
  <c r="D489" i="1" s="1"/>
  <c r="E489" i="1" s="1"/>
  <c r="C489" i="1"/>
  <c r="D490" i="1" s="1"/>
  <c r="E490" i="1" s="1"/>
  <c r="C490" i="1"/>
  <c r="D491" i="1" s="1"/>
  <c r="E491" i="1" s="1"/>
  <c r="C491" i="1"/>
  <c r="C492" i="1"/>
  <c r="D493" i="1" s="1"/>
  <c r="E493" i="1" s="1"/>
  <c r="C493" i="1"/>
  <c r="D494" i="1" s="1"/>
  <c r="E494" i="1" s="1"/>
  <c r="C494" i="1"/>
  <c r="D495" i="1" s="1"/>
  <c r="E495" i="1" s="1"/>
  <c r="C495" i="1"/>
  <c r="D496" i="1" s="1"/>
  <c r="E496" i="1" s="1"/>
  <c r="C496" i="1"/>
  <c r="D497" i="1" s="1"/>
  <c r="E497" i="1" s="1"/>
  <c r="C497" i="1"/>
  <c r="D498" i="1" s="1"/>
  <c r="E498" i="1" s="1"/>
  <c r="C498" i="1"/>
  <c r="D499" i="1" s="1"/>
  <c r="E499" i="1" s="1"/>
  <c r="C499" i="1"/>
  <c r="C500" i="1"/>
  <c r="D501" i="1" s="1"/>
  <c r="E501" i="1" s="1"/>
  <c r="C501" i="1"/>
  <c r="C4" i="1"/>
  <c r="C5" i="1"/>
  <c r="D6" i="1" s="1"/>
  <c r="E6" i="1" s="1"/>
  <c r="C6" i="1"/>
  <c r="D8" i="1" s="1"/>
  <c r="E8" i="1" s="1"/>
  <c r="C7" i="1"/>
  <c r="D9" i="1" s="1"/>
  <c r="E9" i="1" s="1"/>
  <c r="C8" i="1"/>
  <c r="C9" i="1"/>
  <c r="D10" i="1" s="1"/>
  <c r="E10" i="1" s="1"/>
  <c r="C10" i="1"/>
  <c r="D11" i="1" s="1"/>
  <c r="E11" i="1" s="1"/>
  <c r="C11" i="1"/>
  <c r="C12" i="1"/>
  <c r="D13" i="1" s="1"/>
  <c r="E13" i="1" s="1"/>
  <c r="C13" i="1"/>
  <c r="D14" i="1" s="1"/>
  <c r="E14" i="1" s="1"/>
  <c r="C14" i="1"/>
  <c r="D15" i="1" s="1"/>
  <c r="E15" i="1" s="1"/>
  <c r="C15" i="1"/>
  <c r="D17" i="1" s="1"/>
  <c r="E17" i="1" s="1"/>
  <c r="C16" i="1"/>
  <c r="C17" i="1"/>
  <c r="D18" i="1" s="1"/>
  <c r="E18" i="1" s="1"/>
  <c r="C18" i="1"/>
  <c r="D19" i="1" s="1"/>
  <c r="E19" i="1" s="1"/>
  <c r="C19" i="1"/>
  <c r="C20" i="1"/>
  <c r="D21" i="1" s="1"/>
  <c r="E21" i="1" s="1"/>
  <c r="C21" i="1"/>
  <c r="D22" i="1" s="1"/>
  <c r="E22" i="1" s="1"/>
  <c r="C22" i="1"/>
  <c r="D23" i="1" s="1"/>
  <c r="E23" i="1" s="1"/>
  <c r="C23" i="1"/>
  <c r="D25" i="1" s="1"/>
  <c r="E25" i="1" s="1"/>
  <c r="C24" i="1"/>
  <c r="C25" i="1"/>
  <c r="D26" i="1" s="1"/>
  <c r="E26" i="1" s="1"/>
  <c r="C26" i="1"/>
  <c r="D28" i="1" s="1"/>
  <c r="E28" i="1" s="1"/>
  <c r="C27" i="1"/>
  <c r="C28" i="1"/>
  <c r="D29" i="1" s="1"/>
  <c r="E29" i="1" s="1"/>
  <c r="C29" i="1"/>
  <c r="D30" i="1" s="1"/>
  <c r="E30" i="1" s="1"/>
  <c r="D12" i="1" l="1"/>
  <c r="E12" i="1" s="1"/>
  <c r="E476" i="1"/>
  <c r="E412" i="1"/>
  <c r="E340" i="1"/>
  <c r="E300" i="1"/>
  <c r="E236" i="1"/>
  <c r="E172" i="1"/>
  <c r="E60" i="1"/>
  <c r="D24" i="1"/>
  <c r="E24" i="1" s="1"/>
  <c r="D7" i="1"/>
  <c r="E7" i="1" s="1"/>
  <c r="D20" i="1"/>
  <c r="E20" i="1" s="1"/>
  <c r="E452" i="1"/>
  <c r="E396" i="1"/>
  <c r="E356" i="1"/>
  <c r="E308" i="1"/>
  <c r="E252" i="1"/>
  <c r="E212" i="1"/>
  <c r="E180" i="1"/>
  <c r="E140" i="1"/>
  <c r="E108" i="1"/>
  <c r="E36" i="1"/>
  <c r="D27" i="1"/>
  <c r="E27" i="1" s="1"/>
  <c r="E468" i="1"/>
  <c r="E404" i="1"/>
  <c r="E332" i="1"/>
  <c r="E284" i="1"/>
  <c r="E244" i="1"/>
  <c r="E188" i="1"/>
  <c r="E148" i="1"/>
  <c r="E124" i="1"/>
  <c r="E100" i="1"/>
  <c r="E44" i="1"/>
  <c r="E500" i="1"/>
  <c r="E436" i="1"/>
  <c r="E380" i="1"/>
  <c r="E324" i="1"/>
  <c r="E260" i="1"/>
  <c r="E220" i="1"/>
  <c r="E164" i="1"/>
  <c r="E132" i="1"/>
  <c r="E116" i="1"/>
  <c r="E92" i="1"/>
  <c r="E52" i="1"/>
  <c r="E492" i="1"/>
  <c r="E428" i="1"/>
  <c r="E364" i="1"/>
  <c r="E276" i="1"/>
  <c r="E196" i="1"/>
  <c r="E76" i="1"/>
  <c r="E444" i="1"/>
  <c r="E372" i="1"/>
  <c r="E292" i="1"/>
  <c r="E204" i="1"/>
  <c r="E68" i="1"/>
  <c r="D16" i="1"/>
  <c r="E16" i="1" s="1"/>
  <c r="E484" i="1"/>
  <c r="E460" i="1"/>
  <c r="E420" i="1"/>
  <c r="E388" i="1"/>
  <c r="E348" i="1"/>
  <c r="E316" i="1"/>
  <c r="E268" i="1"/>
  <c r="E228" i="1"/>
  <c r="E156" i="1"/>
  <c r="E84" i="1"/>
  <c r="M4" i="1"/>
  <c r="M8" i="1" l="1"/>
  <c r="C3" i="1"/>
  <c r="D5" i="1" s="1"/>
  <c r="F5" i="1"/>
  <c r="E5" i="1" l="1"/>
  <c r="G5" i="1" s="1"/>
  <c r="F6" i="1" s="1"/>
  <c r="G6" i="1" s="1"/>
  <c r="F7" i="1" l="1"/>
  <c r="G7" i="1" s="1"/>
  <c r="H6" i="1"/>
  <c r="H5" i="1"/>
  <c r="H7" i="1" l="1"/>
  <c r="F8" i="1"/>
  <c r="G8" i="1" s="1"/>
  <c r="F9" i="1" l="1"/>
  <c r="G9" i="1" s="1"/>
  <c r="H8" i="1"/>
  <c r="H9" i="1" l="1"/>
  <c r="F10" i="1"/>
  <c r="G10" i="1" s="1"/>
  <c r="H10" i="1" l="1"/>
  <c r="F11" i="1"/>
  <c r="G11" i="1" s="1"/>
  <c r="F12" i="1" l="1"/>
  <c r="G12" i="1" s="1"/>
  <c r="H11" i="1"/>
  <c r="F13" i="1" l="1"/>
  <c r="G13" i="1" s="1"/>
  <c r="H12" i="1"/>
  <c r="F14" i="1" l="1"/>
  <c r="G14" i="1" s="1"/>
  <c r="H13" i="1"/>
  <c r="H14" i="1" l="1"/>
  <c r="F15" i="1"/>
  <c r="G15" i="1" s="1"/>
  <c r="F16" i="1" l="1"/>
  <c r="G16" i="1" s="1"/>
  <c r="H15" i="1"/>
  <c r="H16" i="1" l="1"/>
  <c r="F17" i="1"/>
  <c r="G17" i="1" s="1"/>
  <c r="H17" i="1" l="1"/>
  <c r="F18" i="1"/>
  <c r="G18" i="1" s="1"/>
  <c r="H18" i="1" l="1"/>
  <c r="F19" i="1"/>
  <c r="G19" i="1" s="1"/>
  <c r="H19" i="1" l="1"/>
  <c r="F20" i="1"/>
  <c r="G20" i="1" s="1"/>
  <c r="H20" i="1" l="1"/>
  <c r="F21" i="1"/>
  <c r="G21" i="1" s="1"/>
  <c r="F22" i="1" l="1"/>
  <c r="G22" i="1" s="1"/>
  <c r="H21" i="1"/>
  <c r="H22" i="1" l="1"/>
  <c r="F23" i="1"/>
  <c r="G23" i="1" s="1"/>
  <c r="H23" i="1" l="1"/>
  <c r="F24" i="1"/>
  <c r="G24" i="1" s="1"/>
  <c r="H24" i="1" l="1"/>
  <c r="F25" i="1"/>
  <c r="G25" i="1" s="1"/>
  <c r="H25" i="1" l="1"/>
  <c r="F26" i="1"/>
  <c r="G26" i="1" s="1"/>
  <c r="H26" i="1" l="1"/>
  <c r="F27" i="1"/>
  <c r="G27" i="1" s="1"/>
  <c r="H27" i="1" l="1"/>
  <c r="F28" i="1"/>
  <c r="G28" i="1" s="1"/>
  <c r="H28" i="1" l="1"/>
  <c r="F29" i="1"/>
  <c r="G29" i="1" s="1"/>
  <c r="K13" i="1" s="1"/>
  <c r="F30" i="1" l="1"/>
  <c r="G30" i="1" s="1"/>
  <c r="H29" i="1"/>
  <c r="H30" i="1" l="1"/>
  <c r="F31" i="1"/>
  <c r="G31" i="1" s="1"/>
  <c r="F32" i="1" l="1"/>
  <c r="G32" i="1" s="1"/>
  <c r="H31" i="1"/>
  <c r="F33" i="1" l="1"/>
  <c r="G33" i="1" s="1"/>
  <c r="H32" i="1"/>
  <c r="F34" i="1" l="1"/>
  <c r="G34" i="1" s="1"/>
  <c r="H33" i="1"/>
  <c r="F35" i="1" l="1"/>
  <c r="G35" i="1" s="1"/>
  <c r="H34" i="1"/>
  <c r="F36" i="1" l="1"/>
  <c r="G36" i="1" s="1"/>
  <c r="H35" i="1"/>
  <c r="F37" i="1" l="1"/>
  <c r="G37" i="1" s="1"/>
  <c r="H36" i="1"/>
  <c r="F38" i="1" l="1"/>
  <c r="G38" i="1" s="1"/>
  <c r="H37" i="1"/>
  <c r="F39" i="1" l="1"/>
  <c r="G39" i="1" s="1"/>
  <c r="H38" i="1"/>
  <c r="H39" i="1" l="1"/>
  <c r="F40" i="1"/>
  <c r="G40" i="1" s="1"/>
  <c r="F41" i="1" l="1"/>
  <c r="G41" i="1" s="1"/>
  <c r="H40" i="1"/>
  <c r="F42" i="1" l="1"/>
  <c r="G42" i="1" s="1"/>
  <c r="H41" i="1"/>
  <c r="F43" i="1" l="1"/>
  <c r="G43" i="1" s="1"/>
  <c r="H42" i="1"/>
  <c r="F44" i="1" l="1"/>
  <c r="G44" i="1" s="1"/>
  <c r="H43" i="1"/>
  <c r="F45" i="1" l="1"/>
  <c r="G45" i="1" s="1"/>
  <c r="H44" i="1"/>
  <c r="F46" i="1" l="1"/>
  <c r="G46" i="1" s="1"/>
  <c r="H45" i="1"/>
  <c r="F47" i="1" l="1"/>
  <c r="G47" i="1" s="1"/>
  <c r="H46" i="1"/>
  <c r="F48" i="1" l="1"/>
  <c r="G48" i="1" s="1"/>
  <c r="H47" i="1"/>
  <c r="F49" i="1" l="1"/>
  <c r="G49" i="1" s="1"/>
  <c r="H48" i="1"/>
  <c r="F50" i="1" l="1"/>
  <c r="G50" i="1" s="1"/>
  <c r="H49" i="1"/>
  <c r="F51" i="1" l="1"/>
  <c r="G51" i="1" s="1"/>
  <c r="H50" i="1"/>
  <c r="F52" i="1" l="1"/>
  <c r="G52" i="1" s="1"/>
  <c r="H51" i="1"/>
  <c r="F53" i="1" l="1"/>
  <c r="G53" i="1" s="1"/>
  <c r="H52" i="1"/>
  <c r="F54" i="1" l="1"/>
  <c r="G54" i="1" s="1"/>
  <c r="H53" i="1"/>
  <c r="F55" i="1" l="1"/>
  <c r="G55" i="1" s="1"/>
  <c r="H54" i="1"/>
  <c r="F56" i="1" l="1"/>
  <c r="G56" i="1" s="1"/>
  <c r="H55" i="1"/>
  <c r="F57" i="1" l="1"/>
  <c r="G57" i="1" s="1"/>
  <c r="H56" i="1"/>
  <c r="F58" i="1" l="1"/>
  <c r="G58" i="1" s="1"/>
  <c r="H57" i="1"/>
  <c r="F59" i="1" l="1"/>
  <c r="G59" i="1" s="1"/>
  <c r="H58" i="1"/>
  <c r="F60" i="1" l="1"/>
  <c r="G60" i="1" s="1"/>
  <c r="H59" i="1"/>
  <c r="F61" i="1" l="1"/>
  <c r="G61" i="1" s="1"/>
  <c r="H60" i="1"/>
  <c r="F62" i="1" l="1"/>
  <c r="G62" i="1" s="1"/>
  <c r="H61" i="1"/>
  <c r="F63" i="1" l="1"/>
  <c r="G63" i="1" s="1"/>
  <c r="H62" i="1"/>
  <c r="F64" i="1" l="1"/>
  <c r="G64" i="1" s="1"/>
  <c r="H63" i="1"/>
  <c r="F65" i="1" l="1"/>
  <c r="G65" i="1" s="1"/>
  <c r="H64" i="1"/>
  <c r="F66" i="1" l="1"/>
  <c r="G66" i="1" s="1"/>
  <c r="H65" i="1"/>
  <c r="F67" i="1" l="1"/>
  <c r="G67" i="1" s="1"/>
  <c r="H66" i="1"/>
  <c r="F68" i="1" l="1"/>
  <c r="G68" i="1" s="1"/>
  <c r="H67" i="1"/>
  <c r="F69" i="1" l="1"/>
  <c r="G69" i="1" s="1"/>
  <c r="H68" i="1"/>
  <c r="F70" i="1" l="1"/>
  <c r="G70" i="1" s="1"/>
  <c r="H69" i="1"/>
  <c r="F71" i="1" l="1"/>
  <c r="G71" i="1" s="1"/>
  <c r="H70" i="1"/>
  <c r="F72" i="1" l="1"/>
  <c r="G72" i="1" s="1"/>
  <c r="H71" i="1"/>
  <c r="F73" i="1" l="1"/>
  <c r="G73" i="1" s="1"/>
  <c r="H72" i="1"/>
  <c r="F74" i="1" l="1"/>
  <c r="G74" i="1" s="1"/>
  <c r="H73" i="1"/>
  <c r="F75" i="1" l="1"/>
  <c r="G75" i="1" s="1"/>
  <c r="H74" i="1"/>
  <c r="F76" i="1" l="1"/>
  <c r="G76" i="1" s="1"/>
  <c r="H75" i="1"/>
  <c r="F77" i="1" l="1"/>
  <c r="G77" i="1" s="1"/>
  <c r="H76" i="1"/>
  <c r="F78" i="1" l="1"/>
  <c r="G78" i="1" s="1"/>
  <c r="H77" i="1"/>
  <c r="F79" i="1" l="1"/>
  <c r="G79" i="1" s="1"/>
  <c r="H78" i="1"/>
  <c r="F80" i="1" l="1"/>
  <c r="G80" i="1" s="1"/>
  <c r="H79" i="1"/>
  <c r="F81" i="1" l="1"/>
  <c r="G81" i="1" s="1"/>
  <c r="H80" i="1"/>
  <c r="F82" i="1" l="1"/>
  <c r="G82" i="1" s="1"/>
  <c r="H81" i="1"/>
  <c r="F83" i="1" l="1"/>
  <c r="G83" i="1" s="1"/>
  <c r="H82" i="1"/>
  <c r="F84" i="1" l="1"/>
  <c r="G84" i="1" s="1"/>
  <c r="H83" i="1"/>
  <c r="F85" i="1" l="1"/>
  <c r="G85" i="1" s="1"/>
  <c r="H84" i="1"/>
  <c r="F86" i="1" l="1"/>
  <c r="G86" i="1" s="1"/>
  <c r="H85" i="1"/>
  <c r="F87" i="1" l="1"/>
  <c r="G87" i="1" s="1"/>
  <c r="H86" i="1"/>
  <c r="F88" i="1" l="1"/>
  <c r="G88" i="1" s="1"/>
  <c r="H87" i="1"/>
  <c r="F89" i="1" l="1"/>
  <c r="G89" i="1" s="1"/>
  <c r="H88" i="1"/>
  <c r="F90" i="1" l="1"/>
  <c r="G90" i="1" s="1"/>
  <c r="H89" i="1"/>
  <c r="F91" i="1" l="1"/>
  <c r="G91" i="1" s="1"/>
  <c r="H90" i="1"/>
  <c r="F92" i="1" l="1"/>
  <c r="G92" i="1" s="1"/>
  <c r="H91" i="1"/>
  <c r="F93" i="1" l="1"/>
  <c r="G93" i="1" s="1"/>
  <c r="H92" i="1"/>
  <c r="F94" i="1" l="1"/>
  <c r="G94" i="1" s="1"/>
  <c r="H93" i="1"/>
  <c r="F95" i="1" l="1"/>
  <c r="G95" i="1" s="1"/>
  <c r="H94" i="1"/>
  <c r="F96" i="1" l="1"/>
  <c r="G96" i="1" s="1"/>
  <c r="H95" i="1"/>
  <c r="F97" i="1" l="1"/>
  <c r="G97" i="1" s="1"/>
  <c r="H96" i="1"/>
  <c r="F98" i="1" l="1"/>
  <c r="G98" i="1" s="1"/>
  <c r="H97" i="1"/>
  <c r="F99" i="1" l="1"/>
  <c r="G99" i="1" s="1"/>
  <c r="H98" i="1"/>
  <c r="F100" i="1" l="1"/>
  <c r="G100" i="1" s="1"/>
  <c r="H99" i="1"/>
  <c r="F101" i="1" l="1"/>
  <c r="G101" i="1" s="1"/>
  <c r="H100" i="1"/>
  <c r="F102" i="1" l="1"/>
  <c r="G102" i="1" s="1"/>
  <c r="H101" i="1"/>
  <c r="F103" i="1" l="1"/>
  <c r="G103" i="1" s="1"/>
  <c r="H102" i="1"/>
  <c r="F104" i="1" l="1"/>
  <c r="G104" i="1" s="1"/>
  <c r="H103" i="1"/>
  <c r="F105" i="1" l="1"/>
  <c r="G105" i="1" s="1"/>
  <c r="H104" i="1"/>
  <c r="F106" i="1" l="1"/>
  <c r="G106" i="1" s="1"/>
  <c r="H105" i="1"/>
  <c r="F107" i="1" l="1"/>
  <c r="G107" i="1" s="1"/>
  <c r="H106" i="1"/>
  <c r="F108" i="1" l="1"/>
  <c r="G108" i="1" s="1"/>
  <c r="H107" i="1"/>
  <c r="F109" i="1" l="1"/>
  <c r="G109" i="1" s="1"/>
  <c r="H108" i="1"/>
  <c r="F110" i="1" l="1"/>
  <c r="G110" i="1" s="1"/>
  <c r="H109" i="1"/>
  <c r="F111" i="1" l="1"/>
  <c r="G111" i="1" s="1"/>
  <c r="H110" i="1"/>
  <c r="F112" i="1" l="1"/>
  <c r="G112" i="1" s="1"/>
  <c r="H111" i="1"/>
  <c r="F113" i="1" l="1"/>
  <c r="G113" i="1" s="1"/>
  <c r="H112" i="1"/>
  <c r="F114" i="1" l="1"/>
  <c r="G114" i="1" s="1"/>
  <c r="H113" i="1"/>
  <c r="F115" i="1" l="1"/>
  <c r="G115" i="1" s="1"/>
  <c r="H114" i="1"/>
  <c r="F116" i="1" l="1"/>
  <c r="G116" i="1" s="1"/>
  <c r="H115" i="1"/>
  <c r="F117" i="1" l="1"/>
  <c r="G117" i="1" s="1"/>
  <c r="H116" i="1"/>
  <c r="F118" i="1" l="1"/>
  <c r="G118" i="1" s="1"/>
  <c r="H117" i="1"/>
  <c r="F119" i="1" l="1"/>
  <c r="G119" i="1" s="1"/>
  <c r="H118" i="1"/>
  <c r="F120" i="1" l="1"/>
  <c r="G120" i="1" s="1"/>
  <c r="H119" i="1"/>
  <c r="F121" i="1" l="1"/>
  <c r="G121" i="1" s="1"/>
  <c r="H120" i="1"/>
  <c r="F122" i="1" l="1"/>
  <c r="G122" i="1" s="1"/>
  <c r="H121" i="1"/>
  <c r="F123" i="1" l="1"/>
  <c r="G123" i="1" s="1"/>
  <c r="H122" i="1"/>
  <c r="F124" i="1" l="1"/>
  <c r="G124" i="1" s="1"/>
  <c r="H123" i="1"/>
  <c r="F125" i="1" l="1"/>
  <c r="G125" i="1" s="1"/>
  <c r="H124" i="1"/>
  <c r="F126" i="1" l="1"/>
  <c r="G126" i="1" s="1"/>
  <c r="H125" i="1"/>
  <c r="F127" i="1" l="1"/>
  <c r="G127" i="1" s="1"/>
  <c r="H126" i="1"/>
  <c r="F128" i="1" l="1"/>
  <c r="G128" i="1" s="1"/>
  <c r="H127" i="1"/>
  <c r="F129" i="1" l="1"/>
  <c r="G129" i="1" s="1"/>
  <c r="H128" i="1"/>
  <c r="F130" i="1" l="1"/>
  <c r="G130" i="1" s="1"/>
  <c r="H129" i="1"/>
  <c r="F131" i="1" l="1"/>
  <c r="G131" i="1" s="1"/>
  <c r="H130" i="1"/>
  <c r="F132" i="1" l="1"/>
  <c r="G132" i="1" s="1"/>
  <c r="H131" i="1"/>
  <c r="F133" i="1" l="1"/>
  <c r="G133" i="1" s="1"/>
  <c r="H132" i="1"/>
  <c r="F134" i="1" l="1"/>
  <c r="G134" i="1" s="1"/>
  <c r="H133" i="1"/>
  <c r="F135" i="1" l="1"/>
  <c r="G135" i="1" s="1"/>
  <c r="H134" i="1"/>
  <c r="F136" i="1" l="1"/>
  <c r="G136" i="1" s="1"/>
  <c r="H135" i="1"/>
  <c r="F137" i="1" l="1"/>
  <c r="G137" i="1" s="1"/>
  <c r="H136" i="1"/>
  <c r="F138" i="1" l="1"/>
  <c r="G138" i="1" s="1"/>
  <c r="H137" i="1"/>
  <c r="F139" i="1" l="1"/>
  <c r="G139" i="1" s="1"/>
  <c r="H138" i="1"/>
  <c r="F140" i="1" l="1"/>
  <c r="G140" i="1" s="1"/>
  <c r="H139" i="1"/>
  <c r="F141" i="1" l="1"/>
  <c r="G141" i="1" s="1"/>
  <c r="H140" i="1"/>
  <c r="F142" i="1" l="1"/>
  <c r="G142" i="1" s="1"/>
  <c r="H141" i="1"/>
  <c r="F143" i="1" l="1"/>
  <c r="G143" i="1" s="1"/>
  <c r="H142" i="1"/>
  <c r="F144" i="1" l="1"/>
  <c r="G144" i="1" s="1"/>
  <c r="H143" i="1"/>
  <c r="F145" i="1" l="1"/>
  <c r="G145" i="1" s="1"/>
  <c r="H144" i="1"/>
  <c r="F146" i="1" l="1"/>
  <c r="G146" i="1" s="1"/>
  <c r="H145" i="1"/>
  <c r="F147" i="1" l="1"/>
  <c r="G147" i="1" s="1"/>
  <c r="H146" i="1"/>
  <c r="F148" i="1" l="1"/>
  <c r="G148" i="1" s="1"/>
  <c r="H147" i="1"/>
  <c r="F149" i="1" l="1"/>
  <c r="G149" i="1" s="1"/>
  <c r="H148" i="1"/>
  <c r="F150" i="1" l="1"/>
  <c r="G150" i="1" s="1"/>
  <c r="H149" i="1"/>
  <c r="F151" i="1" l="1"/>
  <c r="G151" i="1" s="1"/>
  <c r="H150" i="1"/>
  <c r="F152" i="1" l="1"/>
  <c r="G152" i="1" s="1"/>
  <c r="H151" i="1"/>
  <c r="F153" i="1" l="1"/>
  <c r="G153" i="1" s="1"/>
  <c r="H152" i="1"/>
  <c r="F154" i="1" l="1"/>
  <c r="G154" i="1" s="1"/>
  <c r="H153" i="1"/>
  <c r="F155" i="1" l="1"/>
  <c r="G155" i="1" s="1"/>
  <c r="H154" i="1"/>
  <c r="F156" i="1" l="1"/>
  <c r="G156" i="1" s="1"/>
  <c r="H155" i="1"/>
  <c r="F157" i="1" l="1"/>
  <c r="G157" i="1" s="1"/>
  <c r="H156" i="1"/>
  <c r="F158" i="1" l="1"/>
  <c r="G158" i="1" s="1"/>
  <c r="H157" i="1"/>
  <c r="F159" i="1" l="1"/>
  <c r="G159" i="1" s="1"/>
  <c r="H158" i="1"/>
  <c r="F160" i="1" l="1"/>
  <c r="G160" i="1" s="1"/>
  <c r="H159" i="1"/>
  <c r="F161" i="1" l="1"/>
  <c r="G161" i="1" s="1"/>
  <c r="H160" i="1"/>
  <c r="F162" i="1" l="1"/>
  <c r="G162" i="1" s="1"/>
  <c r="H161" i="1"/>
  <c r="F163" i="1" l="1"/>
  <c r="G163" i="1" s="1"/>
  <c r="H162" i="1"/>
  <c r="F164" i="1" l="1"/>
  <c r="G164" i="1" s="1"/>
  <c r="H163" i="1"/>
  <c r="F165" i="1" l="1"/>
  <c r="G165" i="1" s="1"/>
  <c r="H164" i="1"/>
  <c r="F166" i="1" l="1"/>
  <c r="G166" i="1" s="1"/>
  <c r="H165" i="1"/>
  <c r="F167" i="1" l="1"/>
  <c r="G167" i="1" s="1"/>
  <c r="H166" i="1"/>
  <c r="F168" i="1" l="1"/>
  <c r="G168" i="1" s="1"/>
  <c r="H167" i="1"/>
  <c r="F169" i="1" l="1"/>
  <c r="G169" i="1" s="1"/>
  <c r="H168" i="1"/>
  <c r="F170" i="1" l="1"/>
  <c r="G170" i="1" s="1"/>
  <c r="H169" i="1"/>
  <c r="F171" i="1" l="1"/>
  <c r="G171" i="1" s="1"/>
  <c r="H170" i="1"/>
  <c r="F172" i="1" l="1"/>
  <c r="G172" i="1" s="1"/>
  <c r="H171" i="1"/>
  <c r="F173" i="1" l="1"/>
  <c r="G173" i="1" s="1"/>
  <c r="H172" i="1"/>
  <c r="F174" i="1" l="1"/>
  <c r="G174" i="1" s="1"/>
  <c r="H173" i="1"/>
  <c r="F175" i="1" l="1"/>
  <c r="G175" i="1" s="1"/>
  <c r="H174" i="1"/>
  <c r="F176" i="1" l="1"/>
  <c r="G176" i="1" s="1"/>
  <c r="H175" i="1"/>
  <c r="F177" i="1" l="1"/>
  <c r="G177" i="1" s="1"/>
  <c r="H176" i="1"/>
  <c r="F178" i="1" l="1"/>
  <c r="G178" i="1" s="1"/>
  <c r="H177" i="1"/>
  <c r="F179" i="1" l="1"/>
  <c r="G179" i="1" s="1"/>
  <c r="H178" i="1"/>
  <c r="F180" i="1" l="1"/>
  <c r="G180" i="1" s="1"/>
  <c r="H179" i="1"/>
  <c r="F181" i="1" l="1"/>
  <c r="G181" i="1" s="1"/>
  <c r="H180" i="1"/>
  <c r="F182" i="1" l="1"/>
  <c r="G182" i="1" s="1"/>
  <c r="H181" i="1"/>
  <c r="F183" i="1" l="1"/>
  <c r="G183" i="1" s="1"/>
  <c r="H182" i="1"/>
  <c r="F184" i="1" l="1"/>
  <c r="G184" i="1" s="1"/>
  <c r="H183" i="1"/>
  <c r="F185" i="1" l="1"/>
  <c r="G185" i="1" s="1"/>
  <c r="H184" i="1"/>
  <c r="F186" i="1" l="1"/>
  <c r="G186" i="1" s="1"/>
  <c r="H185" i="1"/>
  <c r="F187" i="1" l="1"/>
  <c r="G187" i="1" s="1"/>
  <c r="H186" i="1"/>
  <c r="F188" i="1" l="1"/>
  <c r="G188" i="1" s="1"/>
  <c r="H187" i="1"/>
  <c r="F189" i="1" l="1"/>
  <c r="G189" i="1" s="1"/>
  <c r="H188" i="1"/>
  <c r="F190" i="1" l="1"/>
  <c r="G190" i="1" s="1"/>
  <c r="H189" i="1"/>
  <c r="F191" i="1" l="1"/>
  <c r="G191" i="1" s="1"/>
  <c r="H190" i="1"/>
  <c r="F192" i="1" l="1"/>
  <c r="G192" i="1" s="1"/>
  <c r="H191" i="1"/>
  <c r="F193" i="1" l="1"/>
  <c r="G193" i="1" s="1"/>
  <c r="H192" i="1"/>
  <c r="F194" i="1" l="1"/>
  <c r="G194" i="1" s="1"/>
  <c r="H193" i="1"/>
  <c r="F195" i="1" l="1"/>
  <c r="G195" i="1" s="1"/>
  <c r="H194" i="1"/>
  <c r="F196" i="1" l="1"/>
  <c r="G196" i="1" s="1"/>
  <c r="H195" i="1"/>
  <c r="F197" i="1" l="1"/>
  <c r="G197" i="1" s="1"/>
  <c r="H196" i="1"/>
  <c r="F198" i="1" l="1"/>
  <c r="G198" i="1" s="1"/>
  <c r="H197" i="1"/>
  <c r="F199" i="1" l="1"/>
  <c r="G199" i="1" s="1"/>
  <c r="H198" i="1"/>
  <c r="F200" i="1" l="1"/>
  <c r="G200" i="1" s="1"/>
  <c r="H199" i="1"/>
  <c r="F201" i="1" l="1"/>
  <c r="G201" i="1" s="1"/>
  <c r="H200" i="1"/>
  <c r="F202" i="1" l="1"/>
  <c r="G202" i="1" s="1"/>
  <c r="H201" i="1"/>
  <c r="F203" i="1" l="1"/>
  <c r="G203" i="1" s="1"/>
  <c r="H202" i="1"/>
  <c r="F204" i="1" l="1"/>
  <c r="G204" i="1" s="1"/>
  <c r="H203" i="1"/>
  <c r="F205" i="1" l="1"/>
  <c r="G205" i="1" s="1"/>
  <c r="H204" i="1"/>
  <c r="F206" i="1" l="1"/>
  <c r="G206" i="1" s="1"/>
  <c r="H205" i="1"/>
  <c r="F207" i="1" l="1"/>
  <c r="G207" i="1" s="1"/>
  <c r="H206" i="1"/>
  <c r="F208" i="1" l="1"/>
  <c r="G208" i="1" s="1"/>
  <c r="H207" i="1"/>
  <c r="F209" i="1" l="1"/>
  <c r="G209" i="1" s="1"/>
  <c r="H208" i="1"/>
  <c r="F210" i="1" l="1"/>
  <c r="G210" i="1" s="1"/>
  <c r="H209" i="1"/>
  <c r="F211" i="1" l="1"/>
  <c r="G211" i="1" s="1"/>
  <c r="H210" i="1"/>
  <c r="F212" i="1" l="1"/>
  <c r="G212" i="1" s="1"/>
  <c r="H211" i="1"/>
  <c r="F213" i="1" l="1"/>
  <c r="G213" i="1" s="1"/>
  <c r="H212" i="1"/>
  <c r="F214" i="1" l="1"/>
  <c r="G214" i="1" s="1"/>
  <c r="H213" i="1"/>
  <c r="F215" i="1" l="1"/>
  <c r="G215" i="1" s="1"/>
  <c r="H214" i="1"/>
  <c r="F216" i="1" l="1"/>
  <c r="G216" i="1" s="1"/>
  <c r="H215" i="1"/>
  <c r="F217" i="1" l="1"/>
  <c r="G217" i="1" s="1"/>
  <c r="H216" i="1"/>
  <c r="F218" i="1" l="1"/>
  <c r="G218" i="1" s="1"/>
  <c r="H217" i="1"/>
  <c r="F219" i="1" l="1"/>
  <c r="G219" i="1" s="1"/>
  <c r="H218" i="1"/>
  <c r="F220" i="1" l="1"/>
  <c r="G220" i="1" s="1"/>
  <c r="H219" i="1"/>
  <c r="F221" i="1" l="1"/>
  <c r="G221" i="1" s="1"/>
  <c r="H220" i="1"/>
  <c r="F222" i="1" l="1"/>
  <c r="G222" i="1" s="1"/>
  <c r="H221" i="1"/>
  <c r="F223" i="1" l="1"/>
  <c r="G223" i="1" s="1"/>
  <c r="H222" i="1"/>
  <c r="F224" i="1" l="1"/>
  <c r="G224" i="1" s="1"/>
  <c r="H223" i="1"/>
  <c r="F225" i="1" l="1"/>
  <c r="G225" i="1" s="1"/>
  <c r="H224" i="1"/>
  <c r="F226" i="1" l="1"/>
  <c r="G226" i="1" s="1"/>
  <c r="H225" i="1"/>
  <c r="F227" i="1" l="1"/>
  <c r="G227" i="1" s="1"/>
  <c r="H226" i="1"/>
  <c r="F228" i="1" l="1"/>
  <c r="G228" i="1" s="1"/>
  <c r="H227" i="1"/>
  <c r="F229" i="1" l="1"/>
  <c r="G229" i="1" s="1"/>
  <c r="H228" i="1"/>
  <c r="F230" i="1" l="1"/>
  <c r="G230" i="1" s="1"/>
  <c r="H229" i="1"/>
  <c r="F231" i="1" l="1"/>
  <c r="G231" i="1" s="1"/>
  <c r="H230" i="1"/>
  <c r="F232" i="1" l="1"/>
  <c r="G232" i="1" s="1"/>
  <c r="H231" i="1"/>
  <c r="F233" i="1" l="1"/>
  <c r="G233" i="1" s="1"/>
  <c r="H232" i="1"/>
  <c r="F234" i="1" l="1"/>
  <c r="G234" i="1" s="1"/>
  <c r="H233" i="1"/>
  <c r="F235" i="1" l="1"/>
  <c r="G235" i="1" s="1"/>
  <c r="H234" i="1"/>
  <c r="F236" i="1" l="1"/>
  <c r="G236" i="1" s="1"/>
  <c r="H235" i="1"/>
  <c r="F237" i="1" l="1"/>
  <c r="G237" i="1" s="1"/>
  <c r="H236" i="1"/>
  <c r="F238" i="1" l="1"/>
  <c r="G238" i="1" s="1"/>
  <c r="H237" i="1"/>
  <c r="F239" i="1" l="1"/>
  <c r="G239" i="1" s="1"/>
  <c r="H238" i="1"/>
  <c r="F240" i="1" l="1"/>
  <c r="G240" i="1" s="1"/>
  <c r="H239" i="1"/>
  <c r="F241" i="1" l="1"/>
  <c r="G241" i="1" s="1"/>
  <c r="H240" i="1"/>
  <c r="F242" i="1" l="1"/>
  <c r="G242" i="1" s="1"/>
  <c r="H241" i="1"/>
  <c r="F243" i="1" l="1"/>
  <c r="G243" i="1" s="1"/>
  <c r="H242" i="1"/>
  <c r="F244" i="1" l="1"/>
  <c r="G244" i="1" s="1"/>
  <c r="H243" i="1"/>
  <c r="F245" i="1" l="1"/>
  <c r="G245" i="1" s="1"/>
  <c r="H244" i="1"/>
  <c r="F246" i="1" l="1"/>
  <c r="G246" i="1" s="1"/>
  <c r="H245" i="1"/>
  <c r="F247" i="1" l="1"/>
  <c r="G247" i="1" s="1"/>
  <c r="H246" i="1"/>
  <c r="F248" i="1" l="1"/>
  <c r="G248" i="1" s="1"/>
  <c r="H247" i="1"/>
  <c r="F249" i="1" l="1"/>
  <c r="G249" i="1" s="1"/>
  <c r="H248" i="1"/>
  <c r="F250" i="1" l="1"/>
  <c r="G250" i="1" s="1"/>
  <c r="H249" i="1"/>
  <c r="F251" i="1" l="1"/>
  <c r="G251" i="1" s="1"/>
  <c r="H250" i="1"/>
  <c r="F252" i="1" l="1"/>
  <c r="G252" i="1" s="1"/>
  <c r="H251" i="1"/>
  <c r="F253" i="1" l="1"/>
  <c r="G253" i="1" s="1"/>
  <c r="H252" i="1"/>
  <c r="F254" i="1" l="1"/>
  <c r="G254" i="1" s="1"/>
  <c r="H253" i="1"/>
  <c r="F255" i="1" l="1"/>
  <c r="G255" i="1" s="1"/>
  <c r="H254" i="1"/>
  <c r="F256" i="1" l="1"/>
  <c r="G256" i="1" s="1"/>
  <c r="H255" i="1"/>
  <c r="F257" i="1" l="1"/>
  <c r="G257" i="1" s="1"/>
  <c r="H256" i="1"/>
  <c r="F258" i="1" l="1"/>
  <c r="G258" i="1" s="1"/>
  <c r="H257" i="1"/>
  <c r="F259" i="1" l="1"/>
  <c r="G259" i="1" s="1"/>
  <c r="H258" i="1"/>
  <c r="F260" i="1" l="1"/>
  <c r="G260" i="1" s="1"/>
  <c r="H259" i="1"/>
  <c r="F261" i="1" l="1"/>
  <c r="G261" i="1" s="1"/>
  <c r="H260" i="1"/>
  <c r="F262" i="1" l="1"/>
  <c r="G262" i="1" s="1"/>
  <c r="H261" i="1"/>
  <c r="F263" i="1" l="1"/>
  <c r="G263" i="1" s="1"/>
  <c r="H262" i="1"/>
  <c r="F264" i="1" l="1"/>
  <c r="G264" i="1" s="1"/>
  <c r="H263" i="1"/>
  <c r="H264" i="1" l="1"/>
  <c r="F265" i="1"/>
  <c r="G265" i="1" s="1"/>
  <c r="F266" i="1" l="1"/>
  <c r="G266" i="1" s="1"/>
  <c r="H265" i="1"/>
  <c r="F267" i="1" l="1"/>
  <c r="G267" i="1" s="1"/>
  <c r="H266" i="1"/>
  <c r="F268" i="1" l="1"/>
  <c r="G268" i="1" s="1"/>
  <c r="H267" i="1"/>
  <c r="F269" i="1" l="1"/>
  <c r="G269" i="1" s="1"/>
  <c r="H268" i="1"/>
  <c r="F270" i="1" l="1"/>
  <c r="G270" i="1" s="1"/>
  <c r="H269" i="1"/>
  <c r="F271" i="1" l="1"/>
  <c r="G271" i="1" s="1"/>
  <c r="H270" i="1"/>
  <c r="F272" i="1" l="1"/>
  <c r="G272" i="1" s="1"/>
  <c r="H271" i="1"/>
  <c r="F273" i="1" l="1"/>
  <c r="G273" i="1" s="1"/>
  <c r="H272" i="1"/>
  <c r="F274" i="1" l="1"/>
  <c r="G274" i="1" s="1"/>
  <c r="H273" i="1"/>
  <c r="F275" i="1" l="1"/>
  <c r="G275" i="1" s="1"/>
  <c r="H274" i="1"/>
  <c r="F276" i="1" l="1"/>
  <c r="G276" i="1" s="1"/>
  <c r="H275" i="1"/>
  <c r="F277" i="1" l="1"/>
  <c r="G277" i="1" s="1"/>
  <c r="H276" i="1"/>
  <c r="F278" i="1" l="1"/>
  <c r="G278" i="1" s="1"/>
  <c r="H277" i="1"/>
  <c r="F279" i="1" l="1"/>
  <c r="G279" i="1" s="1"/>
  <c r="H278" i="1"/>
  <c r="F280" i="1" l="1"/>
  <c r="G280" i="1" s="1"/>
  <c r="H279" i="1"/>
  <c r="F281" i="1" l="1"/>
  <c r="G281" i="1" s="1"/>
  <c r="H280" i="1"/>
  <c r="F282" i="1" l="1"/>
  <c r="G282" i="1" s="1"/>
  <c r="H281" i="1"/>
  <c r="F283" i="1" l="1"/>
  <c r="G283" i="1" s="1"/>
  <c r="H282" i="1"/>
  <c r="F284" i="1" l="1"/>
  <c r="G284" i="1" s="1"/>
  <c r="H283" i="1"/>
  <c r="F285" i="1" l="1"/>
  <c r="G285" i="1" s="1"/>
  <c r="H284" i="1"/>
  <c r="F286" i="1" l="1"/>
  <c r="G286" i="1" s="1"/>
  <c r="H285" i="1"/>
  <c r="F287" i="1" l="1"/>
  <c r="G287" i="1" s="1"/>
  <c r="H286" i="1"/>
  <c r="F288" i="1" l="1"/>
  <c r="G288" i="1" s="1"/>
  <c r="H287" i="1"/>
  <c r="F289" i="1" l="1"/>
  <c r="G289" i="1" s="1"/>
  <c r="H288" i="1"/>
  <c r="F290" i="1" l="1"/>
  <c r="G290" i="1" s="1"/>
  <c r="H289" i="1"/>
  <c r="F291" i="1" l="1"/>
  <c r="G291" i="1" s="1"/>
  <c r="H290" i="1"/>
  <c r="F292" i="1" l="1"/>
  <c r="G292" i="1" s="1"/>
  <c r="H291" i="1"/>
  <c r="F293" i="1" l="1"/>
  <c r="G293" i="1" s="1"/>
  <c r="H292" i="1"/>
  <c r="F294" i="1" l="1"/>
  <c r="G294" i="1" s="1"/>
  <c r="H293" i="1"/>
  <c r="F295" i="1" l="1"/>
  <c r="G295" i="1" s="1"/>
  <c r="H294" i="1"/>
  <c r="F296" i="1" l="1"/>
  <c r="G296" i="1" s="1"/>
  <c r="H295" i="1"/>
  <c r="F297" i="1" l="1"/>
  <c r="G297" i="1" s="1"/>
  <c r="H296" i="1"/>
  <c r="F298" i="1" l="1"/>
  <c r="G298" i="1" s="1"/>
  <c r="H297" i="1"/>
  <c r="F299" i="1" l="1"/>
  <c r="G299" i="1" s="1"/>
  <c r="H298" i="1"/>
  <c r="F300" i="1" l="1"/>
  <c r="G300" i="1" s="1"/>
  <c r="H299" i="1"/>
  <c r="F301" i="1" l="1"/>
  <c r="G301" i="1" s="1"/>
  <c r="H300" i="1"/>
  <c r="F302" i="1" l="1"/>
  <c r="G302" i="1" s="1"/>
  <c r="H301" i="1"/>
  <c r="F303" i="1" l="1"/>
  <c r="G303" i="1" s="1"/>
  <c r="H302" i="1"/>
  <c r="F304" i="1" l="1"/>
  <c r="G304" i="1" s="1"/>
  <c r="H303" i="1"/>
  <c r="F305" i="1" l="1"/>
  <c r="G305" i="1" s="1"/>
  <c r="H304" i="1"/>
  <c r="F306" i="1" l="1"/>
  <c r="G306" i="1" s="1"/>
  <c r="H305" i="1"/>
  <c r="H306" i="1" l="1"/>
  <c r="F307" i="1"/>
  <c r="G307" i="1" s="1"/>
  <c r="H307" i="1" l="1"/>
  <c r="F308" i="1"/>
  <c r="G308" i="1" s="1"/>
  <c r="H308" i="1" l="1"/>
  <c r="F309" i="1"/>
  <c r="G309" i="1" s="1"/>
  <c r="H309" i="1" l="1"/>
  <c r="F310" i="1"/>
  <c r="G310" i="1" s="1"/>
  <c r="H310" i="1" l="1"/>
  <c r="F311" i="1"/>
  <c r="G311" i="1" s="1"/>
  <c r="H311" i="1" l="1"/>
  <c r="F312" i="1"/>
  <c r="G312" i="1" s="1"/>
  <c r="H312" i="1" l="1"/>
  <c r="F313" i="1"/>
  <c r="G313" i="1" s="1"/>
  <c r="F314" i="1" l="1"/>
  <c r="G314" i="1" s="1"/>
  <c r="H313" i="1"/>
  <c r="H314" i="1" l="1"/>
  <c r="F315" i="1"/>
  <c r="G315" i="1" s="1"/>
  <c r="H315" i="1" l="1"/>
  <c r="F316" i="1"/>
  <c r="G316" i="1" s="1"/>
  <c r="H316" i="1" l="1"/>
  <c r="F317" i="1"/>
  <c r="G317" i="1" s="1"/>
  <c r="H317" i="1" l="1"/>
  <c r="F318" i="1"/>
  <c r="G318" i="1" s="1"/>
  <c r="F319" i="1" l="1"/>
  <c r="G319" i="1" s="1"/>
  <c r="H318" i="1"/>
  <c r="H319" i="1" l="1"/>
  <c r="F320" i="1"/>
  <c r="G320" i="1" s="1"/>
  <c r="H320" i="1" l="1"/>
  <c r="F321" i="1"/>
  <c r="G321" i="1" s="1"/>
  <c r="H321" i="1" l="1"/>
  <c r="F322" i="1"/>
  <c r="G322" i="1" s="1"/>
  <c r="H322" i="1" l="1"/>
  <c r="F323" i="1"/>
  <c r="G323" i="1" s="1"/>
  <c r="H323" i="1" l="1"/>
  <c r="F324" i="1"/>
  <c r="G324" i="1" s="1"/>
  <c r="H324" i="1" l="1"/>
  <c r="F325" i="1"/>
  <c r="G325" i="1" s="1"/>
  <c r="H325" i="1" l="1"/>
  <c r="F326" i="1"/>
  <c r="G326" i="1" s="1"/>
  <c r="H326" i="1" l="1"/>
  <c r="F327" i="1"/>
  <c r="G327" i="1" s="1"/>
  <c r="H327" i="1" l="1"/>
  <c r="F328" i="1"/>
  <c r="G328" i="1" s="1"/>
  <c r="H328" i="1" l="1"/>
  <c r="F329" i="1"/>
  <c r="G329" i="1" s="1"/>
  <c r="F330" i="1" l="1"/>
  <c r="G330" i="1" s="1"/>
  <c r="H329" i="1"/>
  <c r="F331" i="1" l="1"/>
  <c r="G331" i="1" s="1"/>
  <c r="H330" i="1"/>
  <c r="F332" i="1" l="1"/>
  <c r="G332" i="1" s="1"/>
  <c r="H331" i="1"/>
  <c r="F333" i="1" l="1"/>
  <c r="G333" i="1" s="1"/>
  <c r="H332" i="1"/>
  <c r="F334" i="1" l="1"/>
  <c r="G334" i="1" s="1"/>
  <c r="H333" i="1"/>
  <c r="F335" i="1" l="1"/>
  <c r="G335" i="1" s="1"/>
  <c r="H334" i="1"/>
  <c r="F336" i="1" l="1"/>
  <c r="G336" i="1" s="1"/>
  <c r="H335" i="1"/>
  <c r="F337" i="1" l="1"/>
  <c r="G337" i="1" s="1"/>
  <c r="H336" i="1"/>
  <c r="F338" i="1" l="1"/>
  <c r="G338" i="1" s="1"/>
  <c r="H337" i="1"/>
  <c r="F339" i="1" l="1"/>
  <c r="G339" i="1" s="1"/>
  <c r="H338" i="1"/>
  <c r="F340" i="1" l="1"/>
  <c r="G340" i="1" s="1"/>
  <c r="H339" i="1"/>
  <c r="F341" i="1" l="1"/>
  <c r="G341" i="1" s="1"/>
  <c r="H340" i="1"/>
  <c r="F342" i="1" l="1"/>
  <c r="G342" i="1" s="1"/>
  <c r="H341" i="1"/>
  <c r="F343" i="1" l="1"/>
  <c r="G343" i="1" s="1"/>
  <c r="H342" i="1"/>
  <c r="F344" i="1" l="1"/>
  <c r="G344" i="1" s="1"/>
  <c r="H343" i="1"/>
  <c r="F345" i="1" l="1"/>
  <c r="G345" i="1" s="1"/>
  <c r="H344" i="1"/>
  <c r="F346" i="1" l="1"/>
  <c r="G346" i="1" s="1"/>
  <c r="H345" i="1"/>
  <c r="F347" i="1" l="1"/>
  <c r="G347" i="1" s="1"/>
  <c r="H346" i="1"/>
  <c r="F348" i="1" l="1"/>
  <c r="G348" i="1" s="1"/>
  <c r="H347" i="1"/>
  <c r="F349" i="1" l="1"/>
  <c r="G349" i="1" s="1"/>
  <c r="H348" i="1"/>
  <c r="F350" i="1" l="1"/>
  <c r="G350" i="1" s="1"/>
  <c r="H349" i="1"/>
  <c r="F351" i="1" l="1"/>
  <c r="G351" i="1" s="1"/>
  <c r="H350" i="1"/>
  <c r="F352" i="1" l="1"/>
  <c r="G352" i="1" s="1"/>
  <c r="H351" i="1"/>
  <c r="F353" i="1" l="1"/>
  <c r="G353" i="1" s="1"/>
  <c r="H352" i="1"/>
  <c r="F354" i="1" l="1"/>
  <c r="G354" i="1" s="1"/>
  <c r="H353" i="1"/>
  <c r="F355" i="1" l="1"/>
  <c r="G355" i="1" s="1"/>
  <c r="H354" i="1"/>
  <c r="F356" i="1" l="1"/>
  <c r="G356" i="1" s="1"/>
  <c r="H355" i="1"/>
  <c r="F357" i="1" l="1"/>
  <c r="G357" i="1" s="1"/>
  <c r="H356" i="1"/>
  <c r="F358" i="1" l="1"/>
  <c r="G358" i="1" s="1"/>
  <c r="H357" i="1"/>
  <c r="F359" i="1" l="1"/>
  <c r="G359" i="1" s="1"/>
  <c r="H358" i="1"/>
  <c r="F360" i="1" l="1"/>
  <c r="G360" i="1" s="1"/>
  <c r="H359" i="1"/>
  <c r="F361" i="1" l="1"/>
  <c r="G361" i="1" s="1"/>
  <c r="H360" i="1"/>
  <c r="F362" i="1" l="1"/>
  <c r="G362" i="1" s="1"/>
  <c r="H361" i="1"/>
  <c r="F363" i="1" l="1"/>
  <c r="G363" i="1" s="1"/>
  <c r="H362" i="1"/>
  <c r="F364" i="1" l="1"/>
  <c r="G364" i="1" s="1"/>
  <c r="H363" i="1"/>
  <c r="F365" i="1" l="1"/>
  <c r="G365" i="1" s="1"/>
  <c r="H364" i="1"/>
  <c r="F366" i="1" l="1"/>
  <c r="G366" i="1" s="1"/>
  <c r="H365" i="1"/>
  <c r="F367" i="1" l="1"/>
  <c r="G367" i="1" s="1"/>
  <c r="H366" i="1"/>
  <c r="F368" i="1" l="1"/>
  <c r="G368" i="1" s="1"/>
  <c r="H367" i="1"/>
  <c r="F369" i="1" l="1"/>
  <c r="G369" i="1" s="1"/>
  <c r="H368" i="1"/>
  <c r="F370" i="1" l="1"/>
  <c r="G370" i="1" s="1"/>
  <c r="H369" i="1"/>
  <c r="F371" i="1" l="1"/>
  <c r="G371" i="1" s="1"/>
  <c r="H370" i="1"/>
  <c r="F372" i="1" l="1"/>
  <c r="G372" i="1" s="1"/>
  <c r="H371" i="1"/>
  <c r="F373" i="1" l="1"/>
  <c r="G373" i="1" s="1"/>
  <c r="H372" i="1"/>
  <c r="F374" i="1" l="1"/>
  <c r="G374" i="1" s="1"/>
  <c r="H373" i="1"/>
  <c r="F375" i="1" l="1"/>
  <c r="G375" i="1" s="1"/>
  <c r="H374" i="1"/>
  <c r="F376" i="1" l="1"/>
  <c r="G376" i="1" s="1"/>
  <c r="H375" i="1"/>
  <c r="F377" i="1" l="1"/>
  <c r="G377" i="1" s="1"/>
  <c r="H376" i="1"/>
  <c r="F378" i="1" l="1"/>
  <c r="G378" i="1" s="1"/>
  <c r="H377" i="1"/>
  <c r="F379" i="1" l="1"/>
  <c r="G379" i="1" s="1"/>
  <c r="H378" i="1"/>
  <c r="F380" i="1" l="1"/>
  <c r="G380" i="1" s="1"/>
  <c r="H379" i="1"/>
  <c r="F381" i="1" l="1"/>
  <c r="G381" i="1" s="1"/>
  <c r="H380" i="1"/>
  <c r="F382" i="1" l="1"/>
  <c r="G382" i="1" s="1"/>
  <c r="H381" i="1"/>
  <c r="F383" i="1" l="1"/>
  <c r="G383" i="1" s="1"/>
  <c r="H382" i="1"/>
  <c r="F384" i="1" l="1"/>
  <c r="G384" i="1" s="1"/>
  <c r="H383" i="1"/>
  <c r="F385" i="1" l="1"/>
  <c r="G385" i="1" s="1"/>
  <c r="H384" i="1"/>
  <c r="F386" i="1" l="1"/>
  <c r="G386" i="1" s="1"/>
  <c r="H385" i="1"/>
  <c r="F387" i="1" l="1"/>
  <c r="G387" i="1" s="1"/>
  <c r="H386" i="1"/>
  <c r="F388" i="1" l="1"/>
  <c r="G388" i="1" s="1"/>
  <c r="H387" i="1"/>
  <c r="F389" i="1" l="1"/>
  <c r="G389" i="1" s="1"/>
  <c r="H388" i="1"/>
  <c r="F390" i="1" l="1"/>
  <c r="G390" i="1" s="1"/>
  <c r="H389" i="1"/>
  <c r="F391" i="1" l="1"/>
  <c r="G391" i="1" s="1"/>
  <c r="H390" i="1"/>
  <c r="F392" i="1" l="1"/>
  <c r="G392" i="1" s="1"/>
  <c r="H391" i="1"/>
  <c r="F393" i="1" l="1"/>
  <c r="G393" i="1" s="1"/>
  <c r="H392" i="1"/>
  <c r="F394" i="1" l="1"/>
  <c r="G394" i="1" s="1"/>
  <c r="H393" i="1"/>
  <c r="F395" i="1" l="1"/>
  <c r="G395" i="1" s="1"/>
  <c r="H394" i="1"/>
  <c r="F396" i="1" l="1"/>
  <c r="G396" i="1" s="1"/>
  <c r="H395" i="1"/>
  <c r="F397" i="1" l="1"/>
  <c r="G397" i="1" s="1"/>
  <c r="H396" i="1"/>
  <c r="F398" i="1" l="1"/>
  <c r="G398" i="1" s="1"/>
  <c r="H397" i="1"/>
  <c r="F399" i="1" l="1"/>
  <c r="G399" i="1" s="1"/>
  <c r="H398" i="1"/>
  <c r="F400" i="1" l="1"/>
  <c r="G400" i="1" s="1"/>
  <c r="H399" i="1"/>
  <c r="F401" i="1" l="1"/>
  <c r="G401" i="1" s="1"/>
  <c r="H400" i="1"/>
  <c r="F402" i="1" l="1"/>
  <c r="G402" i="1" s="1"/>
  <c r="H401" i="1"/>
  <c r="F403" i="1" l="1"/>
  <c r="G403" i="1" s="1"/>
  <c r="H402" i="1"/>
  <c r="F404" i="1" l="1"/>
  <c r="G404" i="1" s="1"/>
  <c r="H403" i="1"/>
  <c r="F405" i="1" l="1"/>
  <c r="G405" i="1" s="1"/>
  <c r="H404" i="1"/>
  <c r="F406" i="1" l="1"/>
  <c r="G406" i="1" s="1"/>
  <c r="H405" i="1"/>
  <c r="F407" i="1" l="1"/>
  <c r="G407" i="1" s="1"/>
  <c r="H406" i="1"/>
  <c r="F408" i="1" l="1"/>
  <c r="G408" i="1" s="1"/>
  <c r="H407" i="1"/>
  <c r="F409" i="1" l="1"/>
  <c r="G409" i="1" s="1"/>
  <c r="H408" i="1"/>
  <c r="F410" i="1" l="1"/>
  <c r="G410" i="1" s="1"/>
  <c r="H409" i="1"/>
  <c r="F411" i="1" l="1"/>
  <c r="G411" i="1" s="1"/>
  <c r="H410" i="1"/>
  <c r="F412" i="1" l="1"/>
  <c r="G412" i="1" s="1"/>
  <c r="H411" i="1"/>
  <c r="F413" i="1" l="1"/>
  <c r="G413" i="1" s="1"/>
  <c r="H412" i="1"/>
  <c r="F414" i="1" l="1"/>
  <c r="G414" i="1" s="1"/>
  <c r="H413" i="1"/>
  <c r="F415" i="1" l="1"/>
  <c r="G415" i="1" s="1"/>
  <c r="H414" i="1"/>
  <c r="F416" i="1" l="1"/>
  <c r="G416" i="1" s="1"/>
  <c r="H415" i="1"/>
  <c r="F417" i="1" l="1"/>
  <c r="G417" i="1" s="1"/>
  <c r="H416" i="1"/>
  <c r="F418" i="1" l="1"/>
  <c r="G418" i="1" s="1"/>
  <c r="H417" i="1"/>
  <c r="F419" i="1" l="1"/>
  <c r="G419" i="1" s="1"/>
  <c r="H418" i="1"/>
  <c r="F420" i="1" l="1"/>
  <c r="G420" i="1" s="1"/>
  <c r="H419" i="1"/>
  <c r="F421" i="1" l="1"/>
  <c r="G421" i="1" s="1"/>
  <c r="H420" i="1"/>
  <c r="F422" i="1" l="1"/>
  <c r="G422" i="1" s="1"/>
  <c r="H421" i="1"/>
  <c r="F423" i="1" l="1"/>
  <c r="G423" i="1" s="1"/>
  <c r="H422" i="1"/>
  <c r="F424" i="1" l="1"/>
  <c r="G424" i="1" s="1"/>
  <c r="H423" i="1"/>
  <c r="F425" i="1" l="1"/>
  <c r="G425" i="1" s="1"/>
  <c r="H424" i="1"/>
  <c r="F426" i="1" l="1"/>
  <c r="G426" i="1" s="1"/>
  <c r="H425" i="1"/>
  <c r="F427" i="1" l="1"/>
  <c r="G427" i="1" s="1"/>
  <c r="H426" i="1"/>
  <c r="F428" i="1" l="1"/>
  <c r="G428" i="1" s="1"/>
  <c r="H427" i="1"/>
  <c r="F429" i="1" l="1"/>
  <c r="G429" i="1" s="1"/>
  <c r="H428" i="1"/>
  <c r="F430" i="1" l="1"/>
  <c r="G430" i="1" s="1"/>
  <c r="H429" i="1"/>
  <c r="F431" i="1" l="1"/>
  <c r="G431" i="1" s="1"/>
  <c r="H430" i="1"/>
  <c r="F432" i="1" l="1"/>
  <c r="G432" i="1" s="1"/>
  <c r="H431" i="1"/>
  <c r="F433" i="1" l="1"/>
  <c r="G433" i="1" s="1"/>
  <c r="H432" i="1"/>
  <c r="F434" i="1" l="1"/>
  <c r="G434" i="1" s="1"/>
  <c r="H433" i="1"/>
  <c r="F435" i="1" l="1"/>
  <c r="G435" i="1" s="1"/>
  <c r="H434" i="1"/>
  <c r="F436" i="1" l="1"/>
  <c r="G436" i="1" s="1"/>
  <c r="H435" i="1"/>
  <c r="F437" i="1" l="1"/>
  <c r="G437" i="1" s="1"/>
  <c r="H436" i="1"/>
  <c r="F438" i="1" l="1"/>
  <c r="G438" i="1" s="1"/>
  <c r="H437" i="1"/>
  <c r="F439" i="1" l="1"/>
  <c r="G439" i="1" s="1"/>
  <c r="H438" i="1"/>
  <c r="F440" i="1" l="1"/>
  <c r="G440" i="1" s="1"/>
  <c r="H439" i="1"/>
  <c r="F441" i="1" l="1"/>
  <c r="G441" i="1" s="1"/>
  <c r="H440" i="1"/>
  <c r="F442" i="1" l="1"/>
  <c r="G442" i="1" s="1"/>
  <c r="H441" i="1"/>
  <c r="F443" i="1" l="1"/>
  <c r="G443" i="1" s="1"/>
  <c r="H442" i="1"/>
  <c r="F444" i="1" l="1"/>
  <c r="G444" i="1" s="1"/>
  <c r="H443" i="1"/>
  <c r="F445" i="1" l="1"/>
  <c r="G445" i="1" s="1"/>
  <c r="H444" i="1"/>
  <c r="F446" i="1" l="1"/>
  <c r="G446" i="1" s="1"/>
  <c r="H445" i="1"/>
  <c r="F447" i="1" l="1"/>
  <c r="G447" i="1" s="1"/>
  <c r="H446" i="1"/>
  <c r="F448" i="1" l="1"/>
  <c r="G448" i="1" s="1"/>
  <c r="H447" i="1"/>
  <c r="F449" i="1" l="1"/>
  <c r="G449" i="1" s="1"/>
  <c r="H448" i="1"/>
  <c r="F450" i="1" l="1"/>
  <c r="G450" i="1" s="1"/>
  <c r="H449" i="1"/>
  <c r="F451" i="1" l="1"/>
  <c r="G451" i="1" s="1"/>
  <c r="H450" i="1"/>
  <c r="F452" i="1" l="1"/>
  <c r="G452" i="1" s="1"/>
  <c r="H451" i="1"/>
  <c r="F453" i="1" l="1"/>
  <c r="G453" i="1" s="1"/>
  <c r="H452" i="1"/>
  <c r="F454" i="1" l="1"/>
  <c r="G454" i="1" s="1"/>
  <c r="H453" i="1"/>
  <c r="F455" i="1" l="1"/>
  <c r="G455" i="1" s="1"/>
  <c r="H454" i="1"/>
  <c r="F456" i="1" l="1"/>
  <c r="G456" i="1" s="1"/>
  <c r="H455" i="1"/>
  <c r="F457" i="1" l="1"/>
  <c r="G457" i="1" s="1"/>
  <c r="H456" i="1"/>
  <c r="F458" i="1" l="1"/>
  <c r="G458" i="1" s="1"/>
  <c r="H457" i="1"/>
  <c r="F459" i="1" l="1"/>
  <c r="G459" i="1" s="1"/>
  <c r="H458" i="1"/>
  <c r="F460" i="1" l="1"/>
  <c r="G460" i="1" s="1"/>
  <c r="H459" i="1"/>
  <c r="F461" i="1" l="1"/>
  <c r="G461" i="1" s="1"/>
  <c r="H460" i="1"/>
  <c r="F462" i="1" l="1"/>
  <c r="G462" i="1" s="1"/>
  <c r="H461" i="1"/>
  <c r="F463" i="1" l="1"/>
  <c r="G463" i="1" s="1"/>
  <c r="H462" i="1"/>
  <c r="F464" i="1" l="1"/>
  <c r="G464" i="1" s="1"/>
  <c r="H463" i="1"/>
  <c r="F465" i="1" l="1"/>
  <c r="G465" i="1" s="1"/>
  <c r="H464" i="1"/>
  <c r="F466" i="1" l="1"/>
  <c r="G466" i="1" s="1"/>
  <c r="H465" i="1"/>
  <c r="F467" i="1" l="1"/>
  <c r="G467" i="1" s="1"/>
  <c r="H466" i="1"/>
  <c r="F468" i="1" l="1"/>
  <c r="G468" i="1" s="1"/>
  <c r="H467" i="1"/>
  <c r="F469" i="1" l="1"/>
  <c r="G469" i="1" s="1"/>
  <c r="H468" i="1"/>
  <c r="F470" i="1" l="1"/>
  <c r="G470" i="1" s="1"/>
  <c r="H469" i="1"/>
  <c r="F471" i="1" l="1"/>
  <c r="G471" i="1" s="1"/>
  <c r="H470" i="1"/>
  <c r="F472" i="1" l="1"/>
  <c r="G472" i="1" s="1"/>
  <c r="H471" i="1"/>
  <c r="F473" i="1" l="1"/>
  <c r="G473" i="1" s="1"/>
  <c r="H472" i="1"/>
  <c r="F474" i="1" l="1"/>
  <c r="G474" i="1" s="1"/>
  <c r="H473" i="1"/>
  <c r="F475" i="1" l="1"/>
  <c r="G475" i="1" s="1"/>
  <c r="H474" i="1"/>
  <c r="F476" i="1" l="1"/>
  <c r="G476" i="1" s="1"/>
  <c r="H475" i="1"/>
  <c r="F477" i="1" l="1"/>
  <c r="G477" i="1" s="1"/>
  <c r="H476" i="1"/>
  <c r="F478" i="1" l="1"/>
  <c r="G478" i="1" s="1"/>
  <c r="H477" i="1"/>
  <c r="F479" i="1" l="1"/>
  <c r="G479" i="1" s="1"/>
  <c r="H478" i="1"/>
  <c r="F480" i="1" l="1"/>
  <c r="G480" i="1" s="1"/>
  <c r="H479" i="1"/>
  <c r="F481" i="1" l="1"/>
  <c r="G481" i="1" s="1"/>
  <c r="H480" i="1"/>
  <c r="F482" i="1" l="1"/>
  <c r="G482" i="1" s="1"/>
  <c r="H481" i="1"/>
  <c r="F483" i="1" l="1"/>
  <c r="G483" i="1" s="1"/>
  <c r="H482" i="1"/>
  <c r="F484" i="1" l="1"/>
  <c r="G484" i="1" s="1"/>
  <c r="H483" i="1"/>
  <c r="F485" i="1" l="1"/>
  <c r="G485" i="1" s="1"/>
  <c r="H484" i="1"/>
  <c r="F486" i="1" l="1"/>
  <c r="G486" i="1" s="1"/>
  <c r="H485" i="1"/>
  <c r="F487" i="1" l="1"/>
  <c r="G487" i="1" s="1"/>
  <c r="H486" i="1"/>
  <c r="F488" i="1" l="1"/>
  <c r="G488" i="1" s="1"/>
  <c r="H487" i="1"/>
  <c r="F489" i="1" l="1"/>
  <c r="G489" i="1" s="1"/>
  <c r="H488" i="1"/>
  <c r="F490" i="1" l="1"/>
  <c r="G490" i="1" s="1"/>
  <c r="H489" i="1"/>
  <c r="F491" i="1" l="1"/>
  <c r="G491" i="1" s="1"/>
  <c r="H490" i="1"/>
  <c r="F492" i="1" l="1"/>
  <c r="G492" i="1" s="1"/>
  <c r="H491" i="1"/>
  <c r="F493" i="1" l="1"/>
  <c r="G493" i="1" s="1"/>
  <c r="H492" i="1"/>
  <c r="F494" i="1" l="1"/>
  <c r="G494" i="1" s="1"/>
  <c r="H493" i="1"/>
  <c r="F495" i="1" l="1"/>
  <c r="G495" i="1" s="1"/>
  <c r="H494" i="1"/>
  <c r="F496" i="1" l="1"/>
  <c r="G496" i="1" s="1"/>
  <c r="H495" i="1"/>
  <c r="F497" i="1" l="1"/>
  <c r="G497" i="1" s="1"/>
  <c r="H496" i="1"/>
  <c r="F498" i="1" l="1"/>
  <c r="G498" i="1" s="1"/>
  <c r="H497" i="1"/>
  <c r="F499" i="1" l="1"/>
  <c r="G499" i="1" s="1"/>
  <c r="H498" i="1"/>
  <c r="F500" i="1" l="1"/>
  <c r="G500" i="1" s="1"/>
  <c r="H499" i="1"/>
  <c r="F501" i="1" l="1"/>
  <c r="G501" i="1" s="1"/>
  <c r="H500" i="1"/>
  <c r="H501" i="1" l="1"/>
  <c r="F502" i="1"/>
  <c r="G502" i="1" l="1"/>
  <c r="H502" i="1" s="1"/>
  <c r="F503" i="1" l="1"/>
  <c r="G503" i="1" s="1"/>
  <c r="F504" i="1" l="1"/>
  <c r="G504" i="1" s="1"/>
  <c r="H503" i="1"/>
  <c r="H504" i="1" l="1"/>
  <c r="F505" i="1"/>
  <c r="G505" i="1" s="1"/>
  <c r="F506" i="1" l="1"/>
  <c r="G506" i="1" s="1"/>
  <c r="H505" i="1"/>
  <c r="F507" i="1" l="1"/>
  <c r="G507" i="1" s="1"/>
  <c r="H506" i="1"/>
  <c r="H507" i="1" l="1"/>
  <c r="F508" i="1"/>
  <c r="G508" i="1" s="1"/>
  <c r="H508" i="1" l="1"/>
  <c r="F509" i="1"/>
  <c r="G509" i="1" s="1"/>
  <c r="F510" i="1" l="1"/>
  <c r="G510" i="1" s="1"/>
  <c r="H509" i="1"/>
  <c r="F511" i="1" l="1"/>
  <c r="G511" i="1" s="1"/>
  <c r="H510" i="1"/>
  <c r="F512" i="1" l="1"/>
  <c r="G512" i="1" s="1"/>
  <c r="H511" i="1"/>
  <c r="F513" i="1" l="1"/>
  <c r="G513" i="1" s="1"/>
  <c r="H512" i="1"/>
  <c r="F514" i="1" l="1"/>
  <c r="G514" i="1" s="1"/>
  <c r="H513" i="1"/>
  <c r="F515" i="1" l="1"/>
  <c r="G515" i="1" s="1"/>
  <c r="H514" i="1"/>
  <c r="F516" i="1" l="1"/>
  <c r="G516" i="1" s="1"/>
  <c r="H515" i="1"/>
  <c r="H516" i="1" l="1"/>
  <c r="F517" i="1"/>
  <c r="G517" i="1" s="1"/>
  <c r="H517" i="1" l="1"/>
  <c r="F518" i="1"/>
  <c r="G518" i="1" s="1"/>
  <c r="H518" i="1" l="1"/>
  <c r="F519" i="1"/>
  <c r="G519" i="1" s="1"/>
  <c r="H519" i="1" l="1"/>
  <c r="F520" i="1"/>
  <c r="G520" i="1" s="1"/>
  <c r="F521" i="1" l="1"/>
  <c r="G521" i="1" s="1"/>
  <c r="H520" i="1"/>
  <c r="F522" i="1" l="1"/>
  <c r="G522" i="1" s="1"/>
  <c r="H521" i="1"/>
  <c r="F523" i="1" l="1"/>
  <c r="G523" i="1" s="1"/>
  <c r="H522" i="1"/>
  <c r="F524" i="1" l="1"/>
  <c r="G524" i="1" s="1"/>
  <c r="H523" i="1"/>
  <c r="F525" i="1" l="1"/>
  <c r="G525" i="1" s="1"/>
  <c r="H524" i="1"/>
  <c r="F526" i="1" l="1"/>
  <c r="G526" i="1" s="1"/>
  <c r="H525" i="1"/>
  <c r="F527" i="1" l="1"/>
  <c r="G527" i="1" s="1"/>
  <c r="H526" i="1"/>
  <c r="F528" i="1" l="1"/>
  <c r="G528" i="1" s="1"/>
  <c r="H527" i="1"/>
  <c r="F529" i="1" l="1"/>
  <c r="G529" i="1" s="1"/>
  <c r="H528" i="1"/>
  <c r="F530" i="1" l="1"/>
  <c r="G530" i="1" s="1"/>
  <c r="H529" i="1"/>
  <c r="H530" i="1" l="1"/>
  <c r="F531" i="1"/>
  <c r="G531" i="1" s="1"/>
  <c r="H531" i="1" l="1"/>
  <c r="F532" i="1"/>
  <c r="G532" i="1" s="1"/>
  <c r="F533" i="1" l="1"/>
  <c r="G533" i="1" s="1"/>
  <c r="H532" i="1"/>
  <c r="F534" i="1" l="1"/>
  <c r="G534" i="1" s="1"/>
  <c r="H533" i="1"/>
  <c r="H534" i="1" l="1"/>
  <c r="F535" i="1"/>
  <c r="G535" i="1" s="1"/>
  <c r="F536" i="1" l="1"/>
  <c r="G536" i="1" s="1"/>
  <c r="H535" i="1"/>
  <c r="F537" i="1" l="1"/>
  <c r="G537" i="1" s="1"/>
  <c r="H536" i="1"/>
  <c r="F538" i="1" l="1"/>
  <c r="G538" i="1" s="1"/>
  <c r="H537" i="1"/>
  <c r="F539" i="1" l="1"/>
  <c r="G539" i="1" s="1"/>
  <c r="H538" i="1"/>
  <c r="F540" i="1" l="1"/>
  <c r="G540" i="1" s="1"/>
  <c r="H539" i="1"/>
  <c r="F541" i="1" l="1"/>
  <c r="G541" i="1" s="1"/>
  <c r="H540" i="1"/>
  <c r="F542" i="1" l="1"/>
  <c r="G542" i="1" s="1"/>
  <c r="H541" i="1"/>
  <c r="F543" i="1" l="1"/>
  <c r="G543" i="1" s="1"/>
  <c r="H542" i="1"/>
  <c r="F544" i="1" l="1"/>
  <c r="G544" i="1" s="1"/>
  <c r="H543" i="1"/>
  <c r="F545" i="1" l="1"/>
  <c r="G545" i="1" s="1"/>
  <c r="H544" i="1"/>
  <c r="F546" i="1" l="1"/>
  <c r="G546" i="1" s="1"/>
  <c r="H545" i="1"/>
  <c r="F547" i="1" l="1"/>
  <c r="G547" i="1" s="1"/>
  <c r="H546" i="1"/>
  <c r="F548" i="1" l="1"/>
  <c r="G548" i="1" s="1"/>
  <c r="H547" i="1"/>
  <c r="F549" i="1" l="1"/>
  <c r="G549" i="1" s="1"/>
  <c r="H548" i="1"/>
  <c r="F550" i="1" l="1"/>
  <c r="G550" i="1" s="1"/>
  <c r="H549" i="1"/>
  <c r="F551" i="1" l="1"/>
  <c r="G551" i="1" s="1"/>
  <c r="H550" i="1"/>
  <c r="F552" i="1" l="1"/>
  <c r="G552" i="1" s="1"/>
  <c r="H551" i="1"/>
  <c r="F553" i="1" l="1"/>
  <c r="G553" i="1" s="1"/>
  <c r="H552" i="1"/>
  <c r="F554" i="1" l="1"/>
  <c r="G554" i="1" s="1"/>
  <c r="H553" i="1"/>
  <c r="H554" i="1" l="1"/>
  <c r="F555" i="1"/>
  <c r="G555" i="1" s="1"/>
  <c r="H555" i="1" l="1"/>
  <c r="F556" i="1"/>
  <c r="G556" i="1" s="1"/>
  <c r="F557" i="1" l="1"/>
  <c r="G557" i="1" s="1"/>
  <c r="H556" i="1"/>
  <c r="F558" i="1" l="1"/>
  <c r="G558" i="1" s="1"/>
  <c r="H557" i="1"/>
  <c r="F559" i="1" l="1"/>
  <c r="G559" i="1" s="1"/>
  <c r="H558" i="1"/>
  <c r="F560" i="1" l="1"/>
  <c r="G560" i="1" s="1"/>
  <c r="H559" i="1"/>
  <c r="F561" i="1" l="1"/>
  <c r="G561" i="1" s="1"/>
  <c r="H560" i="1"/>
  <c r="F562" i="1" l="1"/>
  <c r="G562" i="1" s="1"/>
  <c r="H561" i="1"/>
  <c r="H562" i="1" l="1"/>
  <c r="F563" i="1"/>
  <c r="G563" i="1" s="1"/>
  <c r="H563" i="1" l="1"/>
  <c r="F564" i="1"/>
  <c r="G564" i="1" s="1"/>
  <c r="F565" i="1" l="1"/>
  <c r="G565" i="1" s="1"/>
  <c r="H564" i="1"/>
  <c r="H565" i="1" l="1"/>
  <c r="F566" i="1"/>
  <c r="G566" i="1" s="1"/>
  <c r="H566" i="1" l="1"/>
  <c r="F567" i="1"/>
  <c r="G567" i="1" s="1"/>
  <c r="H567" i="1" l="1"/>
  <c r="F568" i="1"/>
  <c r="G568" i="1" s="1"/>
  <c r="H568" i="1" l="1"/>
  <c r="F569" i="1"/>
  <c r="G569" i="1" s="1"/>
  <c r="H569" i="1" l="1"/>
  <c r="F570" i="1"/>
  <c r="G570" i="1" s="1"/>
  <c r="H570" i="1" l="1"/>
  <c r="F571" i="1"/>
  <c r="G571" i="1" s="1"/>
  <c r="H571" i="1" l="1"/>
  <c r="F572" i="1"/>
  <c r="G572" i="1" s="1"/>
  <c r="H572" i="1" l="1"/>
  <c r="F573" i="1"/>
  <c r="G573" i="1" s="1"/>
  <c r="H573" i="1" l="1"/>
  <c r="F574" i="1"/>
  <c r="G574" i="1" s="1"/>
  <c r="H574" i="1" l="1"/>
  <c r="F575" i="1"/>
  <c r="G575" i="1" s="1"/>
  <c r="H575" i="1" l="1"/>
  <c r="F576" i="1"/>
  <c r="G576" i="1" s="1"/>
  <c r="H576" i="1" l="1"/>
  <c r="F577" i="1"/>
  <c r="G577" i="1" s="1"/>
  <c r="H577" i="1" l="1"/>
  <c r="F578" i="1"/>
  <c r="G578" i="1" s="1"/>
  <c r="H578" i="1" l="1"/>
  <c r="F579" i="1"/>
  <c r="G579" i="1" s="1"/>
  <c r="H579" i="1" l="1"/>
  <c r="F580" i="1"/>
  <c r="G580" i="1" s="1"/>
  <c r="F581" i="1" l="1"/>
  <c r="G581" i="1" s="1"/>
  <c r="H580" i="1"/>
  <c r="F582" i="1" l="1"/>
  <c r="G582" i="1" s="1"/>
  <c r="H581" i="1"/>
  <c r="F583" i="1" l="1"/>
  <c r="G583" i="1" s="1"/>
  <c r="H582" i="1"/>
  <c r="F584" i="1" l="1"/>
  <c r="G584" i="1" s="1"/>
  <c r="H583" i="1"/>
  <c r="F585" i="1" l="1"/>
  <c r="G585" i="1" s="1"/>
  <c r="H584" i="1"/>
  <c r="F586" i="1" l="1"/>
  <c r="G586" i="1" s="1"/>
  <c r="H585" i="1"/>
  <c r="F587" i="1" l="1"/>
  <c r="G587" i="1" s="1"/>
  <c r="H586" i="1"/>
  <c r="F588" i="1" l="1"/>
  <c r="G588" i="1" s="1"/>
  <c r="H587" i="1"/>
  <c r="F589" i="1" l="1"/>
  <c r="G589" i="1" s="1"/>
  <c r="H588" i="1"/>
  <c r="F590" i="1" l="1"/>
  <c r="G590" i="1" s="1"/>
  <c r="H589" i="1"/>
  <c r="F591" i="1" l="1"/>
  <c r="G591" i="1" s="1"/>
  <c r="H590" i="1"/>
  <c r="F592" i="1" l="1"/>
  <c r="G592" i="1" s="1"/>
  <c r="H591" i="1"/>
  <c r="H592" i="1" l="1"/>
  <c r="F593" i="1"/>
  <c r="G593" i="1" s="1"/>
  <c r="F594" i="1" l="1"/>
  <c r="G594" i="1" s="1"/>
  <c r="H593" i="1"/>
  <c r="F595" i="1" l="1"/>
  <c r="G595" i="1" s="1"/>
  <c r="H594" i="1"/>
  <c r="F596" i="1" l="1"/>
  <c r="G596" i="1" s="1"/>
  <c r="H595" i="1"/>
  <c r="F597" i="1" l="1"/>
  <c r="G597" i="1" s="1"/>
  <c r="H596" i="1"/>
  <c r="F598" i="1" l="1"/>
  <c r="G598" i="1" s="1"/>
  <c r="H597" i="1"/>
  <c r="F599" i="1" l="1"/>
  <c r="G599" i="1" s="1"/>
  <c r="H598" i="1"/>
  <c r="H599" i="1" l="1"/>
  <c r="F600" i="1"/>
  <c r="G600" i="1" s="1"/>
  <c r="F601" i="1" l="1"/>
  <c r="G601" i="1" s="1"/>
  <c r="H600" i="1"/>
  <c r="F602" i="1" l="1"/>
  <c r="G602" i="1" s="1"/>
  <c r="H601" i="1"/>
  <c r="F603" i="1" l="1"/>
  <c r="G603" i="1" s="1"/>
  <c r="H602" i="1"/>
  <c r="F604" i="1" l="1"/>
  <c r="G604" i="1" s="1"/>
  <c r="H603" i="1"/>
  <c r="F605" i="1" l="1"/>
  <c r="G605" i="1" s="1"/>
  <c r="H604" i="1"/>
  <c r="F606" i="1" l="1"/>
  <c r="G606" i="1" s="1"/>
  <c r="H605" i="1"/>
  <c r="F607" i="1" l="1"/>
  <c r="G607" i="1" s="1"/>
  <c r="H606" i="1"/>
  <c r="F608" i="1" l="1"/>
  <c r="G608" i="1" s="1"/>
  <c r="H607" i="1"/>
  <c r="F609" i="1" l="1"/>
  <c r="G609" i="1" s="1"/>
  <c r="H608" i="1"/>
  <c r="F610" i="1" l="1"/>
  <c r="G610" i="1" s="1"/>
  <c r="H609" i="1"/>
  <c r="F611" i="1" l="1"/>
  <c r="G611" i="1" s="1"/>
  <c r="H610" i="1"/>
  <c r="H611" i="1" l="1"/>
  <c r="F612" i="1"/>
  <c r="G612" i="1" s="1"/>
  <c r="H612" i="1" l="1"/>
  <c r="F613" i="1"/>
  <c r="G613" i="1" s="1"/>
  <c r="F614" i="1" l="1"/>
  <c r="G614" i="1" s="1"/>
  <c r="H613" i="1"/>
  <c r="F615" i="1" l="1"/>
  <c r="G615" i="1" s="1"/>
  <c r="H614" i="1"/>
  <c r="F616" i="1" l="1"/>
  <c r="G616" i="1" s="1"/>
  <c r="H615" i="1"/>
  <c r="F617" i="1" l="1"/>
  <c r="G617" i="1" s="1"/>
  <c r="H616" i="1"/>
  <c r="F618" i="1" l="1"/>
  <c r="G618" i="1" s="1"/>
  <c r="H617" i="1"/>
  <c r="F619" i="1" l="1"/>
  <c r="G619" i="1" s="1"/>
  <c r="H618" i="1"/>
  <c r="F620" i="1" l="1"/>
  <c r="G620" i="1" s="1"/>
  <c r="H619" i="1"/>
  <c r="F621" i="1" l="1"/>
  <c r="G621" i="1" s="1"/>
  <c r="H620" i="1"/>
  <c r="F622" i="1" l="1"/>
  <c r="G622" i="1" s="1"/>
  <c r="H621" i="1"/>
  <c r="F623" i="1" l="1"/>
  <c r="G623" i="1" s="1"/>
  <c r="H622" i="1"/>
  <c r="F624" i="1" l="1"/>
  <c r="G624" i="1" s="1"/>
  <c r="H623" i="1"/>
  <c r="H624" i="1" l="1"/>
  <c r="F625" i="1"/>
  <c r="G625" i="1" s="1"/>
  <c r="F626" i="1" l="1"/>
  <c r="G626" i="1" s="1"/>
  <c r="H625" i="1"/>
  <c r="H626" i="1" l="1"/>
  <c r="F627" i="1"/>
  <c r="G627" i="1" s="1"/>
  <c r="H627" i="1" l="1"/>
  <c r="F628" i="1"/>
  <c r="G628" i="1" s="1"/>
  <c r="H628" i="1" l="1"/>
  <c r="F629" i="1"/>
  <c r="G629" i="1" s="1"/>
  <c r="H629" i="1" l="1"/>
  <c r="F630" i="1"/>
  <c r="G630" i="1" s="1"/>
  <c r="H630" i="1" l="1"/>
  <c r="F631" i="1"/>
  <c r="G631" i="1" s="1"/>
  <c r="F632" i="1" l="1"/>
  <c r="G632" i="1" s="1"/>
  <c r="H631" i="1"/>
  <c r="H632" i="1" l="1"/>
  <c r="F633" i="1"/>
  <c r="G633" i="1" s="1"/>
  <c r="H633" i="1" l="1"/>
  <c r="F634" i="1"/>
  <c r="G634" i="1" s="1"/>
  <c r="H634" i="1" l="1"/>
  <c r="F635" i="1"/>
  <c r="G635" i="1" s="1"/>
  <c r="H635" i="1" l="1"/>
  <c r="F636" i="1"/>
  <c r="G636" i="1" s="1"/>
  <c r="F637" i="1" l="1"/>
  <c r="G637" i="1" s="1"/>
  <c r="H636" i="1"/>
  <c r="H637" i="1" l="1"/>
  <c r="F638" i="1"/>
  <c r="G638" i="1" s="1"/>
  <c r="F639" i="1" l="1"/>
  <c r="G639" i="1" s="1"/>
  <c r="H638" i="1"/>
  <c r="F640" i="1" l="1"/>
  <c r="G640" i="1" s="1"/>
  <c r="H639" i="1"/>
  <c r="F641" i="1" l="1"/>
  <c r="G641" i="1" s="1"/>
  <c r="H640" i="1"/>
  <c r="H641" i="1" l="1"/>
  <c r="F642" i="1"/>
  <c r="G642" i="1" s="1"/>
  <c r="F643" i="1" l="1"/>
  <c r="G643" i="1" s="1"/>
  <c r="H642" i="1"/>
  <c r="F644" i="1" l="1"/>
  <c r="G644" i="1" s="1"/>
  <c r="H643" i="1"/>
  <c r="F645" i="1" l="1"/>
  <c r="G645" i="1" s="1"/>
  <c r="H644" i="1"/>
  <c r="F646" i="1" l="1"/>
  <c r="G646" i="1" s="1"/>
  <c r="H645" i="1"/>
  <c r="F647" i="1" l="1"/>
  <c r="G647" i="1" s="1"/>
  <c r="H646" i="1"/>
  <c r="F648" i="1" l="1"/>
  <c r="G648" i="1" s="1"/>
  <c r="H647" i="1"/>
  <c r="F649" i="1" l="1"/>
  <c r="G649" i="1" s="1"/>
  <c r="H648" i="1"/>
  <c r="F650" i="1" l="1"/>
  <c r="G650" i="1" s="1"/>
  <c r="H649" i="1"/>
  <c r="F651" i="1" l="1"/>
  <c r="G651" i="1" s="1"/>
  <c r="H650" i="1"/>
  <c r="F652" i="1" l="1"/>
  <c r="G652" i="1" s="1"/>
  <c r="H651" i="1"/>
  <c r="F653" i="1" l="1"/>
  <c r="G653" i="1" s="1"/>
  <c r="H652" i="1"/>
  <c r="F654" i="1" l="1"/>
  <c r="G654" i="1" s="1"/>
  <c r="H653" i="1"/>
  <c r="F655" i="1" l="1"/>
  <c r="G655" i="1" s="1"/>
  <c r="H654" i="1"/>
  <c r="F656" i="1" l="1"/>
  <c r="G656" i="1" s="1"/>
  <c r="H655" i="1"/>
  <c r="F657" i="1" l="1"/>
  <c r="G657" i="1" s="1"/>
  <c r="H656" i="1"/>
  <c r="F658" i="1" l="1"/>
  <c r="G658" i="1" s="1"/>
  <c r="H657" i="1"/>
  <c r="F659" i="1" l="1"/>
  <c r="G659" i="1" s="1"/>
  <c r="H658" i="1"/>
  <c r="F660" i="1" l="1"/>
  <c r="G660" i="1" s="1"/>
  <c r="H659" i="1"/>
  <c r="F661" i="1" l="1"/>
  <c r="G661" i="1" s="1"/>
  <c r="H660" i="1"/>
  <c r="F662" i="1" l="1"/>
  <c r="G662" i="1" s="1"/>
  <c r="H661" i="1"/>
  <c r="F663" i="1" l="1"/>
  <c r="G663" i="1" s="1"/>
  <c r="H662" i="1"/>
  <c r="F664" i="1" l="1"/>
  <c r="G664" i="1" s="1"/>
  <c r="H663" i="1"/>
  <c r="F665" i="1" l="1"/>
  <c r="G665" i="1" s="1"/>
  <c r="H664" i="1"/>
  <c r="F666" i="1" l="1"/>
  <c r="G666" i="1" s="1"/>
  <c r="H665" i="1"/>
  <c r="F667" i="1" l="1"/>
  <c r="G667" i="1" s="1"/>
  <c r="H666" i="1"/>
  <c r="F668" i="1" l="1"/>
  <c r="G668" i="1" s="1"/>
  <c r="H667" i="1"/>
  <c r="F669" i="1" l="1"/>
  <c r="G669" i="1" s="1"/>
  <c r="H668" i="1"/>
  <c r="F670" i="1" l="1"/>
  <c r="G670" i="1" s="1"/>
  <c r="H669" i="1"/>
  <c r="F671" i="1" l="1"/>
  <c r="G671" i="1" s="1"/>
  <c r="H670" i="1"/>
  <c r="F672" i="1" l="1"/>
  <c r="G672" i="1" s="1"/>
  <c r="H671" i="1"/>
  <c r="F673" i="1" l="1"/>
  <c r="G673" i="1" s="1"/>
  <c r="H672" i="1"/>
  <c r="F674" i="1" l="1"/>
  <c r="G674" i="1" s="1"/>
  <c r="H673" i="1"/>
  <c r="F675" i="1" l="1"/>
  <c r="G675" i="1" s="1"/>
  <c r="H674" i="1"/>
  <c r="F676" i="1" l="1"/>
  <c r="G676" i="1" s="1"/>
  <c r="H675" i="1"/>
  <c r="F677" i="1" l="1"/>
  <c r="G677" i="1" s="1"/>
  <c r="H676" i="1"/>
  <c r="F678" i="1" l="1"/>
  <c r="G678" i="1" s="1"/>
  <c r="H677" i="1"/>
  <c r="F679" i="1" l="1"/>
  <c r="G679" i="1" s="1"/>
  <c r="H678" i="1"/>
  <c r="F680" i="1" l="1"/>
  <c r="G680" i="1" s="1"/>
  <c r="H679" i="1"/>
  <c r="F681" i="1" l="1"/>
  <c r="G681" i="1" s="1"/>
  <c r="H680" i="1"/>
  <c r="F682" i="1" l="1"/>
  <c r="G682" i="1" s="1"/>
  <c r="H681" i="1"/>
  <c r="F683" i="1" l="1"/>
  <c r="G683" i="1" s="1"/>
  <c r="H682" i="1"/>
  <c r="F684" i="1" l="1"/>
  <c r="G684" i="1" s="1"/>
  <c r="H683" i="1"/>
  <c r="F685" i="1" l="1"/>
  <c r="G685" i="1" s="1"/>
  <c r="H684" i="1"/>
  <c r="F686" i="1" l="1"/>
  <c r="G686" i="1" s="1"/>
  <c r="H685" i="1"/>
  <c r="F687" i="1" l="1"/>
  <c r="G687" i="1" s="1"/>
  <c r="H686" i="1"/>
  <c r="F688" i="1" l="1"/>
  <c r="G688" i="1" s="1"/>
  <c r="H687" i="1"/>
  <c r="F689" i="1" l="1"/>
  <c r="G689" i="1" s="1"/>
  <c r="H688" i="1"/>
  <c r="F690" i="1" l="1"/>
  <c r="G690" i="1" s="1"/>
  <c r="H689" i="1"/>
  <c r="F691" i="1" l="1"/>
  <c r="G691" i="1" s="1"/>
  <c r="H690" i="1"/>
  <c r="F692" i="1" l="1"/>
  <c r="G692" i="1" s="1"/>
  <c r="H691" i="1"/>
  <c r="F693" i="1" l="1"/>
  <c r="G693" i="1" s="1"/>
  <c r="H692" i="1"/>
  <c r="F694" i="1" l="1"/>
  <c r="G694" i="1" s="1"/>
  <c r="H693" i="1"/>
  <c r="F695" i="1" l="1"/>
  <c r="G695" i="1" s="1"/>
  <c r="H694" i="1"/>
  <c r="F696" i="1" l="1"/>
  <c r="G696" i="1" s="1"/>
  <c r="H695" i="1"/>
  <c r="F697" i="1" l="1"/>
  <c r="G697" i="1" s="1"/>
  <c r="H696" i="1"/>
  <c r="F698" i="1" l="1"/>
  <c r="G698" i="1" s="1"/>
  <c r="H697" i="1"/>
  <c r="F699" i="1" l="1"/>
  <c r="G699" i="1" s="1"/>
  <c r="H698" i="1"/>
  <c r="F700" i="1" l="1"/>
  <c r="G700" i="1" s="1"/>
  <c r="H699" i="1"/>
  <c r="F701" i="1" l="1"/>
  <c r="G701" i="1" s="1"/>
  <c r="H700" i="1"/>
  <c r="F702" i="1" l="1"/>
  <c r="G702" i="1" s="1"/>
  <c r="H701" i="1"/>
  <c r="F703" i="1" l="1"/>
  <c r="G703" i="1" s="1"/>
  <c r="H702" i="1"/>
  <c r="F704" i="1" l="1"/>
  <c r="G704" i="1" s="1"/>
  <c r="H703" i="1"/>
  <c r="F705" i="1" l="1"/>
  <c r="G705" i="1" s="1"/>
  <c r="H704" i="1"/>
  <c r="F706" i="1" l="1"/>
  <c r="G706" i="1" s="1"/>
  <c r="H705" i="1"/>
  <c r="F707" i="1" l="1"/>
  <c r="G707" i="1" s="1"/>
  <c r="H706" i="1"/>
  <c r="F708" i="1" l="1"/>
  <c r="G708" i="1" s="1"/>
  <c r="H707" i="1"/>
  <c r="F709" i="1" l="1"/>
  <c r="G709" i="1" s="1"/>
  <c r="H708" i="1"/>
  <c r="F710" i="1" l="1"/>
  <c r="G710" i="1" s="1"/>
  <c r="H709" i="1"/>
  <c r="F711" i="1" l="1"/>
  <c r="G711" i="1" s="1"/>
  <c r="H710" i="1"/>
  <c r="F712" i="1" l="1"/>
  <c r="G712" i="1" s="1"/>
  <c r="H711" i="1"/>
  <c r="F713" i="1" l="1"/>
  <c r="G713" i="1" s="1"/>
  <c r="H712" i="1"/>
  <c r="F714" i="1" l="1"/>
  <c r="G714" i="1" s="1"/>
  <c r="H713" i="1"/>
  <c r="F715" i="1" l="1"/>
  <c r="G715" i="1" s="1"/>
  <c r="H714" i="1"/>
  <c r="F716" i="1" l="1"/>
  <c r="G716" i="1" s="1"/>
  <c r="H715" i="1"/>
  <c r="F717" i="1" l="1"/>
  <c r="G717" i="1" s="1"/>
  <c r="H716" i="1"/>
  <c r="F718" i="1" l="1"/>
  <c r="G718" i="1" s="1"/>
  <c r="H717" i="1"/>
  <c r="F719" i="1" l="1"/>
  <c r="G719" i="1" s="1"/>
  <c r="H718" i="1"/>
  <c r="F720" i="1" l="1"/>
  <c r="G720" i="1" s="1"/>
  <c r="H719" i="1"/>
  <c r="F721" i="1" l="1"/>
  <c r="G721" i="1" s="1"/>
  <c r="H720" i="1"/>
  <c r="F722" i="1" l="1"/>
  <c r="G722" i="1" s="1"/>
  <c r="H721" i="1"/>
  <c r="F723" i="1" l="1"/>
  <c r="G723" i="1" s="1"/>
  <c r="H722" i="1"/>
  <c r="F724" i="1" l="1"/>
  <c r="G724" i="1" s="1"/>
  <c r="H723" i="1"/>
  <c r="H724" i="1" l="1"/>
  <c r="F725" i="1"/>
  <c r="G725" i="1" s="1"/>
  <c r="F726" i="1" l="1"/>
  <c r="G726" i="1" s="1"/>
  <c r="H725" i="1"/>
  <c r="F727" i="1" l="1"/>
  <c r="G727" i="1" s="1"/>
  <c r="H726" i="1"/>
  <c r="F728" i="1" l="1"/>
  <c r="G728" i="1" s="1"/>
  <c r="H727" i="1"/>
  <c r="F729" i="1" l="1"/>
  <c r="G729" i="1" s="1"/>
  <c r="H728" i="1"/>
  <c r="F730" i="1" l="1"/>
  <c r="G730" i="1" s="1"/>
  <c r="H729" i="1"/>
  <c r="F731" i="1" l="1"/>
  <c r="G731" i="1" s="1"/>
  <c r="H730" i="1"/>
  <c r="F732" i="1" l="1"/>
  <c r="G732" i="1" s="1"/>
  <c r="H731" i="1"/>
  <c r="F733" i="1" l="1"/>
  <c r="G733" i="1" s="1"/>
  <c r="H732" i="1"/>
  <c r="F734" i="1" l="1"/>
  <c r="G734" i="1" s="1"/>
  <c r="H733" i="1"/>
  <c r="F735" i="1" l="1"/>
  <c r="G735" i="1" s="1"/>
  <c r="H735" i="1" s="1"/>
  <c r="K12" i="1" s="1"/>
  <c r="H734" i="1"/>
</calcChain>
</file>

<file path=xl/sharedStrings.xml><?xml version="1.0" encoding="utf-8"?>
<sst xmlns="http://schemas.openxmlformats.org/spreadsheetml/2006/main" count="90" uniqueCount="64">
  <si>
    <t>Date</t>
  </si>
  <si>
    <t>Price</t>
  </si>
  <si>
    <t>Price return</t>
  </si>
  <si>
    <t>Predicted return</t>
  </si>
  <si>
    <t>residual of the AR part</t>
  </si>
  <si>
    <t>sigma</t>
  </si>
  <si>
    <t>epsilon</t>
  </si>
  <si>
    <t>log-likelihood</t>
  </si>
  <si>
    <t>alpha0</t>
  </si>
  <si>
    <t>sigma²0</t>
  </si>
  <si>
    <t>alpha1</t>
  </si>
  <si>
    <t>beta1</t>
  </si>
  <si>
    <t>eta1</t>
  </si>
  <si>
    <t>eta2</t>
  </si>
  <si>
    <t>log likelihood</t>
  </si>
  <si>
    <t>variance of epsilon</t>
  </si>
  <si>
    <t>&gt;= 0</t>
  </si>
  <si>
    <t>&gt;=0</t>
  </si>
  <si>
    <t>0,5&lt;var&lt;1,5</t>
  </si>
  <si>
    <t>Somme eta</t>
  </si>
  <si>
    <t>Somme</t>
  </si>
  <si>
    <t>Y (output)</t>
  </si>
  <si>
    <t xml:space="preserve">W1 </t>
  </si>
  <si>
    <t>W2</t>
  </si>
  <si>
    <t xml:space="preserve">e </t>
  </si>
  <si>
    <t>new W1</t>
  </si>
  <si>
    <t>new W2</t>
  </si>
  <si>
    <t>sens predit</t>
  </si>
  <si>
    <t>prédiction</t>
  </si>
  <si>
    <t>Taux de bonnes prédiction</t>
  </si>
  <si>
    <t>s (rendement)</t>
  </si>
  <si>
    <t>Rendement</t>
  </si>
  <si>
    <t>Y</t>
  </si>
  <si>
    <t>Sens prédit</t>
  </si>
  <si>
    <t>Prédiction</t>
  </si>
  <si>
    <t>Taux de réussite</t>
  </si>
  <si>
    <t>Ex de poids</t>
  </si>
  <si>
    <t xml:space="preserve">n = </t>
  </si>
  <si>
    <t xml:space="preserve">p = </t>
  </si>
  <si>
    <t>Date de début du test</t>
  </si>
  <si>
    <t>Date de début de l'apprentissage</t>
  </si>
  <si>
    <t>Les dates doivent être des dates réelles présentes dans la liste (sinon cela entraine des bugs)</t>
  </si>
  <si>
    <t xml:space="preserve">Pour les multilayers </t>
  </si>
  <si>
    <t xml:space="preserve">Pour le momentum </t>
  </si>
  <si>
    <t xml:space="preserve">lambda = </t>
  </si>
  <si>
    <t>Pour le non constant j'ai fait un randomize pour chaque valeur</t>
  </si>
  <si>
    <t>Pour le simple perceptron</t>
  </si>
  <si>
    <t xml:space="preserve">w1 = </t>
  </si>
  <si>
    <t xml:space="preserve">w2 = </t>
  </si>
  <si>
    <t>AR-GARCH</t>
  </si>
  <si>
    <t>Simple Perceptron</t>
  </si>
  <si>
    <t>Multiple Perceptron</t>
  </si>
  <si>
    <t>Momentum MP</t>
  </si>
  <si>
    <t>Non constant MP</t>
  </si>
  <si>
    <t>P&amp;L</t>
  </si>
  <si>
    <t>R²</t>
  </si>
  <si>
    <t>MPE</t>
  </si>
  <si>
    <t>MSRE</t>
  </si>
  <si>
    <t>Moyenne des PR</t>
  </si>
  <si>
    <t>taille tableau</t>
  </si>
  <si>
    <t>Aide somme R²</t>
  </si>
  <si>
    <t>Aide somme MPE</t>
  </si>
  <si>
    <t>resultat bizarre</t>
  </si>
  <si>
    <t>(il faut lancer chaque macro a la main)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</si>
</sst>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€_-;\-* #,##0.00\ _€_-;_-* &quot;-&quot;??\ _€_-;_-@_-"/>
    <numFmt numFmtId="167" formatCode="_-* #,##0.000000\ _€_-;\-* #,##0.000000\ _€_-;_-* &quot;-&quot;??\ _€_-;_-@_-"/>
    <numFmt numFmtId="168" formatCode="_-* #,##0.0000000\ _€_-;\-* #,##0.0000000\ _€_-;_-* &quot;-&quot;??\ _€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dashed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dashed">
        <color theme="4" tint="-0.24994659260841701"/>
      </top>
      <bottom style="thin">
        <color theme="4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10" fontId="0" fillId="0" borderId="0" xfId="1" applyNumberFormat="1" applyFont="1"/>
    <xf numFmtId="10" fontId="0" fillId="0" borderId="0" xfId="0" applyNumberFormat="1"/>
    <xf numFmtId="11" fontId="0" fillId="0" borderId="0" xfId="0" applyNumberFormat="1"/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4" fontId="0" fillId="0" borderId="2" xfId="0" applyNumberFormat="1" applyBorder="1"/>
    <xf numFmtId="0" fontId="0" fillId="0" borderId="2" xfId="0" applyBorder="1"/>
    <xf numFmtId="14" fontId="0" fillId="0" borderId="3" xfId="0" applyNumberFormat="1" applyBorder="1"/>
    <xf numFmtId="0" fontId="0" fillId="0" borderId="3" xfId="0" applyBorder="1"/>
    <xf numFmtId="14" fontId="0" fillId="0" borderId="4" xfId="0" applyNumberFormat="1" applyBorder="1"/>
    <xf numFmtId="0" fontId="0" fillId="0" borderId="4" xfId="0" applyBorder="1"/>
    <xf numFmtId="14" fontId="3" fillId="2" borderId="1" xfId="0" applyNumberFormat="1" applyFont="1" applyFill="1" applyBorder="1"/>
    <xf numFmtId="0" fontId="3" fillId="2" borderId="1" xfId="0" applyFont="1" applyFill="1" applyBorder="1"/>
    <xf numFmtId="0" fontId="4" fillId="2" borderId="0" xfId="0" applyFont="1" applyFill="1" applyAlignment="1">
      <alignment horizontal="center" vertical="center"/>
    </xf>
    <xf numFmtId="0" fontId="3" fillId="0" borderId="0" xfId="0" applyFont="1"/>
    <xf numFmtId="0" fontId="0" fillId="4" borderId="0" xfId="0" applyFill="1" applyAlignment="1">
      <alignment horizontal="center"/>
    </xf>
    <xf numFmtId="0" fontId="2" fillId="0" borderId="0" xfId="0" applyFont="1" applyFill="1"/>
    <xf numFmtId="0" fontId="0" fillId="0" borderId="0" xfId="0" applyAlignment="1">
      <alignment horizontal="center"/>
    </xf>
    <xf numFmtId="0" fontId="0" fillId="0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right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43" fontId="0" fillId="0" borderId="0" xfId="2" applyFont="1"/>
    <xf numFmtId="168" fontId="0" fillId="0" borderId="0" xfId="2" applyNumberFormat="1" applyFont="1"/>
    <xf numFmtId="167" fontId="0" fillId="0" borderId="0" xfId="2" applyNumberFormat="1" applyFont="1" applyAlignment="1">
      <alignment horizontal="center"/>
    </xf>
    <xf numFmtId="0" fontId="0" fillId="8" borderId="0" xfId="0" applyFill="1"/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43" fontId="0" fillId="0" borderId="0" xfId="0" applyNumberFormat="1"/>
    <xf numFmtId="0" fontId="0" fillId="0" borderId="0" xfId="0" applyFill="1" applyAlignment="1">
      <alignment horizont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E068-C951-44AD-BA65-E67F605D3E9C}">
  <sheetPr codeName="Feuil1"/>
  <dimension ref="A1:R735"/>
  <sheetViews>
    <sheetView topLeftCell="A3" workbookViewId="0">
      <selection activeCell="R5" sqref="R5"/>
    </sheetView>
  </sheetViews>
  <sheetFormatPr baseColWidth="10" defaultRowHeight="14.5" x14ac:dyDescent="0.35"/>
  <cols>
    <col min="3" max="3" width="11.26953125" bestFit="1" customWidth="1"/>
    <col min="4" max="4" width="15.6328125" customWidth="1"/>
    <col min="5" max="5" width="20.08984375" customWidth="1"/>
    <col min="6" max="6" width="15.54296875" customWidth="1"/>
    <col min="7" max="8" width="13.36328125" customWidth="1"/>
    <col min="10" max="10" width="17.453125" customWidth="1"/>
    <col min="11" max="11" width="12" bestFit="1" customWidth="1"/>
    <col min="15" max="15" width="8.08984375" customWidth="1"/>
    <col min="16" max="16" width="13.453125" customWidth="1"/>
    <col min="17" max="17" width="15.26953125" customWidth="1"/>
    <col min="18" max="18" width="11.453125" bestFit="1" customWidth="1"/>
  </cols>
  <sheetData>
    <row r="1" spans="1:18" ht="29.5" customHeight="1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P1" s="37" t="s">
        <v>60</v>
      </c>
      <c r="Q1" s="38" t="s">
        <v>61</v>
      </c>
    </row>
    <row r="2" spans="1:18" x14ac:dyDescent="0.35">
      <c r="A2" s="11">
        <v>42373</v>
      </c>
      <c r="B2" s="12">
        <v>4522.45</v>
      </c>
      <c r="P2" s="36"/>
      <c r="Q2" s="36"/>
    </row>
    <row r="3" spans="1:18" x14ac:dyDescent="0.35">
      <c r="A3" s="13">
        <v>42374</v>
      </c>
      <c r="B3" s="14">
        <v>4537.63</v>
      </c>
      <c r="C3" s="2">
        <f>(B3/B2)-1</f>
        <v>3.356587690300783E-3</v>
      </c>
      <c r="J3" s="6" t="s">
        <v>9</v>
      </c>
      <c r="K3">
        <v>0.88393514381685223</v>
      </c>
      <c r="P3" s="36"/>
      <c r="Q3" s="36"/>
    </row>
    <row r="4" spans="1:18" x14ac:dyDescent="0.35">
      <c r="A4" s="13">
        <v>42375</v>
      </c>
      <c r="B4" s="14">
        <v>4480.47</v>
      </c>
      <c r="C4" s="2">
        <f t="shared" ref="C4:C67" si="0">(B4/B3)-1</f>
        <v>-1.2596884276593667E-2</v>
      </c>
      <c r="J4" s="1"/>
      <c r="L4" s="7" t="s">
        <v>20</v>
      </c>
      <c r="M4" s="4">
        <f>K5+K6+K7</f>
        <v>1</v>
      </c>
      <c r="P4" s="36"/>
      <c r="Q4" s="36"/>
    </row>
    <row r="5" spans="1:18" x14ac:dyDescent="0.35">
      <c r="A5" s="13">
        <v>42376</v>
      </c>
      <c r="B5" s="14">
        <v>4403.58</v>
      </c>
      <c r="C5" s="2">
        <f t="shared" si="0"/>
        <v>-1.7161146040482467E-2</v>
      </c>
      <c r="D5" s="2">
        <f>C4*$K$10+C3*$K$9</f>
        <v>-3.5650790695867393E-2</v>
      </c>
      <c r="E5" s="3">
        <f>C5-D5</f>
        <v>1.8489644655384926E-2</v>
      </c>
      <c r="F5">
        <f>K3^(1/2)</f>
        <v>0.94017825108691611</v>
      </c>
      <c r="G5">
        <f>E5/F5</f>
        <v>1.9666105479476385E-2</v>
      </c>
      <c r="H5">
        <f>- (G5^2)/2 - LOG(2*PI())/2</f>
        <v>-0.39928331203142248</v>
      </c>
      <c r="J5" s="6" t="s">
        <v>8</v>
      </c>
      <c r="K5" s="4">
        <v>8.2692288824609951E-4</v>
      </c>
      <c r="M5" t="s">
        <v>16</v>
      </c>
      <c r="P5" s="33">
        <f xml:space="preserve"> C5-$K$16</f>
        <v>-1.8848470318190591E-2</v>
      </c>
      <c r="Q5" s="33">
        <f xml:space="preserve"> ABS(E5)/ABS(C5)</f>
        <v>1.077413164119027</v>
      </c>
      <c r="R5" s="39">
        <f xml:space="preserve"> SUM(Q5:Q735)</f>
        <v>11597.705733768787</v>
      </c>
    </row>
    <row r="6" spans="1:18" x14ac:dyDescent="0.35">
      <c r="A6" s="13">
        <v>42377</v>
      </c>
      <c r="B6" s="14">
        <v>4333.76</v>
      </c>
      <c r="C6" s="2">
        <f t="shared" si="0"/>
        <v>-1.58552813846915E-2</v>
      </c>
      <c r="D6" s="2">
        <f t="shared" ref="D6:D69" si="1">C5*$K$10+C4*$K$9</f>
        <v>-6.3390408143339072E-2</v>
      </c>
      <c r="E6" s="3">
        <f t="shared" ref="E6:E69" si="2">C6-D6</f>
        <v>4.7535126758647572E-2</v>
      </c>
      <c r="F6">
        <f>($K$5+$K$6*(G5^2)+$K$7*(F5^2))^(1/2)</f>
        <v>0.12830136575060022</v>
      </c>
      <c r="G6">
        <f t="shared" ref="G6:G69" si="3">E6/F6</f>
        <v>0.37049587493128611</v>
      </c>
      <c r="H6">
        <f>- (G6^2)/2 - LOG(2*PI())/2</f>
        <v>-0.46772353084960711</v>
      </c>
      <c r="J6" s="6" t="s">
        <v>10</v>
      </c>
      <c r="K6" s="4">
        <v>0.98191552576222574</v>
      </c>
      <c r="M6" t="s">
        <v>17</v>
      </c>
      <c r="P6" s="33">
        <f t="shared" ref="P6:P69" si="4" xml:space="preserve"> C6-$K$16</f>
        <v>-1.7542605662399624E-2</v>
      </c>
      <c r="Q6" s="33">
        <f t="shared" ref="Q6:Q69" si="5" xml:space="preserve"> ABS(E6)/ABS(C6)</f>
        <v>2.9980626395280132</v>
      </c>
    </row>
    <row r="7" spans="1:18" x14ac:dyDescent="0.35">
      <c r="A7" s="13">
        <v>42380</v>
      </c>
      <c r="B7" s="14">
        <v>4312.74</v>
      </c>
      <c r="C7" s="2">
        <f t="shared" si="0"/>
        <v>-4.8502916635901894E-3</v>
      </c>
      <c r="D7" s="2">
        <f t="shared" si="1"/>
        <v>-6.3334475792305486E-2</v>
      </c>
      <c r="E7" s="3">
        <f t="shared" si="2"/>
        <v>5.8484184128715297E-2</v>
      </c>
      <c r="F7">
        <f t="shared" ref="F7:F70" si="6">($K$5+$K$6*G6^2+$K$7*F6^2)^(1/2)</f>
        <v>0.36864046428746705</v>
      </c>
      <c r="G7">
        <f t="shared" si="3"/>
        <v>0.15864830314208028</v>
      </c>
      <c r="H7">
        <f t="shared" ref="H7:H70" si="7">- (G7^2)/2 - LOG(2*PI())/2</f>
        <v>-0.41167457622398823</v>
      </c>
      <c r="J7" s="6" t="s">
        <v>11</v>
      </c>
      <c r="K7">
        <v>1.7257551349528062E-2</v>
      </c>
      <c r="M7" t="s">
        <v>17</v>
      </c>
      <c r="P7" s="33">
        <f t="shared" si="4"/>
        <v>-6.5376159412983137E-3</v>
      </c>
      <c r="Q7" s="33">
        <f t="shared" si="5"/>
        <v>12.057869543751368</v>
      </c>
    </row>
    <row r="8" spans="1:18" x14ac:dyDescent="0.35">
      <c r="A8" s="13">
        <v>42381</v>
      </c>
      <c r="B8" s="14">
        <v>4378.75</v>
      </c>
      <c r="C8" s="2">
        <f t="shared" si="0"/>
        <v>1.5305814864795986E-2</v>
      </c>
      <c r="D8" s="2">
        <f t="shared" si="1"/>
        <v>-2.8530148462337757E-2</v>
      </c>
      <c r="E8" s="3">
        <f t="shared" si="2"/>
        <v>4.3835963327133742E-2</v>
      </c>
      <c r="F8">
        <f t="shared" si="6"/>
        <v>0.1669918031385797</v>
      </c>
      <c r="G8">
        <f t="shared" si="3"/>
        <v>0.26250368283499559</v>
      </c>
      <c r="H8">
        <f>- (G8^2)/2 - LOG(2*PI())/2</f>
        <v>-0.4335440259300255</v>
      </c>
      <c r="J8" s="1"/>
      <c r="L8" s="7" t="s">
        <v>19</v>
      </c>
      <c r="M8">
        <f>K9+K10</f>
        <v>3.9234342245562202</v>
      </c>
      <c r="P8" s="33">
        <f t="shared" si="4"/>
        <v>1.3618490587087861E-2</v>
      </c>
      <c r="Q8" s="33">
        <f t="shared" si="5"/>
        <v>2.8640071576952293</v>
      </c>
    </row>
    <row r="9" spans="1:18" x14ac:dyDescent="0.35">
      <c r="A9" s="13">
        <v>42382</v>
      </c>
      <c r="B9" s="14">
        <v>4391.9399999999996</v>
      </c>
      <c r="C9" s="2">
        <f t="shared" si="0"/>
        <v>3.0122751926919822E-3</v>
      </c>
      <c r="D9" s="2">
        <f t="shared" si="1"/>
        <v>4.2651066350445258E-2</v>
      </c>
      <c r="E9" s="3">
        <f t="shared" si="2"/>
        <v>-3.9638791157753275E-2</v>
      </c>
      <c r="F9">
        <f t="shared" si="6"/>
        <v>0.2626217560003839</v>
      </c>
      <c r="G9">
        <f t="shared" si="3"/>
        <v>-0.15093491019721661</v>
      </c>
      <c r="H9">
        <f t="shared" si="7"/>
        <v>-0.41048060773717843</v>
      </c>
      <c r="J9" s="6" t="s">
        <v>12</v>
      </c>
      <c r="K9">
        <v>0.86327642197720733</v>
      </c>
      <c r="P9" s="33">
        <f t="shared" si="4"/>
        <v>1.3249509149838579E-3</v>
      </c>
      <c r="Q9" s="33">
        <f t="shared" si="5"/>
        <v>13.159086943291276</v>
      </c>
    </row>
    <row r="10" spans="1:18" x14ac:dyDescent="0.35">
      <c r="A10" s="13">
        <v>42383</v>
      </c>
      <c r="B10" s="14">
        <v>4312.8900000000003</v>
      </c>
      <c r="C10" s="2">
        <f t="shared" si="0"/>
        <v>-1.7998879766116804E-2</v>
      </c>
      <c r="D10" s="2">
        <f t="shared" si="1"/>
        <v>2.2431186526358199E-2</v>
      </c>
      <c r="E10" s="3">
        <f t="shared" si="2"/>
        <v>-4.0430066292475003E-2</v>
      </c>
      <c r="F10">
        <f t="shared" si="6"/>
        <v>0.15616189630780922</v>
      </c>
      <c r="G10">
        <f t="shared" si="3"/>
        <v>-0.25889840766779426</v>
      </c>
      <c r="H10">
        <f t="shared" si="7"/>
        <v>-0.4326041269255172</v>
      </c>
      <c r="J10" s="6" t="s">
        <v>13</v>
      </c>
      <c r="K10">
        <v>3.0601578025790128</v>
      </c>
      <c r="P10" s="33">
        <f t="shared" si="4"/>
        <v>-1.9686204043824929E-2</v>
      </c>
      <c r="Q10" s="33">
        <f t="shared" si="5"/>
        <v>2.2462545901653996</v>
      </c>
    </row>
    <row r="11" spans="1:18" x14ac:dyDescent="0.35">
      <c r="A11" s="13">
        <v>42384</v>
      </c>
      <c r="B11" s="14">
        <v>4210.16</v>
      </c>
      <c r="C11" s="2">
        <f t="shared" si="0"/>
        <v>-2.3819295182580746E-2</v>
      </c>
      <c r="D11" s="2">
        <f t="shared" si="1"/>
        <v>-5.2478986203606019E-2</v>
      </c>
      <c r="E11" s="3">
        <f t="shared" si="2"/>
        <v>2.8659691021025273E-2</v>
      </c>
      <c r="F11">
        <f t="shared" si="6"/>
        <v>0.25896715467380921</v>
      </c>
      <c r="G11">
        <f t="shared" si="3"/>
        <v>0.11066921230657437</v>
      </c>
      <c r="H11">
        <f t="shared" si="7"/>
        <v>-0.40521377145533632</v>
      </c>
      <c r="J11" s="1"/>
      <c r="P11" s="33">
        <f t="shared" si="4"/>
        <v>-2.5506619460288871E-2</v>
      </c>
      <c r="Q11" s="33">
        <f t="shared" si="5"/>
        <v>1.2032132269801312</v>
      </c>
    </row>
    <row r="12" spans="1:18" x14ac:dyDescent="0.35">
      <c r="A12" s="13">
        <v>42387</v>
      </c>
      <c r="B12" s="14">
        <v>4189.57</v>
      </c>
      <c r="C12" s="2">
        <f t="shared" si="0"/>
        <v>-4.8905504778916642E-3</v>
      </c>
      <c r="D12" s="2">
        <f t="shared" si="1"/>
        <v>-8.8428810528998425E-2</v>
      </c>
      <c r="E12" s="3">
        <f t="shared" si="2"/>
        <v>8.3538260051106761E-2</v>
      </c>
      <c r="F12">
        <f t="shared" si="6"/>
        <v>0.11836580962715053</v>
      </c>
      <c r="G12">
        <f t="shared" si="3"/>
        <v>0.70576343214523085</v>
      </c>
      <c r="H12">
        <f t="shared" si="7"/>
        <v>-0.64814094525576549</v>
      </c>
      <c r="J12" s="6" t="s">
        <v>14</v>
      </c>
      <c r="K12">
        <f>SUM(H5:H735)</f>
        <v>-337.86455483364932</v>
      </c>
      <c r="P12" s="33">
        <f t="shared" si="4"/>
        <v>-6.5778747555997885E-3</v>
      </c>
      <c r="Q12" s="33">
        <f t="shared" si="5"/>
        <v>17.081565854140909</v>
      </c>
    </row>
    <row r="13" spans="1:18" x14ac:dyDescent="0.35">
      <c r="A13" s="13">
        <v>42388</v>
      </c>
      <c r="B13" s="14">
        <v>4272.26</v>
      </c>
      <c r="C13" s="2">
        <f t="shared" si="0"/>
        <v>1.9737109058925117E-2</v>
      </c>
      <c r="D13" s="2">
        <f t="shared" si="1"/>
        <v>-3.5528492123063936E-2</v>
      </c>
      <c r="E13" s="3">
        <f t="shared" si="2"/>
        <v>5.5265601181989053E-2</v>
      </c>
      <c r="F13">
        <f t="shared" si="6"/>
        <v>0.70011628903453793</v>
      </c>
      <c r="G13">
        <f t="shared" si="3"/>
        <v>7.8937745125456871E-2</v>
      </c>
      <c r="H13">
        <f>- (G13^2)/2 - LOG(2*PI())/2</f>
        <v>-0.40220551798180332</v>
      </c>
      <c r="J13" s="6" t="s">
        <v>15</v>
      </c>
      <c r="K13">
        <f>VAR(G5:G29)</f>
        <v>0.79999941153284071</v>
      </c>
      <c r="M13" t="s">
        <v>18</v>
      </c>
      <c r="P13" s="33">
        <f t="shared" si="4"/>
        <v>1.8049784781216993E-2</v>
      </c>
      <c r="Q13" s="33">
        <f t="shared" si="5"/>
        <v>2.8000859202324748</v>
      </c>
    </row>
    <row r="14" spans="1:18" x14ac:dyDescent="0.35">
      <c r="A14" s="13">
        <v>42389</v>
      </c>
      <c r="B14" s="14">
        <v>4124.95</v>
      </c>
      <c r="C14" s="2">
        <f t="shared" si="0"/>
        <v>-3.4480579365488095E-2</v>
      </c>
      <c r="D14" s="2">
        <f t="shared" si="1"/>
        <v>5.6176771368969383E-2</v>
      </c>
      <c r="E14" s="3">
        <f t="shared" si="2"/>
        <v>-9.0657350734457479E-2</v>
      </c>
      <c r="F14">
        <f t="shared" si="6"/>
        <v>0.12411451610480075</v>
      </c>
      <c r="G14">
        <f t="shared" si="3"/>
        <v>-0.73043309984714078</v>
      </c>
      <c r="H14">
        <f t="shared" si="7"/>
        <v>-0.66585619085520908</v>
      </c>
      <c r="P14" s="33">
        <f t="shared" si="4"/>
        <v>-3.616790364319622E-2</v>
      </c>
      <c r="Q14" s="33">
        <f t="shared" si="5"/>
        <v>2.6292293343886555</v>
      </c>
    </row>
    <row r="15" spans="1:18" x14ac:dyDescent="0.35">
      <c r="A15" s="13">
        <v>42390</v>
      </c>
      <c r="B15" s="14">
        <v>4206.3999999999996</v>
      </c>
      <c r="C15" s="2">
        <f t="shared" si="0"/>
        <v>1.974569388719849E-2</v>
      </c>
      <c r="D15" s="2">
        <f t="shared" si="1"/>
        <v>-8.8477433094180505E-2</v>
      </c>
      <c r="E15" s="3">
        <f t="shared" si="2"/>
        <v>0.10822312698137899</v>
      </c>
      <c r="F15">
        <f t="shared" si="6"/>
        <v>0.724552705949011</v>
      </c>
      <c r="G15">
        <f t="shared" si="3"/>
        <v>0.14936543068958602</v>
      </c>
      <c r="H15">
        <f t="shared" si="7"/>
        <v>-0.41024495012160028</v>
      </c>
      <c r="P15" s="33">
        <f t="shared" si="4"/>
        <v>1.8058369609490366E-2</v>
      </c>
      <c r="Q15" s="33">
        <f t="shared" si="5"/>
        <v>5.4808469937611113</v>
      </c>
    </row>
    <row r="16" spans="1:18" x14ac:dyDescent="0.35">
      <c r="A16" s="13">
        <v>42391</v>
      </c>
      <c r="B16" s="14">
        <v>4336.6899999999996</v>
      </c>
      <c r="C16" s="2">
        <f t="shared" si="0"/>
        <v>3.0974229745150295E-2</v>
      </c>
      <c r="D16" s="2">
        <f t="shared" si="1"/>
        <v>3.0658668033907488E-2</v>
      </c>
      <c r="E16" s="3">
        <f t="shared" si="2"/>
        <v>3.1556171124280663E-4</v>
      </c>
      <c r="F16">
        <f t="shared" si="6"/>
        <v>0.17830675987531311</v>
      </c>
      <c r="G16">
        <f t="shared" si="3"/>
        <v>1.7697686361609261E-3</v>
      </c>
      <c r="H16">
        <f t="shared" si="7"/>
        <v>-0.39909150021957029</v>
      </c>
      <c r="J16" s="7" t="s">
        <v>58</v>
      </c>
      <c r="K16" s="34">
        <f xml:space="preserve"> AVERAGE(C3,C735)</f>
        <v>1.6873242777081243E-3</v>
      </c>
      <c r="P16" s="33">
        <f t="shared" si="4"/>
        <v>2.928690546744217E-2</v>
      </c>
      <c r="Q16" s="33">
        <f t="shared" si="5"/>
        <v>1.0187879209238927E-2</v>
      </c>
    </row>
    <row r="17" spans="1:17" x14ac:dyDescent="0.35">
      <c r="A17" s="13">
        <v>42394</v>
      </c>
      <c r="B17" s="14">
        <v>4311.33</v>
      </c>
      <c r="C17" s="2">
        <f t="shared" si="0"/>
        <v>-5.8477779135699404E-3</v>
      </c>
      <c r="D17" s="2">
        <f t="shared" si="1"/>
        <v>0.11183202280189455</v>
      </c>
      <c r="E17" s="3">
        <f t="shared" si="2"/>
        <v>-0.11767980071546449</v>
      </c>
      <c r="F17">
        <f t="shared" si="6"/>
        <v>3.7130484042170724E-2</v>
      </c>
      <c r="G17">
        <f t="shared" si="3"/>
        <v>-3.1693581096818013</v>
      </c>
      <c r="H17">
        <f t="shared" si="7"/>
        <v>-5.4215053478819586</v>
      </c>
      <c r="P17" s="33">
        <f t="shared" si="4"/>
        <v>-7.5351021912780647E-3</v>
      </c>
      <c r="Q17" s="33">
        <f t="shared" si="5"/>
        <v>20.123849170534513</v>
      </c>
    </row>
    <row r="18" spans="1:17" x14ac:dyDescent="0.35">
      <c r="A18" s="13">
        <v>42395</v>
      </c>
      <c r="B18" s="14">
        <v>4356.8100000000004</v>
      </c>
      <c r="C18" s="2">
        <f t="shared" si="0"/>
        <v>1.0548948932232127E-2</v>
      </c>
      <c r="D18" s="2">
        <f t="shared" si="1"/>
        <v>8.8441990179330583E-3</v>
      </c>
      <c r="E18" s="3">
        <f t="shared" si="2"/>
        <v>1.7047499142990689E-3</v>
      </c>
      <c r="F18">
        <f t="shared" si="6"/>
        <v>3.1407047073054235</v>
      </c>
      <c r="G18">
        <f t="shared" si="3"/>
        <v>5.427921670998685E-4</v>
      </c>
      <c r="H18">
        <f t="shared" si="7"/>
        <v>-0.39909008149072583</v>
      </c>
      <c r="P18" s="33">
        <f t="shared" si="4"/>
        <v>8.8616246545240029E-3</v>
      </c>
      <c r="Q18" s="33">
        <f t="shared" si="5"/>
        <v>0.16160376974527155</v>
      </c>
    </row>
    <row r="19" spans="1:17" x14ac:dyDescent="0.35">
      <c r="A19" s="13">
        <v>42396</v>
      </c>
      <c r="B19" s="14">
        <v>4380.3599999999997</v>
      </c>
      <c r="C19" s="2">
        <f t="shared" si="0"/>
        <v>5.405330964627586E-3</v>
      </c>
      <c r="D19" s="2">
        <f t="shared" si="1"/>
        <v>2.7233199590233691E-2</v>
      </c>
      <c r="E19" s="3">
        <f t="shared" si="2"/>
        <v>-2.1827868625606105E-2</v>
      </c>
      <c r="F19">
        <f t="shared" si="6"/>
        <v>0.4135893475428935</v>
      </c>
      <c r="G19">
        <f t="shared" si="3"/>
        <v>-5.277667027761717E-2</v>
      </c>
      <c r="H19">
        <f t="shared" si="7"/>
        <v>-0.40048262264185369</v>
      </c>
      <c r="P19" s="33">
        <f t="shared" si="4"/>
        <v>3.7180066869194617E-3</v>
      </c>
      <c r="Q19" s="33">
        <f t="shared" si="5"/>
        <v>4.038211308141423</v>
      </c>
    </row>
    <row r="20" spans="1:17" x14ac:dyDescent="0.35">
      <c r="A20" s="13">
        <v>42397</v>
      </c>
      <c r="B20" s="14">
        <v>4322.16</v>
      </c>
      <c r="C20" s="2">
        <f t="shared" si="0"/>
        <v>-1.3286579185272429E-2</v>
      </c>
      <c r="D20" s="2">
        <f t="shared" si="1"/>
        <v>2.5647824616764681E-2</v>
      </c>
      <c r="E20" s="3">
        <f t="shared" si="2"/>
        <v>-3.893440380203711E-2</v>
      </c>
      <c r="F20">
        <f t="shared" si="6"/>
        <v>8.0708971008600097E-2</v>
      </c>
      <c r="G20">
        <f t="shared" si="3"/>
        <v>-0.4824049088407828</v>
      </c>
      <c r="H20">
        <f t="shared" si="7"/>
        <v>-0.51544718221589947</v>
      </c>
      <c r="P20" s="33">
        <f t="shared" si="4"/>
        <v>-1.4973903462980553E-2</v>
      </c>
      <c r="Q20" s="33">
        <f t="shared" si="5"/>
        <v>2.9303557566716747</v>
      </c>
    </row>
    <row r="21" spans="1:17" x14ac:dyDescent="0.35">
      <c r="A21" s="13">
        <v>42398</v>
      </c>
      <c r="B21" s="14">
        <v>4417.0200000000004</v>
      </c>
      <c r="C21" s="2">
        <f t="shared" si="0"/>
        <v>2.1947359653506693E-2</v>
      </c>
      <c r="D21" s="2">
        <f t="shared" si="1"/>
        <v>-3.5992734188649018E-2</v>
      </c>
      <c r="E21" s="3">
        <f t="shared" si="2"/>
        <v>5.7940093842155711E-2</v>
      </c>
      <c r="F21">
        <f t="shared" si="6"/>
        <v>0.47900450339477335</v>
      </c>
      <c r="G21">
        <f t="shared" si="3"/>
        <v>0.12095939272287837</v>
      </c>
      <c r="H21">
        <f t="shared" si="7"/>
        <v>-0.4064055215230013</v>
      </c>
      <c r="P21" s="33">
        <f t="shared" si="4"/>
        <v>2.0260035375798569E-2</v>
      </c>
      <c r="Q21" s="33">
        <f t="shared" si="5"/>
        <v>2.6399573687624969</v>
      </c>
    </row>
    <row r="22" spans="1:17" x14ac:dyDescent="0.35">
      <c r="A22" s="13">
        <v>42401</v>
      </c>
      <c r="B22" s="14">
        <v>4392.33</v>
      </c>
      <c r="C22" s="2">
        <f t="shared" si="0"/>
        <v>-5.5897414999254158E-3</v>
      </c>
      <c r="D22" s="2">
        <f t="shared" si="1"/>
        <v>5.5692393350307512E-2</v>
      </c>
      <c r="E22" s="3">
        <f t="shared" si="2"/>
        <v>-6.1282134850232928E-2</v>
      </c>
      <c r="F22">
        <f t="shared" si="6"/>
        <v>0.13839495932796092</v>
      </c>
      <c r="G22">
        <f t="shared" si="3"/>
        <v>-0.44280611915214213</v>
      </c>
      <c r="H22">
        <f t="shared" si="7"/>
        <v>-0.49712856375834807</v>
      </c>
      <c r="P22" s="33">
        <f t="shared" si="4"/>
        <v>-7.2770657776335401E-3</v>
      </c>
      <c r="Q22" s="33">
        <f t="shared" si="5"/>
        <v>10.96332180138395</v>
      </c>
    </row>
    <row r="23" spans="1:17" x14ac:dyDescent="0.35">
      <c r="A23" s="13">
        <v>42402</v>
      </c>
      <c r="B23" s="14">
        <v>4283.99</v>
      </c>
      <c r="C23" s="2">
        <f t="shared" si="0"/>
        <v>-2.4665724114536047E-2</v>
      </c>
      <c r="D23" s="2">
        <f t="shared" si="1"/>
        <v>1.8411470481297029E-3</v>
      </c>
      <c r="E23" s="3">
        <f t="shared" si="2"/>
        <v>-2.650687116266575E-2</v>
      </c>
      <c r="F23">
        <f t="shared" si="6"/>
        <v>0.44010085733776932</v>
      </c>
      <c r="G23">
        <f t="shared" si="3"/>
        <v>-6.0229083221990214E-2</v>
      </c>
      <c r="H23">
        <f t="shared" si="7"/>
        <v>-0.40090370541193826</v>
      </c>
      <c r="P23" s="33">
        <f t="shared" si="4"/>
        <v>-2.6353048392244172E-2</v>
      </c>
      <c r="Q23" s="33">
        <f t="shared" si="5"/>
        <v>1.0746439488084873</v>
      </c>
    </row>
    <row r="24" spans="1:17" x14ac:dyDescent="0.35">
      <c r="A24" s="13">
        <v>42404</v>
      </c>
      <c r="B24" s="14">
        <v>4228.53</v>
      </c>
      <c r="C24" s="2">
        <f t="shared" si="0"/>
        <v>-1.294587522379842E-2</v>
      </c>
      <c r="D24" s="2">
        <f t="shared" si="1"/>
        <v>-8.0306500147191914E-2</v>
      </c>
      <c r="E24" s="3">
        <f t="shared" si="2"/>
        <v>6.7360624923393495E-2</v>
      </c>
      <c r="F24">
        <f t="shared" si="6"/>
        <v>8.792870382962685E-2</v>
      </c>
      <c r="G24">
        <f t="shared" si="3"/>
        <v>0.76608231430220275</v>
      </c>
      <c r="H24">
        <f t="shared" si="7"/>
        <v>-0.69253099032236698</v>
      </c>
      <c r="P24" s="33">
        <f t="shared" si="4"/>
        <v>-1.4633199501506544E-2</v>
      </c>
      <c r="Q24" s="33">
        <f t="shared" si="5"/>
        <v>5.2032499741357281</v>
      </c>
    </row>
    <row r="25" spans="1:17" x14ac:dyDescent="0.35">
      <c r="A25" s="13">
        <v>42405</v>
      </c>
      <c r="B25" s="14">
        <v>4200.67</v>
      </c>
      <c r="C25" s="2">
        <f t="shared" si="0"/>
        <v>-6.5885780637714442E-3</v>
      </c>
      <c r="D25" s="2">
        <f t="shared" si="1"/>
        <v>-6.0909759136394653E-2</v>
      </c>
      <c r="E25" s="3">
        <f t="shared" si="2"/>
        <v>5.4321181072623209E-2</v>
      </c>
      <c r="F25">
        <f t="shared" si="6"/>
        <v>0.75975588628851842</v>
      </c>
      <c r="G25">
        <f t="shared" si="3"/>
        <v>7.1498203637470281E-2</v>
      </c>
      <c r="H25">
        <f t="shared" si="7"/>
        <v>-0.40164593074075011</v>
      </c>
      <c r="P25" s="33">
        <f t="shared" si="4"/>
        <v>-8.2759023414795685E-3</v>
      </c>
      <c r="Q25" s="33">
        <f t="shared" si="5"/>
        <v>8.2447503159017881</v>
      </c>
    </row>
    <row r="26" spans="1:17" x14ac:dyDescent="0.35">
      <c r="A26" s="13">
        <v>42408</v>
      </c>
      <c r="B26" s="14">
        <v>4066.31</v>
      </c>
      <c r="C26" s="2">
        <f t="shared" si="0"/>
        <v>-3.1985373761804659E-2</v>
      </c>
      <c r="D26" s="2">
        <f t="shared" si="1"/>
        <v>-3.1337957412315189E-2</v>
      </c>
      <c r="E26" s="3">
        <f t="shared" si="2"/>
        <v>-6.4741634948946997E-4</v>
      </c>
      <c r="F26">
        <f t="shared" si="6"/>
        <v>0.12572997863721219</v>
      </c>
      <c r="G26">
        <f t="shared" si="3"/>
        <v>-5.1492599975504543E-3</v>
      </c>
      <c r="H26">
        <f t="shared" si="7"/>
        <v>-0.3991031916183187</v>
      </c>
      <c r="P26" s="33">
        <f t="shared" si="4"/>
        <v>-3.3672698039512783E-2</v>
      </c>
      <c r="Q26" s="33">
        <f t="shared" si="5"/>
        <v>2.0241012479978657E-2</v>
      </c>
    </row>
    <row r="27" spans="1:17" x14ac:dyDescent="0.35">
      <c r="A27" s="13">
        <v>42409</v>
      </c>
      <c r="B27" s="14">
        <v>3997.54</v>
      </c>
      <c r="C27" s="2">
        <f t="shared" si="0"/>
        <v>-1.6912139015471062E-2</v>
      </c>
      <c r="D27" s="2">
        <f t="shared" si="1"/>
        <v>-0.10356805518240268</v>
      </c>
      <c r="E27" s="3">
        <f t="shared" si="2"/>
        <v>8.6655916166931621E-2</v>
      </c>
      <c r="F27">
        <f t="shared" si="6"/>
        <v>3.3552438151825792E-2</v>
      </c>
      <c r="G27">
        <f t="shared" si="3"/>
        <v>2.5827010178756904</v>
      </c>
      <c r="H27">
        <f t="shared" si="7"/>
        <v>-3.7342622080471215</v>
      </c>
      <c r="P27" s="33">
        <f t="shared" si="4"/>
        <v>-1.8599463293179186E-2</v>
      </c>
      <c r="Q27" s="33">
        <f t="shared" si="5"/>
        <v>5.1238885919551409</v>
      </c>
    </row>
    <row r="28" spans="1:17" x14ac:dyDescent="0.35">
      <c r="A28" s="13">
        <v>42410</v>
      </c>
      <c r="B28" s="14">
        <v>4061.2</v>
      </c>
      <c r="C28" s="2">
        <f t="shared" si="0"/>
        <v>1.5924793748155031E-2</v>
      </c>
      <c r="D28" s="2">
        <f t="shared" si="1"/>
        <v>-7.9366033183189091E-2</v>
      </c>
      <c r="E28" s="3">
        <f t="shared" si="2"/>
        <v>9.5290826931344122E-2</v>
      </c>
      <c r="F28">
        <f t="shared" si="6"/>
        <v>2.5594064203365869</v>
      </c>
      <c r="G28">
        <f t="shared" si="3"/>
        <v>3.7231612054334243E-2</v>
      </c>
      <c r="H28">
        <f t="shared" si="7"/>
        <v>-0.39978303064713977</v>
      </c>
      <c r="P28" s="33">
        <f t="shared" si="4"/>
        <v>1.4237469470446906E-2</v>
      </c>
      <c r="Q28" s="33">
        <f t="shared" si="5"/>
        <v>5.9838028949281714</v>
      </c>
    </row>
    <row r="29" spans="1:17" x14ac:dyDescent="0.35">
      <c r="A29" s="13">
        <v>42411</v>
      </c>
      <c r="B29" s="14">
        <v>3896.71</v>
      </c>
      <c r="C29" s="2">
        <f t="shared" si="0"/>
        <v>-4.0502807052102741E-2</v>
      </c>
      <c r="D29" s="2">
        <f t="shared" si="1"/>
        <v>3.4132530985621107E-2</v>
      </c>
      <c r="E29" s="3">
        <f t="shared" si="2"/>
        <v>-7.4635338037723847E-2</v>
      </c>
      <c r="F29">
        <f t="shared" si="6"/>
        <v>0.33946236014220521</v>
      </c>
      <c r="G29">
        <f t="shared" si="3"/>
        <v>-0.21986336867055933</v>
      </c>
      <c r="H29">
        <f t="shared" si="7"/>
        <v>-0.42325988462064068</v>
      </c>
      <c r="P29" s="33">
        <f t="shared" si="4"/>
        <v>-4.2190131329810865E-2</v>
      </c>
      <c r="Q29" s="33">
        <f t="shared" si="5"/>
        <v>1.8427201339826418</v>
      </c>
    </row>
    <row r="30" spans="1:17" x14ac:dyDescent="0.35">
      <c r="A30" s="13">
        <v>42412</v>
      </c>
      <c r="B30" s="14">
        <v>3995.06</v>
      </c>
      <c r="C30" s="2">
        <f t="shared" si="0"/>
        <v>2.5239240282186826E-2</v>
      </c>
      <c r="D30" s="2">
        <f t="shared" si="1"/>
        <v>-0.11019748205921219</v>
      </c>
      <c r="E30" s="3">
        <f t="shared" si="2"/>
        <v>0.13543672234139903</v>
      </c>
      <c r="F30">
        <f t="shared" si="6"/>
        <v>0.22423490077902841</v>
      </c>
      <c r="G30">
        <f t="shared" si="3"/>
        <v>0.60399483698063905</v>
      </c>
      <c r="H30">
        <f t="shared" si="7"/>
        <v>-0.58149481572869188</v>
      </c>
      <c r="P30" s="33">
        <f t="shared" si="4"/>
        <v>2.3551916004478701E-2</v>
      </c>
      <c r="Q30" s="33">
        <f t="shared" si="5"/>
        <v>5.3661172375694131</v>
      </c>
    </row>
    <row r="31" spans="1:17" x14ac:dyDescent="0.35">
      <c r="A31" s="13">
        <v>42415</v>
      </c>
      <c r="B31" s="14">
        <v>4115.25</v>
      </c>
      <c r="C31" s="2">
        <f t="shared" si="0"/>
        <v>3.0084654548367284E-2</v>
      </c>
      <c r="D31" s="2">
        <f t="shared" si="1"/>
        <v>4.2270939728728085E-2</v>
      </c>
      <c r="E31" s="3">
        <f t="shared" si="2"/>
        <v>-1.2186285180360801E-2</v>
      </c>
      <c r="F31">
        <f t="shared" si="6"/>
        <v>0.59992251598161062</v>
      </c>
      <c r="G31">
        <f t="shared" si="3"/>
        <v>-2.0313098534768689E-2</v>
      </c>
      <c r="H31">
        <f t="shared" si="7"/>
        <v>-0.39929624516509915</v>
      </c>
      <c r="P31" s="33">
        <f t="shared" si="4"/>
        <v>2.839733027065916E-2</v>
      </c>
      <c r="Q31" s="33">
        <f t="shared" si="5"/>
        <v>0.40506648200892037</v>
      </c>
    </row>
    <row r="32" spans="1:17" x14ac:dyDescent="0.35">
      <c r="A32" s="13">
        <v>42416</v>
      </c>
      <c r="B32" s="14">
        <v>4110.66</v>
      </c>
      <c r="C32" s="2">
        <f t="shared" si="0"/>
        <v>-1.1153635866594236E-3</v>
      </c>
      <c r="D32" s="2">
        <f t="shared" si="1"/>
        <v>0.11385223139830958</v>
      </c>
      <c r="E32" s="3">
        <f t="shared" si="2"/>
        <v>-0.114967594984969</v>
      </c>
      <c r="F32">
        <f t="shared" si="6"/>
        <v>8.6273963494407871E-2</v>
      </c>
      <c r="G32">
        <f t="shared" si="3"/>
        <v>-1.3325873801129005</v>
      </c>
      <c r="H32">
        <f t="shared" si="7"/>
        <v>-1.2869844969971393</v>
      </c>
      <c r="P32" s="33">
        <f t="shared" si="4"/>
        <v>-2.8026878643675479E-3</v>
      </c>
      <c r="Q32" s="33">
        <f t="shared" si="5"/>
        <v>103.07633883700954</v>
      </c>
    </row>
    <row r="33" spans="1:17" x14ac:dyDescent="0.35">
      <c r="A33" s="13">
        <v>42417</v>
      </c>
      <c r="B33" s="14">
        <v>4233.47</v>
      </c>
      <c r="C33" s="2">
        <f t="shared" si="0"/>
        <v>2.9875980986021844E-2</v>
      </c>
      <c r="D33" s="2">
        <f t="shared" si="1"/>
        <v>2.2558184352506477E-2</v>
      </c>
      <c r="E33" s="3">
        <f t="shared" si="2"/>
        <v>7.3177966335153666E-3</v>
      </c>
      <c r="F33">
        <f t="shared" si="6"/>
        <v>1.3208445355834679</v>
      </c>
      <c r="G33">
        <f t="shared" si="3"/>
        <v>5.5402406841792429E-3</v>
      </c>
      <c r="H33">
        <f t="shared" si="7"/>
        <v>-0.39910528131247686</v>
      </c>
      <c r="P33" s="33">
        <f t="shared" si="4"/>
        <v>2.818865670831372E-2</v>
      </c>
      <c r="Q33" s="33">
        <f t="shared" si="5"/>
        <v>0.24493912474168342</v>
      </c>
    </row>
    <row r="34" spans="1:17" x14ac:dyDescent="0.35">
      <c r="A34" s="13">
        <v>42418</v>
      </c>
      <c r="B34" s="14">
        <v>4239.76</v>
      </c>
      <c r="C34" s="2">
        <f t="shared" si="0"/>
        <v>1.485778805566218E-3</v>
      </c>
      <c r="D34" s="2">
        <f t="shared" si="1"/>
        <v>9.0462349237781958E-2</v>
      </c>
      <c r="E34" s="3">
        <f t="shared" si="2"/>
        <v>-8.897657043221574E-2</v>
      </c>
      <c r="F34">
        <f t="shared" si="6"/>
        <v>0.17596905646269115</v>
      </c>
      <c r="G34">
        <f t="shared" si="3"/>
        <v>-0.50563759459084501</v>
      </c>
      <c r="H34">
        <f t="shared" si="7"/>
        <v>-0.52692462271086538</v>
      </c>
      <c r="P34" s="33">
        <f t="shared" si="4"/>
        <v>-2.0154547214190632E-4</v>
      </c>
      <c r="Q34" s="33">
        <f t="shared" si="5"/>
        <v>59.885475616478125</v>
      </c>
    </row>
    <row r="35" spans="1:17" x14ac:dyDescent="0.35">
      <c r="A35" s="13">
        <v>42419</v>
      </c>
      <c r="B35" s="14">
        <v>4223.04</v>
      </c>
      <c r="C35" s="2">
        <f t="shared" si="0"/>
        <v>-3.9436194501576427E-3</v>
      </c>
      <c r="D35" s="2">
        <f t="shared" si="1"/>
        <v>3.0337947573432004E-2</v>
      </c>
      <c r="E35" s="3">
        <f t="shared" si="2"/>
        <v>-3.4281567023589643E-2</v>
      </c>
      <c r="F35">
        <f t="shared" si="6"/>
        <v>0.50240126954923736</v>
      </c>
      <c r="G35">
        <f t="shared" si="3"/>
        <v>-6.8235430723229712E-2</v>
      </c>
      <c r="H35">
        <f t="shared" si="7"/>
        <v>-0.40141797118204986</v>
      </c>
      <c r="P35" s="33">
        <f t="shared" si="4"/>
        <v>-5.630943727865767E-3</v>
      </c>
      <c r="Q35" s="33">
        <f t="shared" si="5"/>
        <v>8.6929196533451698</v>
      </c>
    </row>
    <row r="36" spans="1:17" x14ac:dyDescent="0.35">
      <c r="A36" s="13">
        <v>42422</v>
      </c>
      <c r="B36" s="14">
        <v>4298.7</v>
      </c>
      <c r="C36" s="2">
        <f t="shared" si="0"/>
        <v>1.7916003637190148E-2</v>
      </c>
      <c r="D36" s="2">
        <f t="shared" si="1"/>
        <v>-1.0785460019683493E-2</v>
      </c>
      <c r="E36" s="3">
        <f t="shared" si="2"/>
        <v>2.8701463656873642E-2</v>
      </c>
      <c r="F36">
        <f t="shared" si="6"/>
        <v>9.8765994261388879E-2</v>
      </c>
      <c r="G36">
        <f t="shared" si="3"/>
        <v>0.29060066545691687</v>
      </c>
      <c r="H36">
        <f t="shared" si="7"/>
        <v>-0.44131430756105899</v>
      </c>
      <c r="P36" s="33">
        <f t="shared" si="4"/>
        <v>1.6228679359482023E-2</v>
      </c>
      <c r="Q36" s="33">
        <f t="shared" si="5"/>
        <v>1.6020014417330755</v>
      </c>
    </row>
    <row r="37" spans="1:17" x14ac:dyDescent="0.35">
      <c r="A37" s="13">
        <v>42423</v>
      </c>
      <c r="B37" s="14">
        <v>4238.42</v>
      </c>
      <c r="C37" s="2">
        <f t="shared" si="0"/>
        <v>-1.4022844115662791E-2</v>
      </c>
      <c r="D37" s="2">
        <f t="shared" si="1"/>
        <v>5.1421364632809594E-2</v>
      </c>
      <c r="E37" s="3">
        <f t="shared" si="2"/>
        <v>-6.5444208748472385E-2</v>
      </c>
      <c r="F37">
        <f t="shared" si="6"/>
        <v>0.28968396758585502</v>
      </c>
      <c r="G37">
        <f t="shared" si="3"/>
        <v>-0.22591588099909732</v>
      </c>
      <c r="H37">
        <f t="shared" si="7"/>
        <v>-0.42460892682285667</v>
      </c>
      <c r="P37" s="33">
        <f t="shared" si="4"/>
        <v>-1.5710168393370916E-2</v>
      </c>
      <c r="Q37" s="33">
        <f t="shared" si="5"/>
        <v>4.6669711371443254</v>
      </c>
    </row>
    <row r="38" spans="1:17" x14ac:dyDescent="0.35">
      <c r="A38" s="13">
        <v>42424</v>
      </c>
      <c r="B38" s="14">
        <v>4155.34</v>
      </c>
      <c r="C38" s="2">
        <f t="shared" si="0"/>
        <v>-1.9601644008852337E-2</v>
      </c>
      <c r="D38" s="2">
        <f t="shared" si="1"/>
        <v>-2.7445652318850544E-2</v>
      </c>
      <c r="E38" s="3">
        <f t="shared" si="2"/>
        <v>7.8440083099982072E-3</v>
      </c>
      <c r="F38">
        <f t="shared" si="6"/>
        <v>0.22888886287765295</v>
      </c>
      <c r="G38">
        <f t="shared" si="3"/>
        <v>3.4269943112920413E-2</v>
      </c>
      <c r="H38">
        <f t="shared" si="7"/>
        <v>-0.39967714867953891</v>
      </c>
      <c r="P38" s="33">
        <f t="shared" si="4"/>
        <v>-2.1288968286560461E-2</v>
      </c>
      <c r="Q38" s="33">
        <f t="shared" si="5"/>
        <v>0.40017094007297344</v>
      </c>
    </row>
    <row r="39" spans="1:17" x14ac:dyDescent="0.35">
      <c r="A39" s="13">
        <v>42425</v>
      </c>
      <c r="B39" s="14">
        <v>4248.45</v>
      </c>
      <c r="C39" s="2">
        <f t="shared" si="0"/>
        <v>2.2407312037041383E-2</v>
      </c>
      <c r="D39" s="2">
        <f t="shared" si="1"/>
        <v>-7.2089714551179157E-2</v>
      </c>
      <c r="E39" s="3">
        <f t="shared" si="2"/>
        <v>9.449702658822054E-2</v>
      </c>
      <c r="F39">
        <f t="shared" si="6"/>
        <v>5.3705102164213411E-2</v>
      </c>
      <c r="G39">
        <f t="shared" si="3"/>
        <v>1.759553986123668</v>
      </c>
      <c r="H39">
        <f t="shared" si="7"/>
        <v>-1.9471050492209021</v>
      </c>
      <c r="P39" s="33">
        <f t="shared" si="4"/>
        <v>2.0719987759333258E-2</v>
      </c>
      <c r="Q39" s="33">
        <f t="shared" si="5"/>
        <v>4.217240623596803</v>
      </c>
    </row>
    <row r="40" spans="1:17" x14ac:dyDescent="0.35">
      <c r="A40" s="13">
        <v>42426</v>
      </c>
      <c r="B40" s="14">
        <v>4314.57</v>
      </c>
      <c r="C40" s="2">
        <f t="shared" si="0"/>
        <v>1.5563323094304859E-2</v>
      </c>
      <c r="D40" s="2">
        <f t="shared" si="1"/>
        <v>5.1648273660141811E-2</v>
      </c>
      <c r="E40" s="3">
        <f t="shared" si="2"/>
        <v>-3.6084950565836951E-2</v>
      </c>
      <c r="F40">
        <f t="shared" si="6"/>
        <v>1.7438224820554356</v>
      </c>
      <c r="G40">
        <f t="shared" si="3"/>
        <v>-2.069301831875902E-2</v>
      </c>
      <c r="H40">
        <f t="shared" si="7"/>
        <v>-0.39930403468262776</v>
      </c>
      <c r="P40" s="33">
        <f t="shared" si="4"/>
        <v>1.3875998816596735E-2</v>
      </c>
      <c r="Q40" s="33">
        <f t="shared" si="5"/>
        <v>2.3185890537119058</v>
      </c>
    </row>
    <row r="41" spans="1:17" x14ac:dyDescent="0.35">
      <c r="A41" s="13">
        <v>42429</v>
      </c>
      <c r="B41" s="14">
        <v>4353.55</v>
      </c>
      <c r="C41" s="2">
        <f t="shared" si="0"/>
        <v>9.0345040177817193E-3</v>
      </c>
      <c r="D41" s="2">
        <f t="shared" si="1"/>
        <v>6.6969928762559056E-2</v>
      </c>
      <c r="E41" s="3">
        <f t="shared" si="2"/>
        <v>-5.7935424744777336E-2</v>
      </c>
      <c r="F41">
        <f t="shared" si="6"/>
        <v>0.23178903937680168</v>
      </c>
      <c r="G41">
        <f t="shared" si="3"/>
        <v>-0.24994894021108632</v>
      </c>
      <c r="H41">
        <f t="shared" si="7"/>
        <v>-0.43032717053538011</v>
      </c>
      <c r="P41" s="33">
        <f t="shared" si="4"/>
        <v>7.347179740073595E-3</v>
      </c>
      <c r="Q41" s="33">
        <f t="shared" si="5"/>
        <v>6.4126845957175709</v>
      </c>
    </row>
    <row r="42" spans="1:17" x14ac:dyDescent="0.35">
      <c r="A42" s="13">
        <v>42430</v>
      </c>
      <c r="B42" s="14">
        <v>4406.84</v>
      </c>
      <c r="C42" s="2">
        <f t="shared" si="0"/>
        <v>1.2240585269492676E-2</v>
      </c>
      <c r="D42" s="2">
        <f t="shared" si="1"/>
        <v>4.108245783737291E-2</v>
      </c>
      <c r="E42" s="3">
        <f t="shared" si="2"/>
        <v>-2.8841872567880233E-2</v>
      </c>
      <c r="F42">
        <f t="shared" si="6"/>
        <v>0.25119466465766588</v>
      </c>
      <c r="G42">
        <f t="shared" si="3"/>
        <v>-0.11481881037237247</v>
      </c>
      <c r="H42">
        <f t="shared" si="7"/>
        <v>-0.40568161378672096</v>
      </c>
      <c r="P42" s="33">
        <f t="shared" si="4"/>
        <v>1.0553260991784552E-2</v>
      </c>
      <c r="Q42" s="33">
        <f t="shared" si="5"/>
        <v>2.3562494711558521</v>
      </c>
    </row>
    <row r="43" spans="1:17" x14ac:dyDescent="0.35">
      <c r="A43" s="13">
        <v>42431</v>
      </c>
      <c r="B43" s="14">
        <v>4424.8900000000003</v>
      </c>
      <c r="C43" s="2">
        <f t="shared" si="0"/>
        <v>4.0959054560638641E-3</v>
      </c>
      <c r="D43" s="2">
        <f t="shared" si="1"/>
        <v>4.5257396823381049E-2</v>
      </c>
      <c r="E43" s="3">
        <f t="shared" si="2"/>
        <v>-4.1161491367317185E-2</v>
      </c>
      <c r="F43">
        <f t="shared" si="6"/>
        <v>0.12190487302214142</v>
      </c>
      <c r="G43">
        <f t="shared" si="3"/>
        <v>-0.33765255109893005</v>
      </c>
      <c r="H43">
        <f t="shared" si="7"/>
        <v>-0.4560945568108653</v>
      </c>
      <c r="P43" s="33">
        <f t="shared" si="4"/>
        <v>2.4085811783557398E-3</v>
      </c>
      <c r="Q43" s="33">
        <f t="shared" si="5"/>
        <v>10.049424189315415</v>
      </c>
    </row>
    <row r="44" spans="1:17" x14ac:dyDescent="0.35">
      <c r="A44" s="13">
        <v>42432</v>
      </c>
      <c r="B44" s="14">
        <v>4416.08</v>
      </c>
      <c r="C44" s="2">
        <f t="shared" si="0"/>
        <v>-1.9910099460100916E-3</v>
      </c>
      <c r="D44" s="2">
        <f t="shared" si="1"/>
        <v>2.3101125694354331E-2</v>
      </c>
      <c r="E44" s="3">
        <f t="shared" si="2"/>
        <v>-2.5092135640364423E-2</v>
      </c>
      <c r="F44">
        <f t="shared" si="6"/>
        <v>0.33620058280549142</v>
      </c>
      <c r="G44">
        <f t="shared" si="3"/>
        <v>-7.4634420413487085E-2</v>
      </c>
      <c r="H44">
        <f t="shared" si="7"/>
        <v>-0.40187508253428611</v>
      </c>
      <c r="P44" s="33">
        <f t="shared" si="4"/>
        <v>-3.6783342237182159E-3</v>
      </c>
      <c r="Q44" s="33">
        <f t="shared" si="5"/>
        <v>12.602717374992581</v>
      </c>
    </row>
    <row r="45" spans="1:17" x14ac:dyDescent="0.35">
      <c r="A45" s="13">
        <v>42433</v>
      </c>
      <c r="B45" s="14">
        <v>4456.62</v>
      </c>
      <c r="C45" s="2">
        <f t="shared" si="0"/>
        <v>9.1800873172587227E-3</v>
      </c>
      <c r="D45" s="2">
        <f t="shared" si="1"/>
        <v>-2.5569060144274673E-3</v>
      </c>
      <c r="E45" s="3">
        <f t="shared" si="2"/>
        <v>1.173699333168619E-2</v>
      </c>
      <c r="F45">
        <f t="shared" si="6"/>
        <v>9.0813650386787417E-2</v>
      </c>
      <c r="G45">
        <f t="shared" si="3"/>
        <v>0.1292426114542998</v>
      </c>
      <c r="H45">
        <f t="shared" si="7"/>
        <v>-0.40744176048682107</v>
      </c>
      <c r="P45" s="33">
        <f t="shared" si="4"/>
        <v>7.4927630395505984E-3</v>
      </c>
      <c r="Q45" s="33">
        <f t="shared" si="5"/>
        <v>1.2785274176663266</v>
      </c>
    </row>
    <row r="46" spans="1:17" x14ac:dyDescent="0.35">
      <c r="A46" s="13">
        <v>42436</v>
      </c>
      <c r="B46" s="14">
        <v>4442.29</v>
      </c>
      <c r="C46" s="2">
        <f t="shared" si="0"/>
        <v>-3.2154412985625491E-3</v>
      </c>
      <c r="D46" s="2">
        <f t="shared" si="1"/>
        <v>2.6373723889953293E-2</v>
      </c>
      <c r="E46" s="3">
        <f t="shared" si="2"/>
        <v>-2.9589165188515842E-2</v>
      </c>
      <c r="F46">
        <f t="shared" si="6"/>
        <v>0.1317984211197758</v>
      </c>
      <c r="G46">
        <f t="shared" si="3"/>
        <v>-0.22450318400723324</v>
      </c>
      <c r="H46">
        <f t="shared" si="7"/>
        <v>-0.42429077399375031</v>
      </c>
      <c r="P46" s="33">
        <f t="shared" si="4"/>
        <v>-4.9027655762706734E-3</v>
      </c>
      <c r="Q46" s="33">
        <f t="shared" si="5"/>
        <v>9.2022097252229624</v>
      </c>
    </row>
    <row r="47" spans="1:17" x14ac:dyDescent="0.35">
      <c r="A47" s="13">
        <v>42437</v>
      </c>
      <c r="B47" s="14">
        <v>4404.0200000000004</v>
      </c>
      <c r="C47" s="2">
        <f t="shared" si="0"/>
        <v>-8.6149260854198051E-3</v>
      </c>
      <c r="D47" s="2">
        <f t="shared" si="1"/>
        <v>-1.9148048458495284E-3</v>
      </c>
      <c r="E47" s="3">
        <f t="shared" si="2"/>
        <v>-6.7001212395702767E-3</v>
      </c>
      <c r="F47">
        <f t="shared" si="6"/>
        <v>0.22498198266686259</v>
      </c>
      <c r="G47">
        <f t="shared" si="3"/>
        <v>-2.9780701370613054E-2</v>
      </c>
      <c r="H47">
        <f t="shared" si="7"/>
        <v>-0.39953337926612037</v>
      </c>
      <c r="P47" s="33">
        <f t="shared" si="4"/>
        <v>-1.0302250363127929E-2</v>
      </c>
      <c r="Q47" s="33">
        <f t="shared" si="5"/>
        <v>0.77773403661695839</v>
      </c>
    </row>
    <row r="48" spans="1:17" x14ac:dyDescent="0.35">
      <c r="A48" s="13">
        <v>42438</v>
      </c>
      <c r="B48" s="14">
        <v>4425.6499999999996</v>
      </c>
      <c r="C48" s="2">
        <f t="shared" si="0"/>
        <v>4.9114218373211838E-3</v>
      </c>
      <c r="D48" s="2">
        <f t="shared" si="1"/>
        <v>-2.9138847938239711E-2</v>
      </c>
      <c r="E48" s="3">
        <f t="shared" si="2"/>
        <v>3.4050269775560894E-2</v>
      </c>
      <c r="F48">
        <f t="shared" si="6"/>
        <v>5.0707965269420861E-2</v>
      </c>
      <c r="G48">
        <f t="shared" si="3"/>
        <v>0.67149745793674565</v>
      </c>
      <c r="H48">
        <f t="shared" si="7"/>
        <v>-0.62454435218681326</v>
      </c>
      <c r="P48" s="33">
        <f t="shared" si="4"/>
        <v>3.2240975596130594E-3</v>
      </c>
      <c r="Q48" s="33">
        <f t="shared" si="5"/>
        <v>6.9328742069797027</v>
      </c>
    </row>
    <row r="49" spans="1:17" x14ac:dyDescent="0.35">
      <c r="A49" s="13">
        <v>42439</v>
      </c>
      <c r="B49" s="14">
        <v>4350.3500000000004</v>
      </c>
      <c r="C49" s="2">
        <f t="shared" si="0"/>
        <v>-1.7014449854823477E-2</v>
      </c>
      <c r="D49" s="2">
        <f t="shared" si="1"/>
        <v>7.5926632906160533E-3</v>
      </c>
      <c r="E49" s="3">
        <f t="shared" si="2"/>
        <v>-2.4607113145439528E-2</v>
      </c>
      <c r="F49">
        <f t="shared" si="6"/>
        <v>0.66605231324428549</v>
      </c>
      <c r="G49">
        <f t="shared" si="3"/>
        <v>-3.6944715386664335E-2</v>
      </c>
      <c r="H49">
        <f t="shared" si="7"/>
        <v>-0.39977239017655836</v>
      </c>
      <c r="P49" s="33">
        <f t="shared" si="4"/>
        <v>-1.8701774132531601E-2</v>
      </c>
      <c r="Q49" s="33">
        <f t="shared" si="5"/>
        <v>1.4462479454464163</v>
      </c>
    </row>
    <row r="50" spans="1:17" x14ac:dyDescent="0.35">
      <c r="A50" s="13">
        <v>42440</v>
      </c>
      <c r="B50" s="14">
        <v>4492.79</v>
      </c>
      <c r="C50" s="2">
        <f t="shared" si="0"/>
        <v>3.2742193156872323E-2</v>
      </c>
      <c r="D50" s="2">
        <f t="shared" si="1"/>
        <v>-4.7826986809284058E-2</v>
      </c>
      <c r="E50" s="3">
        <f t="shared" si="2"/>
        <v>8.0569179966156382E-2</v>
      </c>
      <c r="F50">
        <f t="shared" si="6"/>
        <v>9.911127175381336E-2</v>
      </c>
      <c r="G50">
        <f t="shared" si="3"/>
        <v>0.81291641748161136</v>
      </c>
      <c r="H50">
        <f t="shared" si="7"/>
        <v>-0.72950648508462623</v>
      </c>
      <c r="P50" s="33">
        <f t="shared" si="4"/>
        <v>3.1054868879164199E-2</v>
      </c>
      <c r="Q50" s="33">
        <f t="shared" si="5"/>
        <v>2.4607142099534514</v>
      </c>
    </row>
    <row r="51" spans="1:17" x14ac:dyDescent="0.35">
      <c r="A51" s="13">
        <v>42443</v>
      </c>
      <c r="B51" s="14">
        <v>4506.59</v>
      </c>
      <c r="C51" s="2">
        <f t="shared" si="0"/>
        <v>3.0715880332712331E-3</v>
      </c>
      <c r="D51" s="2">
        <f t="shared" si="1"/>
        <v>8.550810446996937E-2</v>
      </c>
      <c r="E51" s="3">
        <f t="shared" si="2"/>
        <v>-8.2436516436698137E-2</v>
      </c>
      <c r="F51">
        <f t="shared" si="6"/>
        <v>0.80615056111355909</v>
      </c>
      <c r="G51">
        <f t="shared" si="3"/>
        <v>-0.10225945426723539</v>
      </c>
      <c r="H51">
        <f t="shared" si="7"/>
        <v>-0.4043184321725739</v>
      </c>
      <c r="P51" s="33">
        <f t="shared" si="4"/>
        <v>1.3842637555631088E-3</v>
      </c>
      <c r="Q51" s="33">
        <f t="shared" si="5"/>
        <v>26.838402658088061</v>
      </c>
    </row>
    <row r="52" spans="1:17" x14ac:dyDescent="0.35">
      <c r="A52" s="13">
        <v>42444</v>
      </c>
      <c r="B52" s="14">
        <v>4472.63</v>
      </c>
      <c r="C52" s="2">
        <f t="shared" si="0"/>
        <v>-7.5356311534885423E-3</v>
      </c>
      <c r="D52" s="2">
        <f t="shared" si="1"/>
        <v>3.766510744247463E-2</v>
      </c>
      <c r="E52" s="3">
        <f t="shared" si="2"/>
        <v>-4.5200738595963172E-2</v>
      </c>
      <c r="F52">
        <f t="shared" si="6"/>
        <v>0.14936574274607162</v>
      </c>
      <c r="G52">
        <f t="shared" si="3"/>
        <v>-0.30261784104542921</v>
      </c>
      <c r="H52">
        <f t="shared" si="7"/>
        <v>-0.44487871303855586</v>
      </c>
      <c r="P52" s="33">
        <f t="shared" si="4"/>
        <v>-9.2229554311966666E-3</v>
      </c>
      <c r="Q52" s="33">
        <f t="shared" si="5"/>
        <v>5.9982684496225582</v>
      </c>
    </row>
    <row r="53" spans="1:17" x14ac:dyDescent="0.35">
      <c r="A53" s="13">
        <v>42445</v>
      </c>
      <c r="B53" s="14">
        <v>4463</v>
      </c>
      <c r="C53" s="2">
        <f t="shared" si="0"/>
        <v>-2.1530956059410133E-3</v>
      </c>
      <c r="D53" s="2">
        <f t="shared" si="1"/>
        <v>-2.040859094455505E-2</v>
      </c>
      <c r="E53" s="3">
        <f t="shared" si="2"/>
        <v>1.8255495338614036E-2</v>
      </c>
      <c r="F53">
        <f t="shared" si="6"/>
        <v>0.3018830348885938</v>
      </c>
      <c r="G53">
        <f t="shared" si="3"/>
        <v>6.0472081001010876E-2</v>
      </c>
      <c r="H53">
        <f t="shared" si="7"/>
        <v>-0.40091837046935391</v>
      </c>
      <c r="P53" s="33">
        <f t="shared" si="4"/>
        <v>-3.8404198836491377E-3</v>
      </c>
      <c r="Q53" s="33">
        <f t="shared" si="5"/>
        <v>8.4787202613027706</v>
      </c>
    </row>
    <row r="54" spans="1:17" x14ac:dyDescent="0.35">
      <c r="A54" s="13">
        <v>42446</v>
      </c>
      <c r="B54" s="14">
        <v>4442.8900000000003</v>
      </c>
      <c r="C54" s="2">
        <f t="shared" si="0"/>
        <v>-4.5059377100604703E-3</v>
      </c>
      <c r="D54" s="2">
        <f t="shared" si="1"/>
        <v>-1.3094145017742543E-2</v>
      </c>
      <c r="E54" s="3">
        <f t="shared" si="2"/>
        <v>8.588207307682073E-3</v>
      </c>
      <c r="F54">
        <f t="shared" si="6"/>
        <v>7.7397684766852631E-2</v>
      </c>
      <c r="G54">
        <f t="shared" si="3"/>
        <v>0.11096206990625866</v>
      </c>
      <c r="H54">
        <f t="shared" si="7"/>
        <v>-0.40524622465799826</v>
      </c>
      <c r="P54" s="33">
        <f t="shared" si="4"/>
        <v>-6.1932619877685946E-3</v>
      </c>
      <c r="Q54" s="33">
        <f t="shared" si="5"/>
        <v>1.905975594937112</v>
      </c>
    </row>
    <row r="55" spans="1:17" x14ac:dyDescent="0.35">
      <c r="A55" s="13">
        <v>42447</v>
      </c>
      <c r="B55" s="14">
        <v>4462.51</v>
      </c>
      <c r="C55" s="2">
        <f t="shared" si="0"/>
        <v>4.4160445115679625E-3</v>
      </c>
      <c r="D55" s="2">
        <f t="shared" si="1"/>
        <v>-1.5647597112248165E-2</v>
      </c>
      <c r="E55" s="3">
        <f t="shared" si="2"/>
        <v>2.0063641623816127E-2</v>
      </c>
      <c r="F55">
        <f t="shared" si="6"/>
        <v>0.11410616528626294</v>
      </c>
      <c r="G55">
        <f t="shared" si="3"/>
        <v>0.17583310747041253</v>
      </c>
      <c r="H55">
        <f t="shared" si="7"/>
        <v>-0.41454857502040837</v>
      </c>
      <c r="P55" s="33">
        <f t="shared" si="4"/>
        <v>2.7287202338598382E-3</v>
      </c>
      <c r="Q55" s="33">
        <f t="shared" si="5"/>
        <v>4.543351311622609</v>
      </c>
    </row>
    <row r="56" spans="1:17" x14ac:dyDescent="0.35">
      <c r="A56" s="13">
        <v>42450</v>
      </c>
      <c r="B56" s="14">
        <v>4427.8</v>
      </c>
      <c r="C56" s="2">
        <f t="shared" si="0"/>
        <v>-7.7781338305124015E-3</v>
      </c>
      <c r="D56" s="2">
        <f t="shared" si="1"/>
        <v>9.6239232846177525E-3</v>
      </c>
      <c r="E56" s="3">
        <f t="shared" si="2"/>
        <v>-1.7402057115130154E-2</v>
      </c>
      <c r="F56">
        <f t="shared" si="6"/>
        <v>0.17722804193908165</v>
      </c>
      <c r="G56">
        <f t="shared" si="3"/>
        <v>-9.8190201306358388E-2</v>
      </c>
      <c r="H56">
        <f t="shared" si="7"/>
        <v>-0.40391059199534912</v>
      </c>
      <c r="P56" s="33">
        <f t="shared" si="4"/>
        <v>-9.4654581082205258E-3</v>
      </c>
      <c r="Q56" s="33">
        <f t="shared" si="5"/>
        <v>2.237304923562077</v>
      </c>
    </row>
    <row r="57" spans="1:17" x14ac:dyDescent="0.35">
      <c r="A57" s="13">
        <v>42451</v>
      </c>
      <c r="B57" s="14">
        <v>4431.97</v>
      </c>
      <c r="C57" s="2">
        <f t="shared" si="0"/>
        <v>9.4177695469532807E-4</v>
      </c>
      <c r="D57" s="2">
        <f t="shared" si="1"/>
        <v>-1.9990049825707835E-2</v>
      </c>
      <c r="E57" s="3">
        <f t="shared" si="2"/>
        <v>2.0931826780403163E-2</v>
      </c>
      <c r="F57">
        <f t="shared" si="6"/>
        <v>0.10409580331611452</v>
      </c>
      <c r="G57">
        <f t="shared" si="3"/>
        <v>0.20108233102191561</v>
      </c>
      <c r="H57">
        <f t="shared" si="7"/>
        <v>-0.41930698610366113</v>
      </c>
      <c r="P57" s="33">
        <f t="shared" si="4"/>
        <v>-7.4554732301279625E-4</v>
      </c>
      <c r="Q57" s="33">
        <f t="shared" si="5"/>
        <v>22.225885519968756</v>
      </c>
    </row>
    <row r="58" spans="1:17" x14ac:dyDescent="0.35">
      <c r="A58" s="13">
        <v>42452</v>
      </c>
      <c r="B58" s="14">
        <v>4423.9799999999996</v>
      </c>
      <c r="C58" s="2">
        <f t="shared" si="0"/>
        <v>-1.8028100370717226E-3</v>
      </c>
      <c r="D58" s="2">
        <f t="shared" si="1"/>
        <v>-3.8326934466646058E-3</v>
      </c>
      <c r="E58" s="3">
        <f t="shared" si="2"/>
        <v>2.0298834095928832E-3</v>
      </c>
      <c r="F58">
        <f t="shared" si="6"/>
        <v>0.2017840403863263</v>
      </c>
      <c r="G58">
        <f t="shared" si="3"/>
        <v>1.0059682647381642E-2</v>
      </c>
      <c r="H58">
        <f t="shared" si="7"/>
        <v>-0.39914053278654055</v>
      </c>
      <c r="P58" s="33">
        <f t="shared" si="4"/>
        <v>-3.4901343147798469E-3</v>
      </c>
      <c r="Q58" s="33">
        <f t="shared" si="5"/>
        <v>1.1259552409026923</v>
      </c>
    </row>
    <row r="59" spans="1:17" x14ac:dyDescent="0.35">
      <c r="A59" s="13">
        <v>42453</v>
      </c>
      <c r="B59" s="14">
        <v>4329.68</v>
      </c>
      <c r="C59" s="2">
        <f t="shared" si="0"/>
        <v>-2.1315647900758905E-2</v>
      </c>
      <c r="D59" s="2">
        <f t="shared" si="1"/>
        <v>-4.7038693617628179E-3</v>
      </c>
      <c r="E59" s="3">
        <f t="shared" si="2"/>
        <v>-1.6611778538996088E-2</v>
      </c>
      <c r="F59">
        <f t="shared" si="6"/>
        <v>4.0360404526380685E-2</v>
      </c>
      <c r="G59">
        <f t="shared" si="3"/>
        <v>-0.41158602679857104</v>
      </c>
      <c r="H59">
        <f t="shared" si="7"/>
        <v>-0.48379146290697456</v>
      </c>
      <c r="P59" s="33">
        <f t="shared" si="4"/>
        <v>-2.3002972178467029E-2</v>
      </c>
      <c r="Q59" s="33">
        <f t="shared" si="5"/>
        <v>0.77932318155830749</v>
      </c>
    </row>
    <row r="60" spans="1:17" x14ac:dyDescent="0.35">
      <c r="A60" s="13">
        <v>42458</v>
      </c>
      <c r="B60" s="14">
        <v>4366.67</v>
      </c>
      <c r="C60" s="2">
        <f t="shared" si="0"/>
        <v>8.5433565529091648E-3</v>
      </c>
      <c r="D60" s="2">
        <f t="shared" si="1"/>
        <v>-6.678556963884219E-2</v>
      </c>
      <c r="E60" s="3">
        <f t="shared" si="2"/>
        <v>7.5328926191751355E-2</v>
      </c>
      <c r="F60">
        <f t="shared" si="6"/>
        <v>0.40889427363984532</v>
      </c>
      <c r="G60">
        <f t="shared" si="3"/>
        <v>0.18422592598619073</v>
      </c>
      <c r="H60">
        <f t="shared" si="7"/>
        <v>-0.41605953008179225</v>
      </c>
      <c r="P60" s="33">
        <f t="shared" si="4"/>
        <v>6.8560322752010405E-3</v>
      </c>
      <c r="Q60" s="33">
        <f t="shared" si="5"/>
        <v>8.8172518289782147</v>
      </c>
    </row>
    <row r="61" spans="1:17" x14ac:dyDescent="0.35">
      <c r="A61" s="13">
        <v>42459</v>
      </c>
      <c r="B61" s="14">
        <v>4444.42</v>
      </c>
      <c r="C61" s="2">
        <f t="shared" si="0"/>
        <v>1.7805329919595492E-2</v>
      </c>
      <c r="D61" s="2">
        <f t="shared" si="1"/>
        <v>7.7427229637063999E-3</v>
      </c>
      <c r="E61" s="3">
        <f t="shared" si="2"/>
        <v>1.0062606955889092E-2</v>
      </c>
      <c r="F61">
        <f t="shared" si="6"/>
        <v>0.1924518391421291</v>
      </c>
      <c r="G61">
        <f t="shared" si="3"/>
        <v>5.2286364218414552E-2</v>
      </c>
      <c r="H61">
        <f t="shared" si="7"/>
        <v>-0.4004568661206479</v>
      </c>
      <c r="P61" s="33">
        <f t="shared" si="4"/>
        <v>1.6118005641887367E-2</v>
      </c>
      <c r="Q61" s="33">
        <f t="shared" si="5"/>
        <v>0.56514577384015685</v>
      </c>
    </row>
    <row r="62" spans="1:17" x14ac:dyDescent="0.35">
      <c r="A62" s="13">
        <v>42460</v>
      </c>
      <c r="B62" s="14">
        <v>4385.0600000000004</v>
      </c>
      <c r="C62" s="2">
        <f t="shared" si="0"/>
        <v>-1.335607345840395E-2</v>
      </c>
      <c r="D62" s="2">
        <f t="shared" si="1"/>
        <v>6.1862397557614641E-2</v>
      </c>
      <c r="E62" s="3">
        <f t="shared" si="2"/>
        <v>-7.5218471016018584E-2</v>
      </c>
      <c r="F62">
        <f t="shared" si="6"/>
        <v>6.4424579698840079E-2</v>
      </c>
      <c r="G62">
        <f t="shared" si="3"/>
        <v>-1.1675430614780222</v>
      </c>
      <c r="H62">
        <f t="shared" si="7"/>
        <v>-1.080668334381794</v>
      </c>
      <c r="P62" s="33">
        <f t="shared" si="4"/>
        <v>-1.5043397736112074E-2</v>
      </c>
      <c r="Q62" s="33">
        <f t="shared" si="5"/>
        <v>5.6317802721195269</v>
      </c>
    </row>
    <row r="63" spans="1:17" x14ac:dyDescent="0.35">
      <c r="A63" s="13">
        <v>42461</v>
      </c>
      <c r="B63" s="14">
        <v>4322.24</v>
      </c>
      <c r="C63" s="2">
        <f t="shared" si="0"/>
        <v>-1.432591572293207E-2</v>
      </c>
      <c r="D63" s="2">
        <f t="shared" si="1"/>
        <v>-2.5500770900441193E-2</v>
      </c>
      <c r="E63" s="3">
        <f t="shared" si="2"/>
        <v>1.1174855177509123E-2</v>
      </c>
      <c r="F63">
        <f t="shared" si="6"/>
        <v>1.1573259597790122</v>
      </c>
      <c r="G63">
        <f t="shared" si="3"/>
        <v>9.6557543560527471E-3</v>
      </c>
      <c r="H63">
        <f t="shared" si="7"/>
        <v>-0.39913655097514972</v>
      </c>
      <c r="P63" s="33">
        <f t="shared" si="4"/>
        <v>-1.6013240000640194E-2</v>
      </c>
      <c r="Q63" s="33">
        <f t="shared" si="5"/>
        <v>0.78004473805615671</v>
      </c>
    </row>
    <row r="64" spans="1:17" x14ac:dyDescent="0.35">
      <c r="A64" s="13">
        <v>42464</v>
      </c>
      <c r="B64" s="14">
        <v>4345.22</v>
      </c>
      <c r="C64" s="2">
        <f t="shared" si="0"/>
        <v>5.3166876434442845E-3</v>
      </c>
      <c r="D64" s="2">
        <f t="shared" si="1"/>
        <v>-5.5369546085455634E-2</v>
      </c>
      <c r="E64" s="3">
        <f t="shared" si="2"/>
        <v>6.0686233728899919E-2</v>
      </c>
      <c r="F64">
        <f t="shared" si="6"/>
        <v>0.15502674917356141</v>
      </c>
      <c r="G64">
        <f t="shared" si="3"/>
        <v>0.39145653283974996</v>
      </c>
      <c r="H64">
        <f t="shared" si="7"/>
        <v>-0.47570904273051662</v>
      </c>
      <c r="P64" s="33">
        <f t="shared" si="4"/>
        <v>3.6293633657361601E-3</v>
      </c>
      <c r="Q64" s="33">
        <f t="shared" si="5"/>
        <v>11.414293597580212</v>
      </c>
    </row>
    <row r="65" spans="1:17" x14ac:dyDescent="0.35">
      <c r="A65" s="13">
        <v>42466</v>
      </c>
      <c r="B65" s="14">
        <v>4284.6400000000003</v>
      </c>
      <c r="C65" s="2">
        <f t="shared" si="0"/>
        <v>-1.3941756688959361E-2</v>
      </c>
      <c r="D65" s="2">
        <f t="shared" si="1"/>
        <v>3.9026779091216376E-3</v>
      </c>
      <c r="E65" s="3">
        <f t="shared" si="2"/>
        <v>-1.7844434598081001E-2</v>
      </c>
      <c r="F65">
        <f t="shared" si="6"/>
        <v>0.38949796301016509</v>
      </c>
      <c r="G65">
        <f t="shared" si="3"/>
        <v>-4.5813935611302023E-2</v>
      </c>
      <c r="H65">
        <f t="shared" si="7"/>
        <v>-0.4001393925271558</v>
      </c>
      <c r="P65" s="33">
        <f t="shared" si="4"/>
        <v>-1.5629080966667486E-2</v>
      </c>
      <c r="Q65" s="33">
        <f t="shared" si="5"/>
        <v>1.2799272714472356</v>
      </c>
    </row>
    <row r="66" spans="1:17" x14ac:dyDescent="0.35">
      <c r="A66" s="13">
        <v>42467</v>
      </c>
      <c r="B66" s="14">
        <v>4245.91</v>
      </c>
      <c r="C66" s="2">
        <f t="shared" si="0"/>
        <v>-9.0392658426380335E-3</v>
      </c>
      <c r="D66" s="2">
        <f t="shared" si="1"/>
        <v>-3.8074204427774122E-2</v>
      </c>
      <c r="E66" s="3">
        <f t="shared" si="2"/>
        <v>2.9034938585136089E-2</v>
      </c>
      <c r="F66">
        <f t="shared" si="6"/>
        <v>7.4202438131618184E-2</v>
      </c>
      <c r="G66">
        <f t="shared" si="3"/>
        <v>0.39129359245089407</v>
      </c>
      <c r="H66">
        <f t="shared" si="7"/>
        <v>-0.47564527192562073</v>
      </c>
      <c r="P66" s="33">
        <f t="shared" si="4"/>
        <v>-1.0726590120346158E-2</v>
      </c>
      <c r="Q66" s="33">
        <f t="shared" si="5"/>
        <v>3.2120903501010969</v>
      </c>
    </row>
    <row r="67" spans="1:17" x14ac:dyDescent="0.35">
      <c r="A67" s="13">
        <v>42468</v>
      </c>
      <c r="B67" s="14">
        <v>4303.12</v>
      </c>
      <c r="C67" s="2">
        <f t="shared" si="0"/>
        <v>1.3474143352072865E-2</v>
      </c>
      <c r="D67" s="2">
        <f t="shared" si="1"/>
        <v>-3.9697169728456369E-2</v>
      </c>
      <c r="E67" s="3">
        <f t="shared" si="2"/>
        <v>5.3171313080529234E-2</v>
      </c>
      <c r="F67">
        <f t="shared" si="6"/>
        <v>0.38892633290137191</v>
      </c>
      <c r="G67">
        <f t="shared" si="3"/>
        <v>0.1367130702718784</v>
      </c>
      <c r="H67">
        <f t="shared" si="7"/>
        <v>-0.40843516597063928</v>
      </c>
      <c r="P67" s="33">
        <f t="shared" si="4"/>
        <v>1.1786819074364741E-2</v>
      </c>
      <c r="Q67" s="33">
        <f t="shared" si="5"/>
        <v>3.9461739192754952</v>
      </c>
    </row>
    <row r="68" spans="1:17" x14ac:dyDescent="0.35">
      <c r="A68" s="13">
        <v>42471</v>
      </c>
      <c r="B68" s="14">
        <v>4312.63</v>
      </c>
      <c r="C68" s="2">
        <f t="shared" ref="C68:C131" si="8">(B68/B67)-1</f>
        <v>2.2100243544218579E-3</v>
      </c>
      <c r="D68" s="2">
        <f t="shared" si="1"/>
        <v>3.3429619837980561E-2</v>
      </c>
      <c r="E68" s="3">
        <f t="shared" si="2"/>
        <v>-3.1219595483558703E-2</v>
      </c>
      <c r="F68">
        <f t="shared" si="6"/>
        <v>0.14761375343637922</v>
      </c>
      <c r="G68">
        <f t="shared" si="3"/>
        <v>-0.21149516733218351</v>
      </c>
      <c r="H68">
        <f t="shared" si="7"/>
        <v>-0.42145503708149168</v>
      </c>
      <c r="P68" s="33">
        <f t="shared" si="4"/>
        <v>5.2270007671373353E-4</v>
      </c>
      <c r="Q68" s="33">
        <f t="shared" si="5"/>
        <v>14.12635811958088</v>
      </c>
    </row>
    <row r="69" spans="1:17" x14ac:dyDescent="0.35">
      <c r="A69" s="13">
        <v>42472</v>
      </c>
      <c r="B69" s="14">
        <v>4345.91</v>
      </c>
      <c r="C69" s="2">
        <f t="shared" si="8"/>
        <v>7.7168688248236972E-3</v>
      </c>
      <c r="D69" s="2">
        <f t="shared" si="1"/>
        <v>1.8394933534259132E-2</v>
      </c>
      <c r="E69" s="3">
        <f t="shared" si="2"/>
        <v>-1.0678064709435435E-2</v>
      </c>
      <c r="F69">
        <f t="shared" si="6"/>
        <v>0.21242468166304529</v>
      </c>
      <c r="G69">
        <f t="shared" si="3"/>
        <v>-5.026753306554705E-2</v>
      </c>
      <c r="H69">
        <f t="shared" si="7"/>
        <v>-0.40035334661930544</v>
      </c>
      <c r="P69" s="33">
        <f t="shared" si="4"/>
        <v>6.0295445471155729E-3</v>
      </c>
      <c r="Q69" s="33">
        <f t="shared" si="5"/>
        <v>1.3837302346109779</v>
      </c>
    </row>
    <row r="70" spans="1:17" x14ac:dyDescent="0.35">
      <c r="A70" s="13">
        <v>42473</v>
      </c>
      <c r="B70" s="14">
        <v>4490.3100000000004</v>
      </c>
      <c r="C70" s="2">
        <f t="shared" si="8"/>
        <v>3.3226642981562193E-2</v>
      </c>
      <c r="D70" s="2">
        <f t="shared" ref="D70:D133" si="9">C69*$K$10+C68*$K$9</f>
        <v>2.5522698262930764E-2</v>
      </c>
      <c r="E70" s="3">
        <f t="shared" ref="E70:E133" si="10">C70-D70</f>
        <v>7.7039447186314294E-3</v>
      </c>
      <c r="F70">
        <f t="shared" si="6"/>
        <v>6.3927970803359768E-2</v>
      </c>
      <c r="G70">
        <f t="shared" ref="G70:G133" si="11">E70/F70</f>
        <v>0.12050976469014631</v>
      </c>
      <c r="H70">
        <f t="shared" si="7"/>
        <v>-0.40635123587189476</v>
      </c>
      <c r="P70" s="33">
        <f t="shared" ref="P70:P133" si="12" xml:space="preserve"> C70-$K$16</f>
        <v>3.1539318703854069E-2</v>
      </c>
      <c r="Q70" s="33">
        <f t="shared" ref="Q70:Q133" si="13" xml:space="preserve"> ABS(E70)/ABS(C70)</f>
        <v>0.23186045977941339</v>
      </c>
    </row>
    <row r="71" spans="1:17" x14ac:dyDescent="0.35">
      <c r="A71" s="13">
        <v>42474</v>
      </c>
      <c r="B71" s="14">
        <v>4511.51</v>
      </c>
      <c r="C71" s="2">
        <f t="shared" si="8"/>
        <v>4.7212775955334241E-3</v>
      </c>
      <c r="D71" s="2">
        <f t="shared" si="9"/>
        <v>0.108340561681496</v>
      </c>
      <c r="E71" s="3">
        <f t="shared" si="10"/>
        <v>-0.10361928408596258</v>
      </c>
      <c r="F71">
        <f t="shared" ref="F71:F134" si="14">($K$5+$K$6*G70^2+$K$7*F70^2)^(1/2)</f>
        <v>0.1231154764312864</v>
      </c>
      <c r="G71">
        <f t="shared" si="11"/>
        <v>-0.84164304187861305</v>
      </c>
      <c r="H71">
        <f t="shared" ref="H71:H134" si="15">- (G71^2)/2 - LOG(2*PI())/2</f>
        <v>-0.75327143915039985</v>
      </c>
      <c r="P71" s="33">
        <f t="shared" si="12"/>
        <v>3.0339533178252998E-3</v>
      </c>
      <c r="Q71" s="33">
        <f t="shared" si="13"/>
        <v>21.947297524719126</v>
      </c>
    </row>
    <row r="72" spans="1:17" x14ac:dyDescent="0.35">
      <c r="A72" s="13">
        <v>42475</v>
      </c>
      <c r="B72" s="14">
        <v>4495.17</v>
      </c>
      <c r="C72" s="2">
        <f t="shared" si="8"/>
        <v>-3.621847230749875E-3</v>
      </c>
      <c r="D72" s="2">
        <f t="shared" si="9"/>
        <v>4.3131631939550191E-2</v>
      </c>
      <c r="E72" s="3">
        <f t="shared" si="10"/>
        <v>-4.6753479170300066E-2</v>
      </c>
      <c r="F72">
        <f t="shared" si="14"/>
        <v>0.83465031012386981</v>
      </c>
      <c r="G72">
        <f t="shared" si="11"/>
        <v>-5.6015649432109384E-2</v>
      </c>
      <c r="H72">
        <f t="shared" si="15"/>
        <v>-0.40065881066970799</v>
      </c>
      <c r="P72" s="33">
        <f t="shared" si="12"/>
        <v>-5.3091715084579993E-3</v>
      </c>
      <c r="Q72" s="33">
        <f t="shared" si="13"/>
        <v>12.908738605360814</v>
      </c>
    </row>
    <row r="73" spans="1:17" x14ac:dyDescent="0.35">
      <c r="A73" s="13">
        <v>42478</v>
      </c>
      <c r="B73" s="14">
        <v>4506.84</v>
      </c>
      <c r="C73" s="2">
        <f t="shared" si="8"/>
        <v>2.5961198352899562E-3</v>
      </c>
      <c r="D73" s="2">
        <f t="shared" si="9"/>
        <v>-7.0076564330951736E-3</v>
      </c>
      <c r="E73" s="3">
        <f t="shared" si="10"/>
        <v>9.6037762683851297E-3</v>
      </c>
      <c r="F73">
        <f t="shared" si="14"/>
        <v>0.12621510014896289</v>
      </c>
      <c r="G73">
        <f t="shared" si="11"/>
        <v>7.6090549047225425E-2</v>
      </c>
      <c r="H73">
        <f t="shared" si="15"/>
        <v>-0.40198482000621161</v>
      </c>
      <c r="P73" s="33">
        <f t="shared" si="12"/>
        <v>9.0879555758183184E-4</v>
      </c>
      <c r="Q73" s="33">
        <f t="shared" si="13"/>
        <v>3.6992808027725346</v>
      </c>
    </row>
    <row r="74" spans="1:17" x14ac:dyDescent="0.35">
      <c r="A74" s="13">
        <v>42479</v>
      </c>
      <c r="B74" s="14">
        <v>4566.4799999999996</v>
      </c>
      <c r="C74" s="2">
        <f t="shared" si="8"/>
        <v>1.3233218840695393E-2</v>
      </c>
      <c r="D74" s="2">
        <f t="shared" si="9"/>
        <v>4.8178810520828922E-3</v>
      </c>
      <c r="E74" s="3">
        <f t="shared" si="10"/>
        <v>8.4153377886125001E-3</v>
      </c>
      <c r="F74">
        <f t="shared" si="14"/>
        <v>8.2382684464627598E-2</v>
      </c>
      <c r="G74">
        <f t="shared" si="11"/>
        <v>0.10214935144806755</v>
      </c>
      <c r="H74">
        <f t="shared" si="15"/>
        <v>-0.40430717917968795</v>
      </c>
      <c r="P74" s="33">
        <f t="shared" si="12"/>
        <v>1.1545894562987269E-2</v>
      </c>
      <c r="Q74" s="33">
        <f t="shared" si="13"/>
        <v>0.63592523405819246</v>
      </c>
    </row>
    <row r="75" spans="1:17" x14ac:dyDescent="0.35">
      <c r="A75" s="13">
        <v>42480</v>
      </c>
      <c r="B75" s="14">
        <v>4591.92</v>
      </c>
      <c r="C75" s="2">
        <f t="shared" si="8"/>
        <v>5.5710306406686616E-3</v>
      </c>
      <c r="D75" s="2">
        <f t="shared" si="9"/>
        <v>4.2736906931022778E-2</v>
      </c>
      <c r="E75" s="3">
        <f t="shared" si="10"/>
        <v>-3.7165876290354116E-2</v>
      </c>
      <c r="F75">
        <f t="shared" si="14"/>
        <v>0.10578202122651836</v>
      </c>
      <c r="G75">
        <f t="shared" si="11"/>
        <v>-0.35134397943454165</v>
      </c>
      <c r="H75">
        <f t="shared" si="15"/>
        <v>-0.46081123012150732</v>
      </c>
      <c r="P75" s="33">
        <f t="shared" si="12"/>
        <v>3.8837063629605373E-3</v>
      </c>
      <c r="Q75" s="33">
        <f t="shared" si="13"/>
        <v>6.671274794118399</v>
      </c>
    </row>
    <row r="76" spans="1:17" x14ac:dyDescent="0.35">
      <c r="A76" s="13">
        <v>42481</v>
      </c>
      <c r="B76" s="14">
        <v>4582.83</v>
      </c>
      <c r="C76" s="2">
        <f t="shared" si="8"/>
        <v>-1.9795641039043188E-3</v>
      </c>
      <c r="D76" s="2">
        <f t="shared" si="9"/>
        <v>2.8472158695485847E-2</v>
      </c>
      <c r="E76" s="3">
        <f t="shared" si="10"/>
        <v>-3.0451722799390166E-2</v>
      </c>
      <c r="F76">
        <f t="shared" si="14"/>
        <v>0.34961440126227183</v>
      </c>
      <c r="G76">
        <f t="shared" si="11"/>
        <v>-8.7100882256123252E-2</v>
      </c>
      <c r="H76">
        <f t="shared" si="15"/>
        <v>-0.40288321602395505</v>
      </c>
      <c r="P76" s="33">
        <f t="shared" si="12"/>
        <v>-3.6668883816124431E-3</v>
      </c>
      <c r="Q76" s="33">
        <f t="shared" si="13"/>
        <v>15.383044549721758</v>
      </c>
    </row>
    <row r="77" spans="1:17" x14ac:dyDescent="0.35">
      <c r="A77" s="13">
        <v>42482</v>
      </c>
      <c r="B77" s="14">
        <v>4569.66</v>
      </c>
      <c r="C77" s="2">
        <f t="shared" si="8"/>
        <v>-2.8737701376660985E-3</v>
      </c>
      <c r="D77" s="2">
        <f t="shared" si="9"/>
        <v>-1.2484391400663019E-3</v>
      </c>
      <c r="E77" s="3">
        <f t="shared" si="10"/>
        <v>-1.6253309975997965E-3</v>
      </c>
      <c r="F77">
        <f t="shared" si="14"/>
        <v>0.10191016644922278</v>
      </c>
      <c r="G77">
        <f t="shared" si="11"/>
        <v>-1.5948663948160906E-2</v>
      </c>
      <c r="H77">
        <f t="shared" si="15"/>
        <v>-0.39921711411992322</v>
      </c>
      <c r="P77" s="33">
        <f t="shared" si="12"/>
        <v>-4.5610944153742228E-3</v>
      </c>
      <c r="Q77" s="33">
        <f t="shared" si="13"/>
        <v>0.56557446133106237</v>
      </c>
    </row>
    <row r="78" spans="1:17" x14ac:dyDescent="0.35">
      <c r="A78" s="13">
        <v>42485</v>
      </c>
      <c r="B78" s="14">
        <v>4546.12</v>
      </c>
      <c r="C78" s="2">
        <f t="shared" si="8"/>
        <v>-5.1513679354699971E-3</v>
      </c>
      <c r="D78" s="2">
        <f t="shared" si="9"/>
        <v>-1.0503101126290512E-2</v>
      </c>
      <c r="E78" s="3">
        <f t="shared" si="10"/>
        <v>5.3517331908205148E-3</v>
      </c>
      <c r="F78">
        <f t="shared" si="14"/>
        <v>3.5438880429659515E-2</v>
      </c>
      <c r="G78">
        <f t="shared" si="11"/>
        <v>0.15101304346910296</v>
      </c>
      <c r="H78">
        <f t="shared" si="15"/>
        <v>-0.4104924038279581</v>
      </c>
      <c r="P78" s="33">
        <f t="shared" si="12"/>
        <v>-6.8386922131781214E-3</v>
      </c>
      <c r="Q78" s="33">
        <f t="shared" si="13"/>
        <v>1.0388955434479632</v>
      </c>
    </row>
    <row r="79" spans="1:17" x14ac:dyDescent="0.35">
      <c r="A79" s="13">
        <v>42486</v>
      </c>
      <c r="B79" s="14">
        <v>4533.18</v>
      </c>
      <c r="C79" s="2">
        <f t="shared" si="8"/>
        <v>-2.8463832894862762E-3</v>
      </c>
      <c r="D79" s="2">
        <f t="shared" si="9"/>
        <v>-1.8244856783713188E-2</v>
      </c>
      <c r="E79" s="3">
        <f t="shared" si="10"/>
        <v>1.5398473494226912E-2</v>
      </c>
      <c r="F79">
        <f t="shared" si="14"/>
        <v>0.15245038817075868</v>
      </c>
      <c r="G79">
        <f t="shared" si="11"/>
        <v>0.10100645645440524</v>
      </c>
      <c r="H79">
        <f t="shared" si="15"/>
        <v>-0.40419108630179534</v>
      </c>
      <c r="P79" s="33">
        <f t="shared" si="12"/>
        <v>-4.5337075671944005E-3</v>
      </c>
      <c r="Q79" s="33">
        <f t="shared" si="13"/>
        <v>5.4098383556088381</v>
      </c>
    </row>
    <row r="80" spans="1:17" x14ac:dyDescent="0.35">
      <c r="A80" s="13">
        <v>42487</v>
      </c>
      <c r="B80" s="14">
        <v>4559.3999999999996</v>
      </c>
      <c r="C80" s="2">
        <f t="shared" si="8"/>
        <v>5.7840191653539819E-3</v>
      </c>
      <c r="D80" s="2">
        <f t="shared" si="9"/>
        <v>-1.3157436512072598E-2</v>
      </c>
      <c r="E80" s="3">
        <f t="shared" si="10"/>
        <v>1.894145567742658E-2</v>
      </c>
      <c r="F80">
        <f t="shared" si="14"/>
        <v>0.10604625718042537</v>
      </c>
      <c r="G80">
        <f t="shared" si="11"/>
        <v>0.17861503254376904</v>
      </c>
      <c r="H80">
        <f t="shared" si="15"/>
        <v>-0.41504159910436333</v>
      </c>
      <c r="P80" s="33">
        <f t="shared" si="12"/>
        <v>4.0966948876458575E-3</v>
      </c>
      <c r="Q80" s="33">
        <f t="shared" si="13"/>
        <v>3.2747913061708127</v>
      </c>
    </row>
    <row r="81" spans="1:17" x14ac:dyDescent="0.35">
      <c r="A81" s="13">
        <v>42488</v>
      </c>
      <c r="B81" s="14">
        <v>4557.3599999999997</v>
      </c>
      <c r="C81" s="2">
        <f t="shared" si="8"/>
        <v>-4.4742729306490592E-4</v>
      </c>
      <c r="D81" s="2">
        <f t="shared" si="9"/>
        <v>1.524279579740111E-2</v>
      </c>
      <c r="E81" s="3">
        <f t="shared" si="10"/>
        <v>-1.5690223090466016E-2</v>
      </c>
      <c r="F81">
        <f t="shared" si="14"/>
        <v>0.17985375423528474</v>
      </c>
      <c r="G81">
        <f t="shared" si="11"/>
        <v>-8.7238785518705717E-2</v>
      </c>
      <c r="H81">
        <f t="shared" si="15"/>
        <v>-0.40289523702844687</v>
      </c>
      <c r="P81" s="33">
        <f t="shared" si="12"/>
        <v>-2.1347515707730302E-3</v>
      </c>
      <c r="Q81" s="33">
        <f t="shared" si="13"/>
        <v>35.067648607189277</v>
      </c>
    </row>
    <row r="82" spans="1:17" x14ac:dyDescent="0.35">
      <c r="A82" s="13">
        <v>42489</v>
      </c>
      <c r="B82" s="14">
        <v>4428.96</v>
      </c>
      <c r="C82" s="2">
        <f t="shared" si="8"/>
        <v>-2.817420611933219E-2</v>
      </c>
      <c r="D82" s="2">
        <f t="shared" si="9"/>
        <v>3.6240092477549998E-3</v>
      </c>
      <c r="E82" s="3">
        <f t="shared" si="10"/>
        <v>-3.1798215367087192E-2</v>
      </c>
      <c r="F82">
        <f t="shared" si="14"/>
        <v>9.4117645706805003E-2</v>
      </c>
      <c r="G82">
        <f t="shared" si="11"/>
        <v>-0.33785604312866996</v>
      </c>
      <c r="H82">
        <f t="shared" si="15"/>
        <v>-0.45616328711833837</v>
      </c>
      <c r="P82" s="33">
        <f t="shared" si="12"/>
        <v>-2.9861530397040315E-2</v>
      </c>
      <c r="Q82" s="33">
        <f t="shared" si="13"/>
        <v>1.1286286198235884</v>
      </c>
    </row>
    <row r="83" spans="1:17" x14ac:dyDescent="0.35">
      <c r="A83" s="13">
        <v>42492</v>
      </c>
      <c r="B83" s="14">
        <v>4442.75</v>
      </c>
      <c r="C83" s="2">
        <f t="shared" si="8"/>
        <v>3.1135977746468146E-3</v>
      </c>
      <c r="D83" s="2">
        <f t="shared" si="9"/>
        <v>-8.660377012019578E-2</v>
      </c>
      <c r="E83" s="3">
        <f t="shared" si="10"/>
        <v>8.9717367894842595E-2</v>
      </c>
      <c r="F83">
        <f t="shared" si="14"/>
        <v>0.33624725316296827</v>
      </c>
      <c r="G83">
        <f t="shared" si="11"/>
        <v>0.26681963064649766</v>
      </c>
      <c r="H83">
        <f t="shared" si="15"/>
        <v>-0.43468629182822427</v>
      </c>
      <c r="P83" s="33">
        <f t="shared" si="12"/>
        <v>1.4262734969386903E-3</v>
      </c>
      <c r="Q83" s="33">
        <f t="shared" si="13"/>
        <v>28.814694250293623</v>
      </c>
    </row>
    <row r="84" spans="1:17" x14ac:dyDescent="0.35">
      <c r="A84" s="13">
        <v>42493</v>
      </c>
      <c r="B84" s="14">
        <v>4371.9799999999996</v>
      </c>
      <c r="C84" s="2">
        <f t="shared" si="8"/>
        <v>-1.5929323054414635E-2</v>
      </c>
      <c r="D84" s="2">
        <f t="shared" si="9"/>
        <v>-1.479402732656733E-2</v>
      </c>
      <c r="E84" s="3">
        <f t="shared" si="10"/>
        <v>-1.1352957278473047E-3</v>
      </c>
      <c r="F84">
        <f t="shared" si="14"/>
        <v>0.26959846502972579</v>
      </c>
      <c r="G84">
        <f t="shared" si="11"/>
        <v>-4.2110615419198609E-3</v>
      </c>
      <c r="H84">
        <f t="shared" si="15"/>
        <v>-0.39909880069871245</v>
      </c>
      <c r="P84" s="33">
        <f t="shared" si="12"/>
        <v>-1.7616647332122759E-2</v>
      </c>
      <c r="Q84" s="33">
        <f t="shared" si="13"/>
        <v>7.127080817992891E-2</v>
      </c>
    </row>
    <row r="85" spans="1:17" x14ac:dyDescent="0.35">
      <c r="A85" s="13">
        <v>42494</v>
      </c>
      <c r="B85" s="14">
        <v>4324.2299999999996</v>
      </c>
      <c r="C85" s="2">
        <f t="shared" si="8"/>
        <v>-1.0921824893983967E-2</v>
      </c>
      <c r="D85" s="2">
        <f t="shared" si="9"/>
        <v>-4.6058346688395403E-2</v>
      </c>
      <c r="E85" s="3">
        <f t="shared" si="10"/>
        <v>3.5136521794411436E-2</v>
      </c>
      <c r="F85">
        <f t="shared" si="14"/>
        <v>4.5811260352515079E-2</v>
      </c>
      <c r="G85">
        <f t="shared" si="11"/>
        <v>0.76698439475443092</v>
      </c>
      <c r="H85">
        <f t="shared" si="15"/>
        <v>-0.69322246507746788</v>
      </c>
      <c r="P85" s="33">
        <f t="shared" si="12"/>
        <v>-1.2609149171692091E-2</v>
      </c>
      <c r="Q85" s="33">
        <f t="shared" si="13"/>
        <v>3.2170925770624259</v>
      </c>
    </row>
    <row r="86" spans="1:17" x14ac:dyDescent="0.35">
      <c r="A86" s="13">
        <v>42495</v>
      </c>
      <c r="B86" s="14">
        <v>4319.46</v>
      </c>
      <c r="C86" s="2">
        <f t="shared" si="8"/>
        <v>-1.1030865610754947E-3</v>
      </c>
      <c r="D86" s="2">
        <f t="shared" si="9"/>
        <v>-4.7173916678660839E-2</v>
      </c>
      <c r="E86" s="3">
        <f t="shared" si="10"/>
        <v>4.6070830117585344E-2</v>
      </c>
      <c r="F86">
        <f t="shared" si="14"/>
        <v>0.76058512887282537</v>
      </c>
      <c r="G86">
        <f t="shared" si="11"/>
        <v>6.0572877865573777E-2</v>
      </c>
      <c r="H86">
        <f t="shared" si="15"/>
        <v>-0.40092447094551636</v>
      </c>
      <c r="P86" s="33">
        <f t="shared" si="12"/>
        <v>-2.7904108387836191E-3</v>
      </c>
      <c r="Q86" s="33">
        <f t="shared" si="13"/>
        <v>41.765380653959646</v>
      </c>
    </row>
    <row r="87" spans="1:17" x14ac:dyDescent="0.35">
      <c r="A87" s="13">
        <v>42496</v>
      </c>
      <c r="B87" s="14">
        <v>4301.24</v>
      </c>
      <c r="C87" s="2">
        <f t="shared" si="8"/>
        <v>-4.2181198575748091E-3</v>
      </c>
      <c r="D87" s="2">
        <f t="shared" si="9"/>
        <v>-1.2804172862735297E-2</v>
      </c>
      <c r="E87" s="3">
        <f t="shared" si="10"/>
        <v>8.5860530051604881E-3</v>
      </c>
      <c r="F87">
        <f t="shared" si="14"/>
        <v>0.12005398585062171</v>
      </c>
      <c r="G87">
        <f t="shared" si="11"/>
        <v>7.1518266922380766E-2</v>
      </c>
      <c r="H87">
        <f t="shared" si="15"/>
        <v>-0.401647365430848</v>
      </c>
      <c r="P87" s="33">
        <f t="shared" si="12"/>
        <v>-5.9054441352829334E-3</v>
      </c>
      <c r="Q87" s="33">
        <f t="shared" si="13"/>
        <v>2.0355166033847611</v>
      </c>
    </row>
    <row r="88" spans="1:17" x14ac:dyDescent="0.35">
      <c r="A88" s="13">
        <v>42499</v>
      </c>
      <c r="B88" s="14">
        <v>4322.8100000000004</v>
      </c>
      <c r="C88" s="2">
        <f t="shared" si="8"/>
        <v>5.0148329318988605E-3</v>
      </c>
      <c r="D88" s="2">
        <f t="shared" si="9"/>
        <v>-1.3860381013947421E-2</v>
      </c>
      <c r="E88" s="3">
        <f t="shared" si="10"/>
        <v>1.8875213945846282E-2</v>
      </c>
      <c r="F88">
        <f t="shared" si="14"/>
        <v>7.8089808436456756E-2</v>
      </c>
      <c r="G88">
        <f t="shared" si="11"/>
        <v>0.24171161799180774</v>
      </c>
      <c r="H88">
        <f t="shared" si="15"/>
        <v>-0.42830218731516634</v>
      </c>
      <c r="P88" s="33">
        <f t="shared" si="12"/>
        <v>3.3275086541907362E-3</v>
      </c>
      <c r="Q88" s="33">
        <f t="shared" si="13"/>
        <v>3.7638769231538896</v>
      </c>
    </row>
    <row r="89" spans="1:17" x14ac:dyDescent="0.35">
      <c r="A89" s="13">
        <v>42500</v>
      </c>
      <c r="B89" s="14">
        <v>4338.21</v>
      </c>
      <c r="C89" s="2">
        <f t="shared" si="8"/>
        <v>3.5624975421080229E-3</v>
      </c>
      <c r="D89" s="2">
        <f t="shared" si="9"/>
        <v>1.1704776707062296E-2</v>
      </c>
      <c r="E89" s="3">
        <f t="shared" si="10"/>
        <v>-8.142279164954273E-3</v>
      </c>
      <c r="F89">
        <f t="shared" si="14"/>
        <v>0.24145411477924569</v>
      </c>
      <c r="G89">
        <f t="shared" si="11"/>
        <v>-3.372184885893751E-2</v>
      </c>
      <c r="H89">
        <f t="shared" si="15"/>
        <v>-0.39965851572429006</v>
      </c>
      <c r="P89" s="33">
        <f t="shared" si="12"/>
        <v>1.8751732643998986E-3</v>
      </c>
      <c r="Q89" s="33">
        <f t="shared" si="13"/>
        <v>2.2855536231854559</v>
      </c>
    </row>
    <row r="90" spans="1:17" x14ac:dyDescent="0.35">
      <c r="A90" s="13">
        <v>42501</v>
      </c>
      <c r="B90" s="14">
        <v>4316.67</v>
      </c>
      <c r="C90" s="2">
        <f t="shared" si="8"/>
        <v>-4.9651814919056125E-3</v>
      </c>
      <c r="D90" s="2">
        <f t="shared" si="9"/>
        <v>1.5230991680413539E-2</v>
      </c>
      <c r="E90" s="3">
        <f t="shared" si="10"/>
        <v>-2.019617317231915E-2</v>
      </c>
      <c r="F90">
        <f t="shared" si="14"/>
        <v>5.4310567766155581E-2</v>
      </c>
      <c r="G90">
        <f t="shared" si="11"/>
        <v>-0.37186451924563912</v>
      </c>
      <c r="H90">
        <f t="shared" si="15"/>
        <v>-0.46823154451595267</v>
      </c>
      <c r="P90" s="33">
        <f t="shared" si="12"/>
        <v>-6.6525057696137369E-3</v>
      </c>
      <c r="Q90" s="33">
        <f t="shared" si="13"/>
        <v>4.067559907979911</v>
      </c>
    </row>
    <row r="91" spans="1:17" x14ac:dyDescent="0.35">
      <c r="A91" s="13">
        <v>42502</v>
      </c>
      <c r="B91" s="14">
        <v>4293.2700000000004</v>
      </c>
      <c r="C91" s="2">
        <f t="shared" si="8"/>
        <v>-5.42084523486841E-3</v>
      </c>
      <c r="D91" s="2">
        <f t="shared" si="9"/>
        <v>-1.2118818752222255E-2</v>
      </c>
      <c r="E91" s="3">
        <f t="shared" si="10"/>
        <v>6.697973517353845E-3</v>
      </c>
      <c r="F91">
        <f t="shared" si="14"/>
        <v>0.36967589554303071</v>
      </c>
      <c r="G91">
        <f t="shared" si="11"/>
        <v>1.8118502174762956E-2</v>
      </c>
      <c r="H91">
        <f t="shared" si="15"/>
        <v>-0.39925407423958598</v>
      </c>
      <c r="P91" s="33">
        <f t="shared" si="12"/>
        <v>-7.1081695125765343E-3</v>
      </c>
      <c r="Q91" s="33">
        <f t="shared" si="13"/>
        <v>1.2355957838955787</v>
      </c>
    </row>
    <row r="92" spans="1:17" x14ac:dyDescent="0.35">
      <c r="A92" s="13">
        <v>42503</v>
      </c>
      <c r="B92" s="14">
        <v>4319.99</v>
      </c>
      <c r="C92" s="2">
        <f t="shared" si="8"/>
        <v>6.2236942936269024E-3</v>
      </c>
      <c r="D92" s="2">
        <f t="shared" si="9"/>
        <v>-2.0874965954855555E-2</v>
      </c>
      <c r="E92" s="3">
        <f t="shared" si="10"/>
        <v>2.7098660248482457E-2</v>
      </c>
      <c r="F92">
        <f t="shared" si="14"/>
        <v>5.9225736162329831E-2</v>
      </c>
      <c r="G92">
        <f t="shared" si="11"/>
        <v>0.45754872804296848</v>
      </c>
      <c r="H92">
        <f t="shared" si="15"/>
        <v>-0.50376535344592666</v>
      </c>
      <c r="P92" s="33">
        <f t="shared" si="12"/>
        <v>4.5363700159187781E-3</v>
      </c>
      <c r="Q92" s="33">
        <f t="shared" si="13"/>
        <v>4.3541117172531489</v>
      </c>
    </row>
    <row r="93" spans="1:17" x14ac:dyDescent="0.35">
      <c r="A93" s="13">
        <v>42506</v>
      </c>
      <c r="B93" s="14">
        <v>4312.28</v>
      </c>
      <c r="C93" s="2">
        <f t="shared" si="8"/>
        <v>-1.784726353533217E-3</v>
      </c>
      <c r="D93" s="2">
        <f t="shared" si="9"/>
        <v>1.436579877505945E-2</v>
      </c>
      <c r="E93" s="3">
        <f t="shared" si="10"/>
        <v>-1.6150525128592667E-2</v>
      </c>
      <c r="F93">
        <f t="shared" si="14"/>
        <v>0.45437021874084665</v>
      </c>
      <c r="G93">
        <f t="shared" si="11"/>
        <v>-3.5544858493034806E-2</v>
      </c>
      <c r="H93">
        <f t="shared" si="15"/>
        <v>-0.39972165266170245</v>
      </c>
      <c r="P93" s="33">
        <f t="shared" si="12"/>
        <v>-3.4720506312413413E-3</v>
      </c>
      <c r="Q93" s="33">
        <f t="shared" si="13"/>
        <v>9.0493005253267675</v>
      </c>
    </row>
    <row r="94" spans="1:17" x14ac:dyDescent="0.35">
      <c r="A94" s="13">
        <v>42507</v>
      </c>
      <c r="B94" s="14">
        <v>4297.57</v>
      </c>
      <c r="C94" s="2">
        <f t="shared" si="8"/>
        <v>-3.4111885128053077E-3</v>
      </c>
      <c r="D94" s="2">
        <f t="shared" si="9"/>
        <v>-8.8775734950868532E-5</v>
      </c>
      <c r="E94" s="3">
        <f t="shared" si="10"/>
        <v>-3.3224127778544391E-3</v>
      </c>
      <c r="F94">
        <f t="shared" si="14"/>
        <v>7.5035807146905567E-2</v>
      </c>
      <c r="G94">
        <f t="shared" si="11"/>
        <v>-4.4277697597758882E-2</v>
      </c>
      <c r="H94">
        <f t="shared" si="15"/>
        <v>-0.40007019143133682</v>
      </c>
      <c r="P94" s="33">
        <f t="shared" si="12"/>
        <v>-5.098512790513432E-3</v>
      </c>
      <c r="Q94" s="33">
        <f t="shared" si="13"/>
        <v>0.97397513077403608</v>
      </c>
    </row>
    <row r="95" spans="1:17" x14ac:dyDescent="0.35">
      <c r="A95" s="13">
        <v>42508</v>
      </c>
      <c r="B95" s="14">
        <v>4319.3</v>
      </c>
      <c r="C95" s="2">
        <f t="shared" si="8"/>
        <v>5.0563457954146962E-3</v>
      </c>
      <c r="D95" s="2">
        <f t="shared" si="9"/>
        <v>-1.1979487324215644E-2</v>
      </c>
      <c r="E95" s="3">
        <f t="shared" si="10"/>
        <v>1.7035833119630341E-2</v>
      </c>
      <c r="F95">
        <f t="shared" si="14"/>
        <v>5.3377419933653268E-2</v>
      </c>
      <c r="G95">
        <f t="shared" si="11"/>
        <v>0.31915804736919534</v>
      </c>
      <c r="H95">
        <f t="shared" si="15"/>
        <v>-0.45002086377931627</v>
      </c>
      <c r="P95" s="33">
        <f t="shared" si="12"/>
        <v>3.3690215177065719E-3</v>
      </c>
      <c r="Q95" s="33">
        <f t="shared" si="13"/>
        <v>3.3691985890441156</v>
      </c>
    </row>
    <row r="96" spans="1:17" x14ac:dyDescent="0.35">
      <c r="A96" s="13">
        <v>42509</v>
      </c>
      <c r="B96" s="14">
        <v>4282.54</v>
      </c>
      <c r="C96" s="2">
        <f t="shared" si="8"/>
        <v>-8.5106382978723527E-3</v>
      </c>
      <c r="D96" s="2">
        <f t="shared" si="9"/>
        <v>1.252841742435155E-2</v>
      </c>
      <c r="E96" s="3">
        <f t="shared" si="10"/>
        <v>-2.1039055722223903E-2</v>
      </c>
      <c r="F96">
        <f t="shared" si="14"/>
        <v>0.31764104466315207</v>
      </c>
      <c r="G96">
        <f t="shared" si="11"/>
        <v>-6.6235318374976176E-2</v>
      </c>
      <c r="H96">
        <f t="shared" si="15"/>
        <v>-0.40128349287917475</v>
      </c>
      <c r="P96" s="33">
        <f t="shared" si="12"/>
        <v>-1.0197962575580477E-2</v>
      </c>
      <c r="Q96" s="33">
        <f t="shared" si="13"/>
        <v>2.4720890473613051</v>
      </c>
    </row>
    <row r="97" spans="1:17" x14ac:dyDescent="0.35">
      <c r="A97" s="13">
        <v>42510</v>
      </c>
      <c r="B97" s="14">
        <v>4353.8999999999996</v>
      </c>
      <c r="C97" s="2">
        <f t="shared" si="8"/>
        <v>1.666300840155599E-2</v>
      </c>
      <c r="D97" s="2">
        <f t="shared" si="9"/>
        <v>-2.1678872085616755E-2</v>
      </c>
      <c r="E97" s="3">
        <f t="shared" si="10"/>
        <v>3.8341880487172741E-2</v>
      </c>
      <c r="F97">
        <f t="shared" si="14"/>
        <v>8.292114688198847E-2</v>
      </c>
      <c r="G97">
        <f t="shared" si="11"/>
        <v>0.46238965485776568</v>
      </c>
      <c r="H97">
        <f t="shared" si="15"/>
        <v>-0.50599203063879938</v>
      </c>
      <c r="P97" s="33">
        <f t="shared" si="12"/>
        <v>1.4975684123847866E-2</v>
      </c>
      <c r="Q97" s="33">
        <f t="shared" si="13"/>
        <v>2.3010178932390373</v>
      </c>
    </row>
    <row r="98" spans="1:17" x14ac:dyDescent="0.35">
      <c r="A98" s="13">
        <v>42513</v>
      </c>
      <c r="B98" s="14">
        <v>4325.1000000000004</v>
      </c>
      <c r="C98" s="2">
        <f t="shared" si="8"/>
        <v>-6.6147591814234019E-3</v>
      </c>
      <c r="D98" s="2">
        <f t="shared" si="9"/>
        <v>4.3644401795931771E-2</v>
      </c>
      <c r="E98" s="3">
        <f t="shared" si="10"/>
        <v>-5.0259160977355173E-2</v>
      </c>
      <c r="F98">
        <f t="shared" si="14"/>
        <v>0.45922025311690323</v>
      </c>
      <c r="G98">
        <f t="shared" si="11"/>
        <v>-0.10944456529568776</v>
      </c>
      <c r="H98">
        <f t="shared" si="15"/>
        <v>-0.40507899061543856</v>
      </c>
      <c r="P98" s="33">
        <f t="shared" si="12"/>
        <v>-8.3020834591315262E-3</v>
      </c>
      <c r="Q98" s="33">
        <f t="shared" si="13"/>
        <v>7.5980333673372096</v>
      </c>
    </row>
    <row r="99" spans="1:17" x14ac:dyDescent="0.35">
      <c r="A99" s="13">
        <v>42514</v>
      </c>
      <c r="B99" s="14">
        <v>4431.5200000000004</v>
      </c>
      <c r="C99" s="2">
        <f t="shared" si="8"/>
        <v>2.4605211440198005E-2</v>
      </c>
      <c r="D99" s="2">
        <f t="shared" si="9"/>
        <v>-5.8574246489425854E-3</v>
      </c>
      <c r="E99" s="3">
        <f t="shared" si="10"/>
        <v>3.0462636089140592E-2</v>
      </c>
      <c r="F99">
        <f t="shared" si="14"/>
        <v>0.1273881715288353</v>
      </c>
      <c r="G99">
        <f t="shared" si="11"/>
        <v>0.23913237566366308</v>
      </c>
      <c r="H99">
        <f t="shared" si="15"/>
        <v>-0.42768208072433117</v>
      </c>
      <c r="P99" s="33">
        <f t="shared" si="12"/>
        <v>2.2917887162489881E-2</v>
      </c>
      <c r="Q99" s="33">
        <f t="shared" si="13"/>
        <v>1.2380562615029269</v>
      </c>
    </row>
    <row r="100" spans="1:17" x14ac:dyDescent="0.35">
      <c r="A100" s="13">
        <v>42515</v>
      </c>
      <c r="B100" s="14">
        <v>4481.6400000000003</v>
      </c>
      <c r="C100" s="2">
        <f t="shared" si="8"/>
        <v>1.1309889157670394E-2</v>
      </c>
      <c r="D100" s="2">
        <f t="shared" si="9"/>
        <v>6.958546413444823E-2</v>
      </c>
      <c r="E100" s="3">
        <f t="shared" si="10"/>
        <v>-5.8275574976777836E-2</v>
      </c>
      <c r="F100">
        <f t="shared" si="14"/>
        <v>0.23928459889368181</v>
      </c>
      <c r="G100">
        <f t="shared" si="11"/>
        <v>-0.24354085154753591</v>
      </c>
      <c r="H100">
        <f t="shared" si="15"/>
        <v>-0.42874600736530699</v>
      </c>
      <c r="P100" s="33">
        <f t="shared" si="12"/>
        <v>9.6225648799622698E-3</v>
      </c>
      <c r="Q100" s="33">
        <f t="shared" si="13"/>
        <v>5.1526212294711309</v>
      </c>
    </row>
    <row r="101" spans="1:17" x14ac:dyDescent="0.35">
      <c r="A101" s="13">
        <v>42516</v>
      </c>
      <c r="B101" s="14">
        <v>4512.6400000000003</v>
      </c>
      <c r="C101" s="2">
        <f t="shared" si="8"/>
        <v>6.9171107005470134E-3</v>
      </c>
      <c r="D101" s="2">
        <f t="shared" si="9"/>
        <v>5.5851144446235616E-2</v>
      </c>
      <c r="E101" s="3">
        <f t="shared" si="10"/>
        <v>-4.8934033745688603E-2</v>
      </c>
      <c r="F101">
        <f t="shared" si="14"/>
        <v>0.2450603149299638</v>
      </c>
      <c r="G101">
        <f t="shared" si="11"/>
        <v>-0.19968159169171695</v>
      </c>
      <c r="H101">
        <f t="shared" si="15"/>
        <v>-0.41902630320932632</v>
      </c>
      <c r="P101" s="33">
        <f t="shared" si="12"/>
        <v>5.2297864228388891E-3</v>
      </c>
      <c r="Q101" s="33">
        <f t="shared" si="13"/>
        <v>7.0743459030977833</v>
      </c>
    </row>
    <row r="102" spans="1:17" x14ac:dyDescent="0.35">
      <c r="A102" s="13">
        <v>42517</v>
      </c>
      <c r="B102" s="14">
        <v>4514.74</v>
      </c>
      <c r="C102" s="2">
        <f t="shared" si="8"/>
        <v>4.6535952347181997E-4</v>
      </c>
      <c r="D102" s="2">
        <f t="shared" si="9"/>
        <v>3.0931010926574232E-2</v>
      </c>
      <c r="E102" s="3">
        <f t="shared" si="10"/>
        <v>-3.0465651403102412E-2</v>
      </c>
      <c r="F102">
        <f t="shared" si="14"/>
        <v>0.20252154962421987</v>
      </c>
      <c r="G102">
        <f t="shared" si="11"/>
        <v>-0.15043165262971589</v>
      </c>
      <c r="H102">
        <f t="shared" si="15"/>
        <v>-0.41040477523551128</v>
      </c>
      <c r="P102" s="33">
        <f t="shared" si="12"/>
        <v>-1.2219647542363044E-3</v>
      </c>
      <c r="Q102" s="33">
        <f t="shared" si="13"/>
        <v>65.466912927478262</v>
      </c>
    </row>
    <row r="103" spans="1:17" x14ac:dyDescent="0.35">
      <c r="A103" s="13">
        <v>42520</v>
      </c>
      <c r="B103" s="14">
        <v>4529.3999999999996</v>
      </c>
      <c r="C103" s="2">
        <f t="shared" si="8"/>
        <v>3.2471415851189622E-3</v>
      </c>
      <c r="D103" s="2">
        <f t="shared" si="9"/>
        <v>7.3954521527452204E-3</v>
      </c>
      <c r="E103" s="3">
        <f t="shared" si="10"/>
        <v>-4.1483105676262582E-3</v>
      </c>
      <c r="F103">
        <f t="shared" si="14"/>
        <v>0.15412714617477938</v>
      </c>
      <c r="G103">
        <f t="shared" si="11"/>
        <v>-2.691486003978881E-2</v>
      </c>
      <c r="H103">
        <f t="shared" si="15"/>
        <v>-0.39945213902453824</v>
      </c>
      <c r="P103" s="33">
        <f t="shared" si="12"/>
        <v>1.5598173074108379E-3</v>
      </c>
      <c r="Q103" s="33">
        <f t="shared" si="13"/>
        <v>1.2775268521203953</v>
      </c>
    </row>
    <row r="104" spans="1:17" x14ac:dyDescent="0.35">
      <c r="A104" s="13">
        <v>42521</v>
      </c>
      <c r="B104" s="14">
        <v>4505.62</v>
      </c>
      <c r="C104" s="2">
        <f t="shared" si="8"/>
        <v>-5.2501435068661451E-3</v>
      </c>
      <c r="D104" s="2">
        <f t="shared" si="9"/>
        <v>1.0338499562136347E-2</v>
      </c>
      <c r="E104" s="3">
        <f t="shared" si="10"/>
        <v>-1.5588643069002492E-2</v>
      </c>
      <c r="F104">
        <f t="shared" si="14"/>
        <v>4.4138284979736896E-2</v>
      </c>
      <c r="G104">
        <f t="shared" si="11"/>
        <v>-0.3531773623773321</v>
      </c>
      <c r="H104">
        <f t="shared" si="15"/>
        <v>-0.4614570588269622</v>
      </c>
      <c r="P104" s="33">
        <f t="shared" si="12"/>
        <v>-6.9374677845742694E-3</v>
      </c>
      <c r="Q104" s="33">
        <f t="shared" si="13"/>
        <v>2.9691841848924021</v>
      </c>
    </row>
    <row r="105" spans="1:17" x14ac:dyDescent="0.35">
      <c r="A105" s="13">
        <v>42522</v>
      </c>
      <c r="B105" s="14">
        <v>4475.3900000000003</v>
      </c>
      <c r="C105" s="2">
        <f t="shared" si="8"/>
        <v>-6.7093984845592036E-3</v>
      </c>
      <c r="D105" s="2">
        <f t="shared" si="9"/>
        <v>-1.3263086847941079E-2</v>
      </c>
      <c r="E105" s="3">
        <f t="shared" si="10"/>
        <v>6.5536883633818752E-3</v>
      </c>
      <c r="F105">
        <f t="shared" si="14"/>
        <v>0.35119658287633404</v>
      </c>
      <c r="G105">
        <f t="shared" si="11"/>
        <v>1.8661025428284444E-2</v>
      </c>
      <c r="H105">
        <f t="shared" si="15"/>
        <v>-0.39926405111407509</v>
      </c>
      <c r="P105" s="33">
        <f t="shared" si="12"/>
        <v>-8.3967227622673279E-3</v>
      </c>
      <c r="Q105" s="33">
        <f t="shared" si="13"/>
        <v>0.97679223830039685</v>
      </c>
    </row>
    <row r="106" spans="1:17" x14ac:dyDescent="0.35">
      <c r="A106" s="13">
        <v>42523</v>
      </c>
      <c r="B106" s="14">
        <v>4466</v>
      </c>
      <c r="C106" s="2">
        <f t="shared" si="8"/>
        <v>-2.0981411675854433E-3</v>
      </c>
      <c r="D106" s="2">
        <f t="shared" si="9"/>
        <v>-2.5064143224609925E-2</v>
      </c>
      <c r="E106" s="3">
        <f t="shared" si="10"/>
        <v>2.2966002057024482E-2</v>
      </c>
      <c r="F106">
        <f t="shared" si="14"/>
        <v>5.742289565142298E-2</v>
      </c>
      <c r="G106">
        <f t="shared" si="11"/>
        <v>0.39994503579958995</v>
      </c>
      <c r="H106">
        <f t="shared" si="15"/>
        <v>-0.47906795000942515</v>
      </c>
      <c r="P106" s="33">
        <f t="shared" si="12"/>
        <v>-3.7854654452935677E-3</v>
      </c>
      <c r="Q106" s="33">
        <f t="shared" si="13"/>
        <v>10.945880292437105</v>
      </c>
    </row>
    <row r="107" spans="1:17" x14ac:dyDescent="0.35">
      <c r="A107" s="13">
        <v>42524</v>
      </c>
      <c r="B107" s="14">
        <v>4421.78</v>
      </c>
      <c r="C107" s="2">
        <f t="shared" si="8"/>
        <v>-9.9014778325123842E-3</v>
      </c>
      <c r="D107" s="2">
        <f t="shared" si="9"/>
        <v>-1.2212708582268401E-2</v>
      </c>
      <c r="E107" s="3">
        <f t="shared" si="10"/>
        <v>2.3112307497560169E-3</v>
      </c>
      <c r="F107">
        <f t="shared" si="14"/>
        <v>0.39742563917577567</v>
      </c>
      <c r="G107">
        <f t="shared" si="11"/>
        <v>5.8155048943226151E-3</v>
      </c>
      <c r="H107">
        <f t="shared" si="15"/>
        <v>-0.39910684422764547</v>
      </c>
      <c r="P107" s="33">
        <f t="shared" si="12"/>
        <v>-1.1588802110220509E-2</v>
      </c>
      <c r="Q107" s="33">
        <f t="shared" si="13"/>
        <v>0.23342280706490953</v>
      </c>
    </row>
    <row r="108" spans="1:17" x14ac:dyDescent="0.35">
      <c r="A108" s="13">
        <v>42527</v>
      </c>
      <c r="B108" s="14">
        <v>4423.38</v>
      </c>
      <c r="C108" s="2">
        <f t="shared" si="8"/>
        <v>3.6184522974913591E-4</v>
      </c>
      <c r="D108" s="2">
        <f t="shared" si="9"/>
        <v>-3.2111360446182145E-2</v>
      </c>
      <c r="E108" s="3">
        <f t="shared" si="10"/>
        <v>3.2473205675931281E-2</v>
      </c>
      <c r="F108">
        <f t="shared" si="14"/>
        <v>5.9882486779760609E-2</v>
      </c>
      <c r="G108">
        <f t="shared" si="11"/>
        <v>0.54228218335960532</v>
      </c>
      <c r="H108">
        <f t="shared" si="15"/>
        <v>-0.54612491737368785</v>
      </c>
      <c r="P108" s="33">
        <f t="shared" si="12"/>
        <v>-1.3254790479589884E-3</v>
      </c>
      <c r="Q108" s="33">
        <f t="shared" si="13"/>
        <v>89.743357121067106</v>
      </c>
    </row>
    <row r="109" spans="1:17" x14ac:dyDescent="0.35">
      <c r="A109" s="13">
        <v>42528</v>
      </c>
      <c r="B109" s="14">
        <v>4475.8599999999997</v>
      </c>
      <c r="C109" s="2">
        <f t="shared" si="8"/>
        <v>1.1864230520552077E-2</v>
      </c>
      <c r="D109" s="2">
        <f t="shared" si="9"/>
        <v>-7.4404088523951101E-3</v>
      </c>
      <c r="E109" s="3">
        <f t="shared" si="10"/>
        <v>1.9304639372947185E-2</v>
      </c>
      <c r="F109">
        <f t="shared" si="14"/>
        <v>0.53818275019788497</v>
      </c>
      <c r="G109">
        <f t="shared" si="11"/>
        <v>3.5870044823712845E-2</v>
      </c>
      <c r="H109">
        <f t="shared" si="15"/>
        <v>-0.3997332642368851</v>
      </c>
      <c r="P109" s="33">
        <f t="shared" si="12"/>
        <v>1.0176906242843953E-2</v>
      </c>
      <c r="Q109" s="33">
        <f t="shared" si="13"/>
        <v>1.627129491415924</v>
      </c>
    </row>
    <row r="110" spans="1:17" x14ac:dyDescent="0.35">
      <c r="A110" s="13">
        <v>42529</v>
      </c>
      <c r="B110" s="14">
        <v>4448.7299999999996</v>
      </c>
      <c r="C110" s="2">
        <f t="shared" si="8"/>
        <v>-6.0614049590470565E-3</v>
      </c>
      <c r="D110" s="2">
        <f t="shared" si="9"/>
        <v>3.6618790054310853E-2</v>
      </c>
      <c r="E110" s="3">
        <f t="shared" si="10"/>
        <v>-4.2680195013357909E-2</v>
      </c>
      <c r="F110">
        <f t="shared" si="14"/>
        <v>8.4195030807497767E-2</v>
      </c>
      <c r="G110">
        <f t="shared" si="11"/>
        <v>-0.50692059381676879</v>
      </c>
      <c r="H110">
        <f t="shared" si="15"/>
        <v>-0.5275741783968303</v>
      </c>
      <c r="P110" s="33">
        <f t="shared" si="12"/>
        <v>-7.7487292367551808E-3</v>
      </c>
      <c r="Q110" s="33">
        <f t="shared" si="13"/>
        <v>7.0413040048833624</v>
      </c>
    </row>
    <row r="111" spans="1:17" x14ac:dyDescent="0.35">
      <c r="A111" s="13">
        <v>42530</v>
      </c>
      <c r="B111" s="14">
        <v>4405.6099999999997</v>
      </c>
      <c r="C111" s="2">
        <f t="shared" si="8"/>
        <v>-9.6926538585169197E-3</v>
      </c>
      <c r="D111" s="2">
        <f t="shared" si="9"/>
        <v>-8.3067452067239946E-3</v>
      </c>
      <c r="E111" s="3">
        <f t="shared" si="10"/>
        <v>-1.3859086517929251E-3</v>
      </c>
      <c r="F111">
        <f t="shared" si="14"/>
        <v>0.50325997923559207</v>
      </c>
      <c r="G111">
        <f t="shared" si="11"/>
        <v>-2.7538622361706552E-3</v>
      </c>
      <c r="H111">
        <f t="shared" si="15"/>
        <v>-0.39909372605766541</v>
      </c>
      <c r="P111" s="33">
        <f t="shared" si="12"/>
        <v>-1.1379978136225044E-2</v>
      </c>
      <c r="Q111" s="33">
        <f t="shared" si="13"/>
        <v>0.1429854683787278</v>
      </c>
    </row>
    <row r="112" spans="1:17" x14ac:dyDescent="0.35">
      <c r="A112" s="13">
        <v>42531</v>
      </c>
      <c r="B112" s="14">
        <v>4306.72</v>
      </c>
      <c r="C112" s="2">
        <f t="shared" si="8"/>
        <v>-2.2446380864397764E-2</v>
      </c>
      <c r="D112" s="2">
        <f t="shared" si="9"/>
        <v>-3.4893718318039169E-2</v>
      </c>
      <c r="E112" s="3">
        <f t="shared" si="10"/>
        <v>1.2447337453641405E-2</v>
      </c>
      <c r="F112">
        <f t="shared" si="14"/>
        <v>7.2147071996408046E-2</v>
      </c>
      <c r="G112">
        <f t="shared" si="11"/>
        <v>0.17252727115885055</v>
      </c>
      <c r="H112">
        <f t="shared" si="15"/>
        <v>-0.41397276382581732</v>
      </c>
      <c r="P112" s="33">
        <f t="shared" si="12"/>
        <v>-2.4133705142105888E-2</v>
      </c>
      <c r="Q112" s="33">
        <f t="shared" si="13"/>
        <v>0.55453649872724664</v>
      </c>
    </row>
    <row r="113" spans="1:17" x14ac:dyDescent="0.35">
      <c r="A113" s="13">
        <v>42534</v>
      </c>
      <c r="B113" s="14">
        <v>4227.0200000000004</v>
      </c>
      <c r="C113" s="2">
        <f t="shared" si="8"/>
        <v>-1.8505962774454709E-2</v>
      </c>
      <c r="D113" s="2">
        <f t="shared" si="9"/>
        <v>-7.705690708429111E-2</v>
      </c>
      <c r="E113" s="3">
        <f t="shared" si="10"/>
        <v>5.85509443098364E-2</v>
      </c>
      <c r="F113">
        <f t="shared" si="14"/>
        <v>0.17362060617722114</v>
      </c>
      <c r="G113">
        <f t="shared" si="11"/>
        <v>0.33723499530966522</v>
      </c>
      <c r="H113">
        <f t="shared" si="15"/>
        <v>-0.45595365520981246</v>
      </c>
      <c r="P113" s="33">
        <f t="shared" si="12"/>
        <v>-2.0193287052162834E-2</v>
      </c>
      <c r="Q113" s="33">
        <f t="shared" si="13"/>
        <v>3.1638961465252189</v>
      </c>
    </row>
    <row r="114" spans="1:17" x14ac:dyDescent="0.35">
      <c r="A114" s="13">
        <v>42535</v>
      </c>
      <c r="B114" s="14">
        <v>4130.33</v>
      </c>
      <c r="C114" s="2">
        <f t="shared" si="8"/>
        <v>-2.287427076285431E-2</v>
      </c>
      <c r="D114" s="2">
        <f t="shared" si="9"/>
        <v>-7.6008597737439287E-2</v>
      </c>
      <c r="E114" s="3">
        <f t="shared" si="10"/>
        <v>5.3134326974584978E-2</v>
      </c>
      <c r="F114">
        <f t="shared" si="14"/>
        <v>0.3361813165008663</v>
      </c>
      <c r="G114">
        <f t="shared" si="11"/>
        <v>0.1580525875965747</v>
      </c>
      <c r="H114">
        <f t="shared" si="15"/>
        <v>-0.41158024440204399</v>
      </c>
      <c r="P114" s="33">
        <f t="shared" si="12"/>
        <v>-2.4561595040562434E-2</v>
      </c>
      <c r="Q114" s="33">
        <f t="shared" si="13"/>
        <v>2.3228861599763078</v>
      </c>
    </row>
    <row r="115" spans="1:17" x14ac:dyDescent="0.35">
      <c r="A115" s="13">
        <v>42536</v>
      </c>
      <c r="B115" s="14">
        <v>4171.58</v>
      </c>
      <c r="C115" s="2">
        <f t="shared" si="8"/>
        <v>9.987095462105966E-3</v>
      </c>
      <c r="D115" s="2">
        <f t="shared" si="9"/>
        <v>-8.5974639482428256E-2</v>
      </c>
      <c r="E115" s="3">
        <f t="shared" si="10"/>
        <v>9.5961734944534222E-2</v>
      </c>
      <c r="F115">
        <f t="shared" si="14"/>
        <v>0.16524585856474597</v>
      </c>
      <c r="G115">
        <f t="shared" si="11"/>
        <v>0.58072096800498563</v>
      </c>
      <c r="H115">
        <f t="shared" si="15"/>
        <v>-0.56770835551938126</v>
      </c>
      <c r="P115" s="33">
        <f t="shared" si="12"/>
        <v>8.2997711843978417E-3</v>
      </c>
      <c r="Q115" s="33">
        <f t="shared" si="13"/>
        <v>9.6085729137807689</v>
      </c>
    </row>
    <row r="116" spans="1:17" x14ac:dyDescent="0.35">
      <c r="A116" s="13">
        <v>42537</v>
      </c>
      <c r="B116" s="14">
        <v>4153.01</v>
      </c>
      <c r="C116" s="2">
        <f t="shared" si="8"/>
        <v>-4.4515507313774849E-3</v>
      </c>
      <c r="D116" s="2">
        <f t="shared" si="9"/>
        <v>1.0815269483970311E-2</v>
      </c>
      <c r="E116" s="3">
        <f t="shared" si="10"/>
        <v>-1.5266820215347796E-2</v>
      </c>
      <c r="F116">
        <f t="shared" si="14"/>
        <v>0.57657285109221135</v>
      </c>
      <c r="G116">
        <f t="shared" si="11"/>
        <v>-2.6478562399231267E-2</v>
      </c>
      <c r="H116">
        <f t="shared" si="15"/>
        <v>-0.39944049131242254</v>
      </c>
      <c r="P116" s="33">
        <f t="shared" si="12"/>
        <v>-6.1388750090856092E-3</v>
      </c>
      <c r="Q116" s="33">
        <f t="shared" si="13"/>
        <v>3.4295509894421983</v>
      </c>
    </row>
    <row r="117" spans="1:17" x14ac:dyDescent="0.35">
      <c r="A117" s="13">
        <v>42538</v>
      </c>
      <c r="B117" s="14">
        <v>4193.83</v>
      </c>
      <c r="C117" s="2">
        <f t="shared" si="8"/>
        <v>9.8290155814697577E-3</v>
      </c>
      <c r="D117" s="2">
        <f t="shared" si="9"/>
        <v>-5.0008236677294791E-3</v>
      </c>
      <c r="E117" s="3">
        <f t="shared" si="10"/>
        <v>1.4829839249199237E-2</v>
      </c>
      <c r="F117">
        <f t="shared" si="14"/>
        <v>8.5160986208811296E-2</v>
      </c>
      <c r="G117">
        <f t="shared" si="11"/>
        <v>0.17413888576674147</v>
      </c>
      <c r="H117">
        <f t="shared" si="15"/>
        <v>-0.41425210994709866</v>
      </c>
      <c r="P117" s="33">
        <f t="shared" si="12"/>
        <v>8.1416913037616334E-3</v>
      </c>
      <c r="Q117" s="33">
        <f t="shared" si="13"/>
        <v>1.508781741801013</v>
      </c>
    </row>
    <row r="118" spans="1:17" x14ac:dyDescent="0.35">
      <c r="A118" s="13">
        <v>42541</v>
      </c>
      <c r="B118" s="14">
        <v>4340.76</v>
      </c>
      <c r="C118" s="2">
        <f t="shared" si="8"/>
        <v>3.5034801124509185E-2</v>
      </c>
      <c r="D118" s="2">
        <f t="shared" si="9"/>
        <v>2.6235419935671793E-2</v>
      </c>
      <c r="E118" s="3">
        <f t="shared" si="10"/>
        <v>8.7993811888373921E-3</v>
      </c>
      <c r="F118">
        <f t="shared" si="14"/>
        <v>0.17529413288719509</v>
      </c>
      <c r="G118">
        <f t="shared" si="11"/>
        <v>5.019780778686958E-2</v>
      </c>
      <c r="H118">
        <f t="shared" si="15"/>
        <v>-0.4003498441323613</v>
      </c>
      <c r="P118" s="33">
        <f t="shared" si="12"/>
        <v>3.3347476846801061E-2</v>
      </c>
      <c r="Q118" s="33">
        <f t="shared" si="13"/>
        <v>0.25116115708964698</v>
      </c>
    </row>
    <row r="119" spans="1:17" x14ac:dyDescent="0.35">
      <c r="A119" s="13">
        <v>42542</v>
      </c>
      <c r="B119" s="14">
        <v>4367.24</v>
      </c>
      <c r="C119" s="2">
        <f t="shared" si="8"/>
        <v>6.1003142306876867E-3</v>
      </c>
      <c r="D119" s="2">
        <f t="shared" si="9"/>
        <v>0.11569717742570018</v>
      </c>
      <c r="E119" s="3">
        <f t="shared" si="10"/>
        <v>-0.10959686319501249</v>
      </c>
      <c r="F119">
        <f t="shared" si="14"/>
        <v>6.189881892622854E-2</v>
      </c>
      <c r="G119">
        <f t="shared" si="11"/>
        <v>-1.7705808462295676</v>
      </c>
      <c r="H119">
        <f t="shared" si="15"/>
        <v>-1.9665682006965632</v>
      </c>
      <c r="P119" s="33">
        <f t="shared" si="12"/>
        <v>4.4129899529795624E-3</v>
      </c>
      <c r="Q119" s="33">
        <f t="shared" si="13"/>
        <v>17.965773409455611</v>
      </c>
    </row>
    <row r="120" spans="1:17" x14ac:dyDescent="0.35">
      <c r="A120" s="13">
        <v>42543</v>
      </c>
      <c r="B120" s="14">
        <v>4380.03</v>
      </c>
      <c r="C120" s="2">
        <f t="shared" si="8"/>
        <v>2.9286231120799755E-3</v>
      </c>
      <c r="D120" s="2">
        <f t="shared" si="9"/>
        <v>4.8912641950672048E-2</v>
      </c>
      <c r="E120" s="3">
        <f t="shared" si="10"/>
        <v>-4.5984018838592072E-2</v>
      </c>
      <c r="F120">
        <f t="shared" si="14"/>
        <v>1.7547522722447313</v>
      </c>
      <c r="G120">
        <f t="shared" si="11"/>
        <v>-2.6205419172797506E-2</v>
      </c>
      <c r="H120">
        <f t="shared" si="15"/>
        <v>-0.39943329617606854</v>
      </c>
      <c r="P120" s="33">
        <f t="shared" si="12"/>
        <v>1.2412988343718512E-3</v>
      </c>
      <c r="Q120" s="33">
        <f t="shared" si="13"/>
        <v>15.701582989261176</v>
      </c>
    </row>
    <row r="121" spans="1:17" x14ac:dyDescent="0.35">
      <c r="A121" s="13">
        <v>42544</v>
      </c>
      <c r="B121" s="14">
        <v>4465.8999999999996</v>
      </c>
      <c r="C121" s="2">
        <f t="shared" si="8"/>
        <v>1.9604888550991628E-2</v>
      </c>
      <c r="D121" s="2">
        <f t="shared" si="9"/>
        <v>1.4228306309249473E-2</v>
      </c>
      <c r="E121" s="3">
        <f t="shared" si="10"/>
        <v>5.3765822417421553E-3</v>
      </c>
      <c r="F121">
        <f t="shared" si="14"/>
        <v>0.23375181845700013</v>
      </c>
      <c r="G121">
        <f t="shared" si="11"/>
        <v>2.300124241699196E-2</v>
      </c>
      <c r="H121">
        <f t="shared" si="15"/>
        <v>-0.39935446275542014</v>
      </c>
      <c r="P121" s="33">
        <f t="shared" si="12"/>
        <v>1.7917564273283504E-2</v>
      </c>
      <c r="Q121" s="33">
        <f t="shared" si="13"/>
        <v>0.27424701893906989</v>
      </c>
    </row>
    <row r="122" spans="1:17" x14ac:dyDescent="0.35">
      <c r="A122" s="13">
        <v>42545</v>
      </c>
      <c r="B122" s="14">
        <v>4106.7299999999996</v>
      </c>
      <c r="C122" s="2">
        <f t="shared" si="8"/>
        <v>-8.0424998320607344E-2</v>
      </c>
      <c r="D122" s="2">
        <f t="shared" si="9"/>
        <v>6.2522263949525148E-2</v>
      </c>
      <c r="E122" s="3">
        <f t="shared" si="10"/>
        <v>-0.14294726227013249</v>
      </c>
      <c r="F122">
        <f t="shared" si="14"/>
        <v>4.7847292697729922E-2</v>
      </c>
      <c r="G122">
        <f t="shared" si="11"/>
        <v>-2.9875726339039974</v>
      </c>
      <c r="H122">
        <f t="shared" si="15"/>
        <v>-4.8618850556050921</v>
      </c>
      <c r="P122" s="33">
        <f t="shared" si="12"/>
        <v>-8.2112322598315468E-2</v>
      </c>
      <c r="Q122" s="33">
        <f t="shared" si="13"/>
        <v>1.7773983867588721</v>
      </c>
    </row>
    <row r="123" spans="1:17" x14ac:dyDescent="0.35">
      <c r="A123" s="13">
        <v>42548</v>
      </c>
      <c r="B123" s="14">
        <v>3984.72</v>
      </c>
      <c r="C123" s="2">
        <f t="shared" si="8"/>
        <v>-2.9709769086353366E-2</v>
      </c>
      <c r="D123" s="2">
        <f t="shared" si="9"/>
        <v>-0.2291887480916486</v>
      </c>
      <c r="E123" s="3">
        <f t="shared" si="10"/>
        <v>0.19947897900529524</v>
      </c>
      <c r="F123">
        <f t="shared" si="14"/>
        <v>2.9605813732683113</v>
      </c>
      <c r="G123">
        <f t="shared" si="11"/>
        <v>6.737831319430411E-2</v>
      </c>
      <c r="H123">
        <f t="shared" si="15"/>
        <v>-0.40135985272351238</v>
      </c>
      <c r="P123" s="33">
        <f t="shared" si="12"/>
        <v>-3.139709336406149E-2</v>
      </c>
      <c r="Q123" s="33">
        <f t="shared" si="13"/>
        <v>6.7142554499665303</v>
      </c>
    </row>
    <row r="124" spans="1:17" x14ac:dyDescent="0.35">
      <c r="A124" s="13">
        <v>42549</v>
      </c>
      <c r="B124" s="14">
        <v>4088.85</v>
      </c>
      <c r="C124" s="2">
        <f t="shared" si="8"/>
        <v>2.6132325483346319E-2</v>
      </c>
      <c r="D124" s="2">
        <f t="shared" si="9"/>
        <v>-0.16034558647016184</v>
      </c>
      <c r="E124" s="3">
        <f t="shared" si="10"/>
        <v>0.18647791195350816</v>
      </c>
      <c r="F124">
        <f t="shared" si="14"/>
        <v>0.39566124775511063</v>
      </c>
      <c r="G124">
        <f t="shared" si="11"/>
        <v>0.47130699054188452</v>
      </c>
      <c r="H124">
        <f t="shared" si="15"/>
        <v>-0.51015507384588155</v>
      </c>
      <c r="P124" s="33">
        <f t="shared" si="12"/>
        <v>2.4445001205638195E-2</v>
      </c>
      <c r="Q124" s="33">
        <f t="shared" si="13"/>
        <v>7.1359095872408034</v>
      </c>
    </row>
    <row r="125" spans="1:17" x14ac:dyDescent="0.35">
      <c r="A125" s="13">
        <v>42550</v>
      </c>
      <c r="B125" s="14">
        <v>4195.32</v>
      </c>
      <c r="C125" s="2">
        <f t="shared" si="8"/>
        <v>2.6039106350196128E-2</v>
      </c>
      <c r="D125" s="2">
        <f t="shared" si="9"/>
        <v>5.4321296572760427E-2</v>
      </c>
      <c r="E125" s="3">
        <f t="shared" si="10"/>
        <v>-2.8282190222564299E-2</v>
      </c>
      <c r="F125">
        <f t="shared" si="14"/>
        <v>0.47078840788777426</v>
      </c>
      <c r="G125">
        <f t="shared" si="11"/>
        <v>-6.0074100697284284E-2</v>
      </c>
      <c r="H125">
        <f t="shared" si="15"/>
        <v>-0.40089438296635127</v>
      </c>
      <c r="P125" s="33">
        <f t="shared" si="12"/>
        <v>2.4351782072488004E-2</v>
      </c>
      <c r="Q125" s="33">
        <f t="shared" si="13"/>
        <v>1.0861428899364389</v>
      </c>
    </row>
    <row r="126" spans="1:17" x14ac:dyDescent="0.35">
      <c r="A126" s="13">
        <v>42551</v>
      </c>
      <c r="B126" s="14">
        <v>4237.4799999999996</v>
      </c>
      <c r="C126" s="2">
        <f t="shared" si="8"/>
        <v>1.0049293021747951E-2</v>
      </c>
      <c r="D126" s="2">
        <f t="shared" si="9"/>
        <v>0.10224319491094441</v>
      </c>
      <c r="E126" s="3">
        <f t="shared" si="10"/>
        <v>-9.2193901889196461E-2</v>
      </c>
      <c r="F126">
        <f t="shared" si="14"/>
        <v>9.0529270946090215E-2</v>
      </c>
      <c r="G126">
        <f t="shared" si="11"/>
        <v>-1.0183877648158408</v>
      </c>
      <c r="H126">
        <f t="shared" si="15"/>
        <v>-0.91764675394235962</v>
      </c>
      <c r="P126" s="33">
        <f t="shared" si="12"/>
        <v>8.3619687440398272E-3</v>
      </c>
      <c r="Q126" s="33">
        <f t="shared" si="13"/>
        <v>9.1741679429266423</v>
      </c>
    </row>
    <row r="127" spans="1:17" x14ac:dyDescent="0.35">
      <c r="A127" s="13">
        <v>42552</v>
      </c>
      <c r="B127" s="14">
        <v>4273.96</v>
      </c>
      <c r="C127" s="2">
        <f t="shared" si="8"/>
        <v>8.6088901894523229E-3</v>
      </c>
      <c r="D127" s="2">
        <f t="shared" si="9"/>
        <v>5.3231369012386107E-2</v>
      </c>
      <c r="E127" s="3">
        <f t="shared" si="10"/>
        <v>-4.4622478822933784E-2</v>
      </c>
      <c r="F127">
        <f t="shared" si="14"/>
        <v>1.0096169286541963</v>
      </c>
      <c r="G127">
        <f t="shared" si="11"/>
        <v>-4.4197435241517646E-2</v>
      </c>
      <c r="H127">
        <f t="shared" si="15"/>
        <v>-0.40006664082002158</v>
      </c>
      <c r="P127" s="33">
        <f t="shared" si="12"/>
        <v>6.9215659117441986E-3</v>
      </c>
      <c r="Q127" s="33">
        <f t="shared" si="13"/>
        <v>5.1833021261678516</v>
      </c>
    </row>
    <row r="128" spans="1:17" x14ac:dyDescent="0.35">
      <c r="A128" s="13">
        <v>42555</v>
      </c>
      <c r="B128" s="14">
        <v>4234.8599999999997</v>
      </c>
      <c r="C128" s="2">
        <f t="shared" si="8"/>
        <v>-9.1484244120207947E-3</v>
      </c>
      <c r="D128" s="2">
        <f t="shared" si="9"/>
        <v>3.5019880208013533E-2</v>
      </c>
      <c r="E128" s="3">
        <f t="shared" si="10"/>
        <v>-4.4168304620034328E-2</v>
      </c>
      <c r="F128">
        <f t="shared" si="14"/>
        <v>0.14260465075789552</v>
      </c>
      <c r="G128">
        <f t="shared" si="11"/>
        <v>-0.30972555512947658</v>
      </c>
      <c r="H128">
        <f t="shared" si="15"/>
        <v>-0.44705489392918873</v>
      </c>
      <c r="P128" s="33">
        <f t="shared" si="12"/>
        <v>-1.0835748689728919E-2</v>
      </c>
      <c r="Q128" s="33">
        <f t="shared" si="13"/>
        <v>4.8279684709421993</v>
      </c>
    </row>
    <row r="129" spans="1:17" x14ac:dyDescent="0.35">
      <c r="A129" s="13">
        <v>42556</v>
      </c>
      <c r="B129" s="14">
        <v>4163.42</v>
      </c>
      <c r="C129" s="2">
        <f t="shared" si="8"/>
        <v>-1.686950690223521E-2</v>
      </c>
      <c r="D129" s="2">
        <f t="shared" si="9"/>
        <v>-2.0563770425804668E-2</v>
      </c>
      <c r="E129" s="3">
        <f t="shared" si="10"/>
        <v>3.6942635235694583E-3</v>
      </c>
      <c r="F129">
        <f t="shared" si="14"/>
        <v>0.30882511440340726</v>
      </c>
      <c r="G129">
        <f t="shared" si="11"/>
        <v>1.196231572910153E-2</v>
      </c>
      <c r="H129">
        <f t="shared" si="15"/>
        <v>-0.39916148267785889</v>
      </c>
      <c r="P129" s="33">
        <f t="shared" si="12"/>
        <v>-1.8556831179943334E-2</v>
      </c>
      <c r="Q129" s="33">
        <f t="shared" si="13"/>
        <v>0.21899060505911813</v>
      </c>
    </row>
    <row r="130" spans="1:17" x14ac:dyDescent="0.35">
      <c r="A130" s="13">
        <v>42557</v>
      </c>
      <c r="B130" s="14">
        <v>4085.3</v>
      </c>
      <c r="C130" s="2">
        <f t="shared" si="8"/>
        <v>-1.8763420457220237E-2</v>
      </c>
      <c r="D130" s="2">
        <f t="shared" si="9"/>
        <v>-5.9520972265673835E-2</v>
      </c>
      <c r="E130" s="3">
        <f t="shared" si="10"/>
        <v>4.0757551808453599E-2</v>
      </c>
      <c r="F130">
        <f t="shared" si="14"/>
        <v>5.1120794751853514E-2</v>
      </c>
      <c r="G130">
        <f t="shared" si="11"/>
        <v>0.79727930691014604</v>
      </c>
      <c r="H130">
        <f t="shared" si="15"/>
        <v>-0.71691708079261895</v>
      </c>
      <c r="P130" s="33">
        <f t="shared" si="12"/>
        <v>-2.0450744734928361E-2</v>
      </c>
      <c r="Q130" s="33">
        <f t="shared" si="13"/>
        <v>2.1721813408903246</v>
      </c>
    </row>
    <row r="131" spans="1:17" x14ac:dyDescent="0.35">
      <c r="A131" s="13">
        <v>42558</v>
      </c>
      <c r="B131" s="14">
        <v>4117.8500000000004</v>
      </c>
      <c r="C131" s="2">
        <f t="shared" si="8"/>
        <v>7.9675911193792803E-3</v>
      </c>
      <c r="D131" s="2">
        <f t="shared" si="9"/>
        <v>-7.1982075074314589E-2</v>
      </c>
      <c r="E131" s="3">
        <f t="shared" si="10"/>
        <v>7.9949666193693869E-2</v>
      </c>
      <c r="F131">
        <f t="shared" si="14"/>
        <v>0.79058892112124268</v>
      </c>
      <c r="G131">
        <f t="shared" si="11"/>
        <v>0.10112672219123217</v>
      </c>
      <c r="H131">
        <f t="shared" si="15"/>
        <v>-0.40420324114962886</v>
      </c>
      <c r="P131" s="33">
        <f t="shared" si="12"/>
        <v>6.280266841671156E-3</v>
      </c>
      <c r="Q131" s="33">
        <f t="shared" si="13"/>
        <v>10.034358565317843</v>
      </c>
    </row>
    <row r="132" spans="1:17" x14ac:dyDescent="0.35">
      <c r="A132" s="13">
        <v>42559</v>
      </c>
      <c r="B132" s="14">
        <v>4190.68</v>
      </c>
      <c r="C132" s="2">
        <f t="shared" ref="C132:C195" si="16">(B132/B131)-1</f>
        <v>1.7686414026737207E-2</v>
      </c>
      <c r="D132" s="2">
        <f t="shared" si="9"/>
        <v>8.1840676553647344E-3</v>
      </c>
      <c r="E132" s="3">
        <f t="shared" si="10"/>
        <v>9.5023463713724728E-3</v>
      </c>
      <c r="F132">
        <f t="shared" si="14"/>
        <v>0.14715670473114614</v>
      </c>
      <c r="G132">
        <f t="shared" si="11"/>
        <v>6.4572976057959211E-2</v>
      </c>
      <c r="H132">
        <f t="shared" si="15"/>
        <v>-0.40117476879754843</v>
      </c>
      <c r="P132" s="33">
        <f t="shared" si="12"/>
        <v>1.5999089749029083E-2</v>
      </c>
      <c r="Q132" s="33">
        <f t="shared" si="13"/>
        <v>0.53726811760752768</v>
      </c>
    </row>
    <row r="133" spans="1:17" x14ac:dyDescent="0.35">
      <c r="A133" s="13">
        <v>42562</v>
      </c>
      <c r="B133" s="14">
        <v>4264.53</v>
      </c>
      <c r="C133" s="2">
        <f t="shared" si="16"/>
        <v>1.7622438363224857E-2</v>
      </c>
      <c r="D133" s="2">
        <f t="shared" si="9"/>
        <v>6.1001451436877879E-2</v>
      </c>
      <c r="E133" s="3">
        <f t="shared" si="10"/>
        <v>-4.3379013073653022E-2</v>
      </c>
      <c r="F133">
        <f t="shared" si="14"/>
        <v>7.2766061980638522E-2</v>
      </c>
      <c r="G133">
        <f t="shared" si="11"/>
        <v>-0.59614347530852008</v>
      </c>
      <c r="H133">
        <f t="shared" si="15"/>
        <v>-0.57678345575551759</v>
      </c>
      <c r="P133" s="33">
        <f t="shared" si="12"/>
        <v>1.5935114085516733E-2</v>
      </c>
      <c r="Q133" s="33">
        <f t="shared" si="13"/>
        <v>2.4615783684156853</v>
      </c>
    </row>
    <row r="134" spans="1:17" x14ac:dyDescent="0.35">
      <c r="A134" s="13">
        <v>42563</v>
      </c>
      <c r="B134" s="14">
        <v>4331.38</v>
      </c>
      <c r="C134" s="2">
        <f t="shared" si="16"/>
        <v>1.5675818906186745E-2</v>
      </c>
      <c r="D134" s="2">
        <f t="shared" ref="D134:D197" si="17">C133*$K$10+C132*$K$9</f>
        <v>6.9195706476299454E-2</v>
      </c>
      <c r="E134" s="3">
        <f t="shared" ref="E134:E197" si="18">C134-D134</f>
        <v>-5.3519887570112709E-2</v>
      </c>
      <c r="F134">
        <f t="shared" si="14"/>
        <v>0.59150516077174364</v>
      </c>
      <c r="G134">
        <f t="shared" ref="G134:G197" si="19">E134/F134</f>
        <v>-9.0480846355228225E-2</v>
      </c>
      <c r="H134">
        <f t="shared" si="15"/>
        <v>-0.40318332595763673</v>
      </c>
      <c r="P134" s="33">
        <f t="shared" ref="P134:P197" si="20" xml:space="preserve"> C134-$K$16</f>
        <v>1.398849462847862E-2</v>
      </c>
      <c r="Q134" s="33">
        <f t="shared" ref="Q134:Q197" si="21" xml:space="preserve"> ABS(E134)/ABS(C134)</f>
        <v>3.4141685286368113</v>
      </c>
    </row>
    <row r="135" spans="1:17" x14ac:dyDescent="0.35">
      <c r="A135" s="13">
        <v>42564</v>
      </c>
      <c r="B135" s="14">
        <v>4335.26</v>
      </c>
      <c r="C135" s="2">
        <f t="shared" si="16"/>
        <v>8.9578840923687508E-4</v>
      </c>
      <c r="D135" s="2">
        <f t="shared" si="17"/>
        <v>6.3183515074301602E-2</v>
      </c>
      <c r="E135" s="3">
        <f t="shared" si="18"/>
        <v>-6.2287726665064727E-2</v>
      </c>
      <c r="F135">
        <f t="shared" ref="F135:F198" si="22">($K$5+$K$6*G134^2+$K$7*F134^2)^(1/2)</f>
        <v>0.12208069646903898</v>
      </c>
      <c r="G135">
        <f t="shared" si="19"/>
        <v>-0.5102176549333628</v>
      </c>
      <c r="H135">
        <f t="shared" ref="H135:H198" si="23">- (G135^2)/2 - LOG(2*PI())/2</f>
        <v>-0.52925096188190757</v>
      </c>
      <c r="P135" s="33">
        <f t="shared" si="20"/>
        <v>-7.9153586847124924E-4</v>
      </c>
      <c r="Q135" s="33">
        <f t="shared" si="21"/>
        <v>69.533972557345137</v>
      </c>
    </row>
    <row r="136" spans="1:17" x14ac:dyDescent="0.35">
      <c r="A136" s="13">
        <v>42565</v>
      </c>
      <c r="B136" s="14">
        <v>4385.5200000000004</v>
      </c>
      <c r="C136" s="2">
        <f t="shared" si="16"/>
        <v>1.1593306975821616E-2</v>
      </c>
      <c r="D136" s="2">
        <f t="shared" si="17"/>
        <v>1.6273818746881618E-2</v>
      </c>
      <c r="E136" s="3">
        <f t="shared" si="18"/>
        <v>-4.6805117710600024E-3</v>
      </c>
      <c r="F136">
        <f t="shared" si="22"/>
        <v>0.50665411485176681</v>
      </c>
      <c r="G136">
        <f t="shared" si="19"/>
        <v>-9.2380810376510858E-3</v>
      </c>
      <c r="H136">
        <f t="shared" si="23"/>
        <v>-0.39913260524968663</v>
      </c>
      <c r="P136" s="33">
        <f t="shared" si="20"/>
        <v>9.9059826981134913E-3</v>
      </c>
      <c r="Q136" s="33">
        <f t="shared" si="21"/>
        <v>0.40372533745733025</v>
      </c>
    </row>
    <row r="137" spans="1:17" x14ac:dyDescent="0.35">
      <c r="A137" s="13">
        <v>42566</v>
      </c>
      <c r="B137" s="14">
        <v>4372.51</v>
      </c>
      <c r="C137" s="2">
        <f t="shared" si="16"/>
        <v>-2.9665809299695978E-3</v>
      </c>
      <c r="D137" s="2">
        <f t="shared" si="17"/>
        <v>3.6250661812528874E-2</v>
      </c>
      <c r="E137" s="3">
        <f t="shared" si="18"/>
        <v>-3.9217242742498472E-2</v>
      </c>
      <c r="F137">
        <f t="shared" si="22"/>
        <v>7.308014329960813E-2</v>
      </c>
      <c r="G137">
        <f t="shared" si="19"/>
        <v>-0.53663335855430327</v>
      </c>
      <c r="H137">
        <f t="shared" si="23"/>
        <v>-0.54307761493569329</v>
      </c>
      <c r="P137" s="33">
        <f t="shared" si="20"/>
        <v>-4.6539052076777221E-3</v>
      </c>
      <c r="Q137" s="33">
        <f t="shared" si="21"/>
        <v>13.219677355271202</v>
      </c>
    </row>
    <row r="138" spans="1:17" x14ac:dyDescent="0.35">
      <c r="A138" s="13">
        <v>42569</v>
      </c>
      <c r="B138" s="14">
        <v>4357.74</v>
      </c>
      <c r="C138" s="2">
        <f t="shared" si="16"/>
        <v>-3.377922520474641E-3</v>
      </c>
      <c r="D138" s="2">
        <f t="shared" si="17"/>
        <v>9.3002278514211362E-4</v>
      </c>
      <c r="E138" s="3">
        <f t="shared" si="18"/>
        <v>-4.3079453056167546E-3</v>
      </c>
      <c r="F138">
        <f t="shared" si="22"/>
        <v>0.53262235113292122</v>
      </c>
      <c r="G138">
        <f t="shared" si="19"/>
        <v>-8.0881797327008228E-3</v>
      </c>
      <c r="H138">
        <f t="shared" si="23"/>
        <v>-0.39912264350475174</v>
      </c>
      <c r="P138" s="33">
        <f t="shared" si="20"/>
        <v>-5.0652467981827654E-3</v>
      </c>
      <c r="Q138" s="33">
        <f t="shared" si="21"/>
        <v>1.27532389493985</v>
      </c>
    </row>
    <row r="139" spans="1:17" x14ac:dyDescent="0.35">
      <c r="A139" s="13">
        <v>42570</v>
      </c>
      <c r="B139" s="14">
        <v>4330.13</v>
      </c>
      <c r="C139" s="2">
        <f t="shared" si="16"/>
        <v>-6.3358529880166436E-3</v>
      </c>
      <c r="D139" s="2">
        <f t="shared" si="17"/>
        <v>-1.2897955328267808E-2</v>
      </c>
      <c r="E139" s="3">
        <f t="shared" si="18"/>
        <v>6.5621023402511643E-3</v>
      </c>
      <c r="F139">
        <f t="shared" si="22"/>
        <v>7.6071637343605086E-2</v>
      </c>
      <c r="G139">
        <f t="shared" si="19"/>
        <v>8.6262141441902376E-2</v>
      </c>
      <c r="H139">
        <f t="shared" si="23"/>
        <v>-0.40281051270212892</v>
      </c>
      <c r="P139" s="33">
        <f t="shared" si="20"/>
        <v>-8.023177265724768E-3</v>
      </c>
      <c r="Q139" s="33">
        <f t="shared" si="21"/>
        <v>1.0357093753062829</v>
      </c>
    </row>
    <row r="140" spans="1:17" x14ac:dyDescent="0.35">
      <c r="A140" s="13">
        <v>42571</v>
      </c>
      <c r="B140" s="14">
        <v>4379.76</v>
      </c>
      <c r="C140" s="2">
        <f t="shared" si="16"/>
        <v>1.1461549653243752E-2</v>
      </c>
      <c r="D140" s="2">
        <f t="shared" si="17"/>
        <v>-2.2304790824464262E-2</v>
      </c>
      <c r="E140" s="3">
        <f t="shared" si="18"/>
        <v>3.3766340477708018E-2</v>
      </c>
      <c r="F140">
        <f t="shared" si="22"/>
        <v>9.0737964171499735E-2</v>
      </c>
      <c r="G140">
        <f t="shared" si="19"/>
        <v>0.3721302410299594</v>
      </c>
      <c r="H140">
        <f t="shared" si="23"/>
        <v>-0.46833039232356538</v>
      </c>
      <c r="P140" s="33">
        <f t="shared" si="20"/>
        <v>9.7742253755356279E-3</v>
      </c>
      <c r="Q140" s="33">
        <f t="shared" si="21"/>
        <v>2.9460536750501056</v>
      </c>
    </row>
    <row r="141" spans="1:17" x14ac:dyDescent="0.35">
      <c r="A141" s="13">
        <v>42572</v>
      </c>
      <c r="B141" s="14">
        <v>4376.25</v>
      </c>
      <c r="C141" s="2">
        <f t="shared" si="16"/>
        <v>-8.0141377609732611E-4</v>
      </c>
      <c r="D141" s="2">
        <f t="shared" si="17"/>
        <v>2.9604558103352042E-2</v>
      </c>
      <c r="E141" s="3">
        <f t="shared" si="18"/>
        <v>-3.0405971879449368E-2</v>
      </c>
      <c r="F141">
        <f t="shared" si="22"/>
        <v>0.37006157941655482</v>
      </c>
      <c r="G141">
        <f t="shared" si="19"/>
        <v>-8.2164627647614549E-2</v>
      </c>
      <c r="H141">
        <f t="shared" si="23"/>
        <v>-0.4024654471972931</v>
      </c>
      <c r="P141" s="33">
        <f t="shared" si="20"/>
        <v>-2.4887380538054504E-3</v>
      </c>
      <c r="Q141" s="33">
        <f t="shared" si="21"/>
        <v>37.940415783115732</v>
      </c>
    </row>
    <row r="142" spans="1:17" x14ac:dyDescent="0.35">
      <c r="A142" s="13">
        <v>42573</v>
      </c>
      <c r="B142" s="14">
        <v>4381.1000000000004</v>
      </c>
      <c r="C142" s="2">
        <f t="shared" si="16"/>
        <v>1.1082547843475066E-3</v>
      </c>
      <c r="D142" s="2">
        <f t="shared" si="17"/>
        <v>7.4420329549478251E-3</v>
      </c>
      <c r="E142" s="3">
        <f t="shared" si="18"/>
        <v>-6.3337781706003186E-3</v>
      </c>
      <c r="F142">
        <f t="shared" si="22"/>
        <v>9.9091903901537826E-2</v>
      </c>
      <c r="G142">
        <f t="shared" si="19"/>
        <v>-6.3918220573235179E-2</v>
      </c>
      <c r="H142">
        <f t="shared" si="23"/>
        <v>-0.4011327036396819</v>
      </c>
      <c r="P142" s="33">
        <f t="shared" si="20"/>
        <v>-5.7906949336061775E-4</v>
      </c>
      <c r="Q142" s="33">
        <f t="shared" si="21"/>
        <v>5.7150921070278784</v>
      </c>
    </row>
    <row r="143" spans="1:17" x14ac:dyDescent="0.35">
      <c r="A143" s="13">
        <v>42576</v>
      </c>
      <c r="B143" s="14">
        <v>4388</v>
      </c>
      <c r="C143" s="2">
        <f t="shared" si="16"/>
        <v>1.5749469311359121E-3</v>
      </c>
      <c r="D143" s="2">
        <f t="shared" si="17"/>
        <v>2.6995929084140009E-3</v>
      </c>
      <c r="E143" s="3">
        <f t="shared" si="18"/>
        <v>-1.1246459772780888E-3</v>
      </c>
      <c r="F143">
        <f t="shared" si="22"/>
        <v>7.0767453167774441E-2</v>
      </c>
      <c r="G143">
        <f t="shared" si="19"/>
        <v>-1.5892135818591557E-2</v>
      </c>
      <c r="H143">
        <f t="shared" si="23"/>
        <v>-0.39921621416949582</v>
      </c>
      <c r="P143" s="33">
        <f t="shared" si="20"/>
        <v>-1.1237734657221221E-4</v>
      </c>
      <c r="Q143" s="33">
        <f t="shared" si="21"/>
        <v>0.71408499870338549</v>
      </c>
    </row>
    <row r="144" spans="1:17" x14ac:dyDescent="0.35">
      <c r="A144" s="13">
        <v>42577</v>
      </c>
      <c r="B144" s="14">
        <v>4394.7700000000004</v>
      </c>
      <c r="C144" s="2">
        <f t="shared" si="16"/>
        <v>1.542844120328235E-3</v>
      </c>
      <c r="D144" s="2">
        <f t="shared" si="17"/>
        <v>5.7763163648340702E-3</v>
      </c>
      <c r="E144" s="3">
        <f t="shared" si="18"/>
        <v>-4.2334722445058351E-3</v>
      </c>
      <c r="F144">
        <f t="shared" si="22"/>
        <v>3.4078465802303698E-2</v>
      </c>
      <c r="G144">
        <f t="shared" si="19"/>
        <v>-0.12422719582111157</v>
      </c>
      <c r="H144">
        <f t="shared" si="23"/>
        <v>-0.40680613226984591</v>
      </c>
      <c r="P144" s="33">
        <f t="shared" si="20"/>
        <v>-1.4448015737988928E-4</v>
      </c>
      <c r="Q144" s="33">
        <f t="shared" si="21"/>
        <v>2.7439403558184332</v>
      </c>
    </row>
    <row r="145" spans="1:17" x14ac:dyDescent="0.35">
      <c r="A145" s="13">
        <v>42578</v>
      </c>
      <c r="B145" s="14">
        <v>4446.96</v>
      </c>
      <c r="C145" s="2">
        <f t="shared" si="16"/>
        <v>1.1875479262851041E-2</v>
      </c>
      <c r="D145" s="2">
        <f t="shared" si="17"/>
        <v>6.0809610245005953E-3</v>
      </c>
      <c r="E145" s="3">
        <f t="shared" si="18"/>
        <v>5.7945182383504455E-3</v>
      </c>
      <c r="F145">
        <f t="shared" si="22"/>
        <v>0.12649219033181638</v>
      </c>
      <c r="G145">
        <f t="shared" si="19"/>
        <v>4.5809296393320174E-2</v>
      </c>
      <c r="H145">
        <f t="shared" si="23"/>
        <v>-0.40013917999708304</v>
      </c>
      <c r="P145" s="33">
        <f t="shared" si="20"/>
        <v>1.0188154985142917E-2</v>
      </c>
      <c r="Q145" s="33">
        <f t="shared" si="21"/>
        <v>0.48793973784930927</v>
      </c>
    </row>
    <row r="146" spans="1:17" x14ac:dyDescent="0.35">
      <c r="A146" s="13">
        <v>42579</v>
      </c>
      <c r="B146" s="14">
        <v>4420.58</v>
      </c>
      <c r="C146" s="2">
        <f t="shared" si="16"/>
        <v>-5.9321424073974782E-3</v>
      </c>
      <c r="D146" s="2">
        <f t="shared" si="17"/>
        <v>3.7672741477444406E-2</v>
      </c>
      <c r="E146" s="3">
        <f t="shared" si="18"/>
        <v>-4.3604883884841884E-2</v>
      </c>
      <c r="F146">
        <f t="shared" si="22"/>
        <v>5.6245799489718973E-2</v>
      </c>
      <c r="G146">
        <f t="shared" si="19"/>
        <v>-0.77525582853191211</v>
      </c>
      <c r="H146">
        <f t="shared" si="23"/>
        <v>-0.69960073401540823</v>
      </c>
      <c r="P146" s="33">
        <f t="shared" si="20"/>
        <v>-7.6194666851056025E-3</v>
      </c>
      <c r="Q146" s="33">
        <f t="shared" si="21"/>
        <v>7.3506131326965249</v>
      </c>
    </row>
    <row r="147" spans="1:17" x14ac:dyDescent="0.35">
      <c r="A147" s="13">
        <v>42580</v>
      </c>
      <c r="B147" s="14">
        <v>4439.8100000000004</v>
      </c>
      <c r="C147" s="2">
        <f t="shared" si="16"/>
        <v>4.3501079043928303E-3</v>
      </c>
      <c r="D147" s="2">
        <f t="shared" si="17"/>
        <v>-7.9014706267086735E-3</v>
      </c>
      <c r="E147" s="3">
        <f t="shared" si="18"/>
        <v>1.2251578531101504E-2</v>
      </c>
      <c r="F147">
        <f t="shared" si="22"/>
        <v>0.7687873299824266</v>
      </c>
      <c r="G147">
        <f t="shared" si="19"/>
        <v>1.5936238870353857E-2</v>
      </c>
      <c r="H147">
        <f t="shared" si="23"/>
        <v>-0.399216916033724</v>
      </c>
      <c r="P147" s="33">
        <f t="shared" si="20"/>
        <v>2.662783626684706E-3</v>
      </c>
      <c r="Q147" s="33">
        <f t="shared" si="21"/>
        <v>2.816384972595646</v>
      </c>
    </row>
    <row r="148" spans="1:17" x14ac:dyDescent="0.35">
      <c r="A148" s="13">
        <v>42583</v>
      </c>
      <c r="B148" s="14">
        <v>4409.17</v>
      </c>
      <c r="C148" s="2">
        <f t="shared" si="16"/>
        <v>-6.9011962223609613E-3</v>
      </c>
      <c r="D148" s="2">
        <f t="shared" si="17"/>
        <v>8.1909379735710074E-3</v>
      </c>
      <c r="E148" s="3">
        <f t="shared" si="18"/>
        <v>-1.5092134195931969E-2</v>
      </c>
      <c r="F148">
        <f t="shared" si="22"/>
        <v>0.10618894805824544</v>
      </c>
      <c r="G148">
        <f t="shared" si="19"/>
        <v>-0.14212528207411773</v>
      </c>
      <c r="H148">
        <f t="shared" si="23"/>
        <v>-0.40918973208138132</v>
      </c>
      <c r="P148" s="33">
        <f t="shared" si="20"/>
        <v>-8.5885205000690856E-3</v>
      </c>
      <c r="Q148" s="33">
        <f t="shared" si="21"/>
        <v>2.1868866946618732</v>
      </c>
    </row>
    <row r="149" spans="1:17" x14ac:dyDescent="0.35">
      <c r="A149" s="13">
        <v>42584</v>
      </c>
      <c r="B149" s="14">
        <v>4327.99</v>
      </c>
      <c r="C149" s="2">
        <f t="shared" si="16"/>
        <v>-1.8411628492437382E-2</v>
      </c>
      <c r="D149" s="2">
        <f t="shared" si="17"/>
        <v>-1.7363403880067695E-2</v>
      </c>
      <c r="E149" s="3">
        <f t="shared" si="18"/>
        <v>-1.0482246123696866E-3</v>
      </c>
      <c r="F149">
        <f t="shared" si="22"/>
        <v>0.14441543328732512</v>
      </c>
      <c r="G149">
        <f t="shared" si="19"/>
        <v>-7.2583974476202046E-3</v>
      </c>
      <c r="H149">
        <f t="shared" si="23"/>
        <v>-0.39911627634581132</v>
      </c>
      <c r="P149" s="33">
        <f t="shared" si="20"/>
        <v>-2.0098952770145506E-2</v>
      </c>
      <c r="Q149" s="33">
        <f t="shared" si="21"/>
        <v>5.6932748387805411E-2</v>
      </c>
    </row>
    <row r="150" spans="1:17" x14ac:dyDescent="0.35">
      <c r="A150" s="13">
        <v>42585</v>
      </c>
      <c r="B150" s="14">
        <v>4321.08</v>
      </c>
      <c r="C150" s="2">
        <f t="shared" si="16"/>
        <v>-1.5965840956193578E-3</v>
      </c>
      <c r="D150" s="2">
        <f t="shared" si="17"/>
        <v>-6.2300128571520709E-2</v>
      </c>
      <c r="E150" s="3">
        <f t="shared" si="18"/>
        <v>6.0703544475901351E-2</v>
      </c>
      <c r="F150">
        <f t="shared" si="22"/>
        <v>3.5193391318653039E-2</v>
      </c>
      <c r="G150">
        <f t="shared" si="19"/>
        <v>1.7248563494853517</v>
      </c>
      <c r="H150">
        <f t="shared" si="23"/>
        <v>-1.8866546473590244</v>
      </c>
      <c r="P150" s="33">
        <f t="shared" si="20"/>
        <v>-3.2839083733274821E-3</v>
      </c>
      <c r="Q150" s="33">
        <f t="shared" si="21"/>
        <v>38.020887620299646</v>
      </c>
    </row>
    <row r="151" spans="1:17" x14ac:dyDescent="0.35">
      <c r="A151" s="13">
        <v>42586</v>
      </c>
      <c r="B151" s="14">
        <v>4345.63</v>
      </c>
      <c r="C151" s="2">
        <f t="shared" si="16"/>
        <v>5.6814500078683494E-3</v>
      </c>
      <c r="D151" s="2">
        <f t="shared" si="17"/>
        <v>-2.0780124045408081E-2</v>
      </c>
      <c r="E151" s="3">
        <f t="shared" si="18"/>
        <v>2.646157405327643E-2</v>
      </c>
      <c r="F151">
        <f t="shared" si="22"/>
        <v>1.7094367705625182</v>
      </c>
      <c r="G151">
        <f t="shared" si="19"/>
        <v>1.5479703320391789E-2</v>
      </c>
      <c r="H151">
        <f t="shared" si="23"/>
        <v>-0.39920974478650118</v>
      </c>
      <c r="P151" s="33">
        <f t="shared" si="20"/>
        <v>3.9941257301602251E-3</v>
      </c>
      <c r="Q151" s="33">
        <f t="shared" si="21"/>
        <v>4.6575388354432912</v>
      </c>
    </row>
    <row r="152" spans="1:17" x14ac:dyDescent="0.35">
      <c r="A152" s="13">
        <v>42587</v>
      </c>
      <c r="B152" s="14">
        <v>4410.55</v>
      </c>
      <c r="C152" s="2">
        <f t="shared" si="16"/>
        <v>1.4939145762524753E-2</v>
      </c>
      <c r="D152" s="2">
        <f t="shared" si="17"/>
        <v>1.600784016608893E-2</v>
      </c>
      <c r="E152" s="3">
        <f t="shared" si="18"/>
        <v>-1.0686944035641771E-3</v>
      </c>
      <c r="F152">
        <f t="shared" si="22"/>
        <v>0.22691800234612955</v>
      </c>
      <c r="G152">
        <f t="shared" si="19"/>
        <v>-4.7096060802352879E-3</v>
      </c>
      <c r="H152">
        <f t="shared" si="23"/>
        <v>-0.39910102437377304</v>
      </c>
      <c r="P152" s="33">
        <f t="shared" si="20"/>
        <v>1.3251821484816628E-2</v>
      </c>
      <c r="Q152" s="33">
        <f t="shared" si="21"/>
        <v>7.153651356994091E-2</v>
      </c>
    </row>
    <row r="153" spans="1:17" x14ac:dyDescent="0.35">
      <c r="A153" s="13">
        <v>42590</v>
      </c>
      <c r="B153" s="14">
        <v>4415.46</v>
      </c>
      <c r="C153" s="2">
        <f t="shared" si="16"/>
        <v>1.113239845370817E-3</v>
      </c>
      <c r="D153" s="2">
        <f t="shared" si="17"/>
        <v>5.0620805303490279E-2</v>
      </c>
      <c r="E153" s="3">
        <f t="shared" si="18"/>
        <v>-4.9507565458119462E-2</v>
      </c>
      <c r="F153">
        <f t="shared" si="22"/>
        <v>4.1681221080708798E-2</v>
      </c>
      <c r="G153">
        <f t="shared" si="19"/>
        <v>-1.1877666770427919</v>
      </c>
      <c r="H153">
        <f t="shared" si="23"/>
        <v>-1.1044847737256955</v>
      </c>
      <c r="P153" s="33">
        <f t="shared" si="20"/>
        <v>-5.7408443233730733E-4</v>
      </c>
      <c r="Q153" s="33">
        <f t="shared" si="21"/>
        <v>44.471607501282563</v>
      </c>
    </row>
    <row r="154" spans="1:17" x14ac:dyDescent="0.35">
      <c r="A154" s="13">
        <v>42591</v>
      </c>
      <c r="B154" s="14">
        <v>4468.07</v>
      </c>
      <c r="C154" s="2">
        <f t="shared" si="16"/>
        <v>1.1914953368391989E-2</v>
      </c>
      <c r="D154" s="2">
        <f t="shared" si="17"/>
        <v>1.6303301900221685E-2</v>
      </c>
      <c r="E154" s="3">
        <f t="shared" si="18"/>
        <v>-4.3883485318296951E-3</v>
      </c>
      <c r="F154">
        <f t="shared" si="22"/>
        <v>1.177341579294843</v>
      </c>
      <c r="G154">
        <f t="shared" si="19"/>
        <v>-3.7273367466203419E-3</v>
      </c>
      <c r="H154">
        <f t="shared" si="23"/>
        <v>-0.39909688069866889</v>
      </c>
      <c r="P154" s="33">
        <f t="shared" si="20"/>
        <v>1.0227629090683865E-2</v>
      </c>
      <c r="Q154" s="33">
        <f t="shared" si="21"/>
        <v>0.36830597620894717</v>
      </c>
    </row>
    <row r="155" spans="1:17" x14ac:dyDescent="0.35">
      <c r="A155" s="13">
        <v>42592</v>
      </c>
      <c r="B155" s="14">
        <v>4452.01</v>
      </c>
      <c r="C155" s="2">
        <f t="shared" si="16"/>
        <v>-3.5943931048527666E-3</v>
      </c>
      <c r="D155" s="2">
        <f t="shared" si="17"/>
        <v>3.7422671228164013E-2</v>
      </c>
      <c r="E155" s="3">
        <f t="shared" si="18"/>
        <v>-4.101706433301678E-2</v>
      </c>
      <c r="F155">
        <f t="shared" si="22"/>
        <v>0.15735891921879094</v>
      </c>
      <c r="G155">
        <f t="shared" si="19"/>
        <v>-0.26065929110752778</v>
      </c>
      <c r="H155">
        <f t="shared" si="23"/>
        <v>-0.43306156719939698</v>
      </c>
      <c r="P155" s="33">
        <f t="shared" si="20"/>
        <v>-5.281717382560891E-3</v>
      </c>
      <c r="Q155" s="33">
        <f t="shared" si="21"/>
        <v>11.411401907498629</v>
      </c>
    </row>
    <row r="156" spans="1:17" x14ac:dyDescent="0.35">
      <c r="A156" s="13">
        <v>42593</v>
      </c>
      <c r="B156" s="14">
        <v>4503.95</v>
      </c>
      <c r="C156" s="2">
        <f t="shared" si="16"/>
        <v>1.1666640461274635E-2</v>
      </c>
      <c r="D156" s="2">
        <f t="shared" si="17"/>
        <v>-7.1351179346068605E-4</v>
      </c>
      <c r="E156" s="3">
        <f t="shared" si="18"/>
        <v>1.2380152254735322E-2</v>
      </c>
      <c r="F156">
        <f t="shared" si="22"/>
        <v>0.26070826459465513</v>
      </c>
      <c r="G156">
        <f t="shared" si="19"/>
        <v>4.7486612186935374E-2</v>
      </c>
      <c r="H156">
        <f t="shared" si="23"/>
        <v>-0.40021742334755372</v>
      </c>
      <c r="P156" s="33">
        <f t="shared" si="20"/>
        <v>9.9793161835665112E-3</v>
      </c>
      <c r="Q156" s="33">
        <f t="shared" si="21"/>
        <v>1.0611582910975155</v>
      </c>
    </row>
    <row r="157" spans="1:17" x14ac:dyDescent="0.35">
      <c r="A157" s="13">
        <v>42594</v>
      </c>
      <c r="B157" s="14">
        <v>4500.1899999999996</v>
      </c>
      <c r="C157" s="2">
        <f t="shared" si="16"/>
        <v>-8.3482276668267463E-4</v>
      </c>
      <c r="D157" s="2">
        <f t="shared" si="17"/>
        <v>3.2598806018716751E-2</v>
      </c>
      <c r="E157" s="3">
        <f t="shared" si="18"/>
        <v>-3.3433628785399426E-2</v>
      </c>
      <c r="F157">
        <f t="shared" si="22"/>
        <v>6.4916070201750858E-2</v>
      </c>
      <c r="G157">
        <f t="shared" si="19"/>
        <v>-0.51502853887322475</v>
      </c>
      <c r="H157">
        <f t="shared" si="23"/>
        <v>-0.53171713210600191</v>
      </c>
      <c r="P157" s="33">
        <f t="shared" si="20"/>
        <v>-2.522147044390799E-3</v>
      </c>
      <c r="Q157" s="33">
        <f t="shared" si="21"/>
        <v>40.048774565952776</v>
      </c>
    </row>
    <row r="158" spans="1:17" x14ac:dyDescent="0.35">
      <c r="A158" s="13">
        <v>42597</v>
      </c>
      <c r="B158" s="14">
        <v>4497.8599999999997</v>
      </c>
      <c r="C158" s="2">
        <f t="shared" si="16"/>
        <v>-5.1775591697234002E-4</v>
      </c>
      <c r="D158" s="2">
        <f t="shared" si="17"/>
        <v>7.5168462306690973E-3</v>
      </c>
      <c r="E158" s="3">
        <f t="shared" si="18"/>
        <v>-8.0346021476414373E-3</v>
      </c>
      <c r="F158">
        <f t="shared" si="22"/>
        <v>0.51123092378582891</v>
      </c>
      <c r="G158">
        <f t="shared" si="19"/>
        <v>-1.57161896391999E-2</v>
      </c>
      <c r="H158">
        <f t="shared" si="23"/>
        <v>-0.39921343348744515</v>
      </c>
      <c r="P158" s="33">
        <f t="shared" si="20"/>
        <v>-2.2050801946804643E-3</v>
      </c>
      <c r="Q158" s="33">
        <f t="shared" si="21"/>
        <v>15.51812714111516</v>
      </c>
    </row>
    <row r="159" spans="1:17" x14ac:dyDescent="0.35">
      <c r="A159" s="13">
        <v>42598</v>
      </c>
      <c r="B159" s="14">
        <v>4460.4399999999996</v>
      </c>
      <c r="C159" s="2">
        <f t="shared" si="16"/>
        <v>-8.3195119456808131E-3</v>
      </c>
      <c r="D159" s="2">
        <f t="shared" si="17"/>
        <v>-2.3050976201612903E-3</v>
      </c>
      <c r="E159" s="3">
        <f t="shared" si="18"/>
        <v>-6.0144143255195228E-3</v>
      </c>
      <c r="F159">
        <f t="shared" si="22"/>
        <v>7.4698309914911082E-2</v>
      </c>
      <c r="G159">
        <f t="shared" si="19"/>
        <v>-8.0516069672400187E-2</v>
      </c>
      <c r="H159">
        <f t="shared" si="23"/>
        <v>-0.40233135291680294</v>
      </c>
      <c r="P159" s="33">
        <f t="shared" si="20"/>
        <v>-1.0006836223388937E-2</v>
      </c>
      <c r="Q159" s="33">
        <f t="shared" si="21"/>
        <v>0.72292874447304412</v>
      </c>
    </row>
    <row r="160" spans="1:17" x14ac:dyDescent="0.35">
      <c r="A160" s="13">
        <v>42599</v>
      </c>
      <c r="B160" s="14">
        <v>4417.68</v>
      </c>
      <c r="C160" s="2">
        <f t="shared" si="16"/>
        <v>-9.5864981930032789E-3</v>
      </c>
      <c r="D160" s="2">
        <f t="shared" si="17"/>
        <v>-2.5905985869685854E-2</v>
      </c>
      <c r="E160" s="3">
        <f t="shared" si="18"/>
        <v>1.6319487676682575E-2</v>
      </c>
      <c r="F160">
        <f t="shared" si="22"/>
        <v>8.5374562890087463E-2</v>
      </c>
      <c r="G160">
        <f t="shared" si="19"/>
        <v>0.19115163960127721</v>
      </c>
      <c r="H160">
        <f t="shared" si="23"/>
        <v>-0.4173594088401858</v>
      </c>
      <c r="P160" s="33">
        <f t="shared" si="20"/>
        <v>-1.1273822470711403E-2</v>
      </c>
      <c r="Q160" s="33">
        <f t="shared" si="21"/>
        <v>1.702340870266202</v>
      </c>
    </row>
    <row r="161" spans="1:17" x14ac:dyDescent="0.35">
      <c r="A161" s="13">
        <v>42600</v>
      </c>
      <c r="B161" s="14">
        <v>4437.0600000000004</v>
      </c>
      <c r="C161" s="2">
        <f t="shared" si="16"/>
        <v>4.386918020318431E-3</v>
      </c>
      <c r="D161" s="2">
        <f t="shared" si="17"/>
        <v>-3.6518235749792557E-2</v>
      </c>
      <c r="E161" s="3">
        <f t="shared" si="18"/>
        <v>4.0905153770110989E-2</v>
      </c>
      <c r="F161">
        <f t="shared" si="22"/>
        <v>0.19191370883553571</v>
      </c>
      <c r="G161">
        <f t="shared" si="19"/>
        <v>0.21314346962657826</v>
      </c>
      <c r="H161">
        <f t="shared" si="23"/>
        <v>-0.42180500350128558</v>
      </c>
      <c r="P161" s="33">
        <f t="shared" si="20"/>
        <v>2.6995937426103067E-3</v>
      </c>
      <c r="Q161" s="33">
        <f t="shared" si="21"/>
        <v>9.3243487980980841</v>
      </c>
    </row>
    <row r="162" spans="1:17" x14ac:dyDescent="0.35">
      <c r="A162" s="13">
        <v>42601</v>
      </c>
      <c r="B162" s="14">
        <v>4400.5200000000004</v>
      </c>
      <c r="C162" s="2">
        <f t="shared" si="16"/>
        <v>-8.2351827561493174E-3</v>
      </c>
      <c r="D162" s="2">
        <f t="shared" si="17"/>
        <v>5.1488635498050887E-3</v>
      </c>
      <c r="E162" s="3">
        <f t="shared" si="18"/>
        <v>-1.3384046305954406E-2</v>
      </c>
      <c r="F162">
        <f t="shared" si="22"/>
        <v>0.21464177603469023</v>
      </c>
      <c r="G162">
        <f t="shared" si="19"/>
        <v>-6.2355271900989523E-2</v>
      </c>
      <c r="H162">
        <f t="shared" si="23"/>
        <v>-0.40103402414598072</v>
      </c>
      <c r="P162" s="33">
        <f t="shared" si="20"/>
        <v>-9.9225070338574417E-3</v>
      </c>
      <c r="Q162" s="33">
        <f t="shared" si="21"/>
        <v>1.6252275999534274</v>
      </c>
    </row>
    <row r="163" spans="1:17" x14ac:dyDescent="0.35">
      <c r="A163" s="13">
        <v>42604</v>
      </c>
      <c r="B163" s="14">
        <v>4389.9399999999996</v>
      </c>
      <c r="C163" s="2">
        <f t="shared" si="16"/>
        <v>-2.4042613145720537E-3</v>
      </c>
      <c r="D163" s="2">
        <f t="shared" si="17"/>
        <v>-2.1413835874806646E-2</v>
      </c>
      <c r="E163" s="3">
        <f t="shared" si="18"/>
        <v>1.9009574560234593E-2</v>
      </c>
      <c r="F163">
        <f t="shared" si="22"/>
        <v>7.3755415858764647E-2</v>
      </c>
      <c r="G163">
        <f t="shared" si="19"/>
        <v>0.25773801610225222</v>
      </c>
      <c r="H163">
        <f t="shared" si="23"/>
        <v>-0.43230437665121996</v>
      </c>
      <c r="P163" s="33">
        <f t="shared" si="20"/>
        <v>-4.091585592280178E-3</v>
      </c>
      <c r="Q163" s="33">
        <f t="shared" si="21"/>
        <v>7.906617489962068</v>
      </c>
    </row>
    <row r="164" spans="1:17" x14ac:dyDescent="0.35">
      <c r="A164" s="13">
        <v>42605</v>
      </c>
      <c r="B164" s="14">
        <v>4421.45</v>
      </c>
      <c r="C164" s="2">
        <f t="shared" si="16"/>
        <v>7.1777746392889252E-3</v>
      </c>
      <c r="D164" s="2">
        <f t="shared" si="17"/>
        <v>-1.4466658125283523E-2</v>
      </c>
      <c r="E164" s="3">
        <f t="shared" si="18"/>
        <v>2.1644432764572449E-2</v>
      </c>
      <c r="F164">
        <f t="shared" si="22"/>
        <v>0.25719322514609982</v>
      </c>
      <c r="G164">
        <f t="shared" si="19"/>
        <v>8.4156309919428185E-2</v>
      </c>
      <c r="H164">
        <f t="shared" si="23"/>
        <v>-0.40263107642868495</v>
      </c>
      <c r="P164" s="33">
        <f t="shared" si="20"/>
        <v>5.4904503615808009E-3</v>
      </c>
      <c r="Q164" s="33">
        <f t="shared" si="21"/>
        <v>3.0154795674550017</v>
      </c>
    </row>
    <row r="165" spans="1:17" x14ac:dyDescent="0.35">
      <c r="A165" s="13">
        <v>42606</v>
      </c>
      <c r="B165" s="14">
        <v>4435.47</v>
      </c>
      <c r="C165" s="2">
        <f t="shared" si="16"/>
        <v>3.1709054721869023E-3</v>
      </c>
      <c r="D165" s="2">
        <f t="shared" si="17"/>
        <v>1.9889580962431784E-2</v>
      </c>
      <c r="E165" s="3">
        <f t="shared" si="18"/>
        <v>-1.6718675490244882E-2</v>
      </c>
      <c r="F165">
        <f t="shared" si="22"/>
        <v>9.4459973693001367E-2</v>
      </c>
      <c r="G165">
        <f t="shared" si="19"/>
        <v>-0.17699216754581401</v>
      </c>
      <c r="H165">
        <f t="shared" si="23"/>
        <v>-0.41475304786534029</v>
      </c>
      <c r="P165" s="33">
        <f t="shared" si="20"/>
        <v>1.483581194478778E-3</v>
      </c>
      <c r="Q165" s="33">
        <f t="shared" si="21"/>
        <v>5.2725240903237607</v>
      </c>
    </row>
    <row r="166" spans="1:17" x14ac:dyDescent="0.35">
      <c r="A166" s="13">
        <v>42607</v>
      </c>
      <c r="B166" s="14">
        <v>4406.6099999999997</v>
      </c>
      <c r="C166" s="2">
        <f t="shared" si="16"/>
        <v>-6.5066385298515605E-3</v>
      </c>
      <c r="D166" s="2">
        <f t="shared" si="17"/>
        <v>1.5899874730317322E-2</v>
      </c>
      <c r="E166" s="3">
        <f t="shared" si="18"/>
        <v>-2.2406513260168882E-2</v>
      </c>
      <c r="F166">
        <f t="shared" si="22"/>
        <v>0.17815896169325912</v>
      </c>
      <c r="G166">
        <f t="shared" si="19"/>
        <v>-0.12576697263619416</v>
      </c>
      <c r="H166">
        <f t="shared" si="23"/>
        <v>-0.40699859988209414</v>
      </c>
      <c r="P166" s="33">
        <f t="shared" si="20"/>
        <v>-8.1939628075596849E-3</v>
      </c>
      <c r="Q166" s="33">
        <f t="shared" si="21"/>
        <v>3.4436388555120878</v>
      </c>
    </row>
    <row r="167" spans="1:17" x14ac:dyDescent="0.35">
      <c r="A167" s="13">
        <v>42608</v>
      </c>
      <c r="B167" s="14">
        <v>4441.87</v>
      </c>
      <c r="C167" s="2">
        <f t="shared" si="16"/>
        <v>8.0016157545141908E-3</v>
      </c>
      <c r="D167" s="2">
        <f t="shared" si="17"/>
        <v>-1.7173972735229037E-2</v>
      </c>
      <c r="E167" s="3">
        <f t="shared" si="18"/>
        <v>2.5175588489743227E-2</v>
      </c>
      <c r="F167">
        <f t="shared" si="22"/>
        <v>0.13002296518740125</v>
      </c>
      <c r="G167">
        <f t="shared" si="19"/>
        <v>0.19362416826487394</v>
      </c>
      <c r="H167">
        <f t="shared" si="23"/>
        <v>-0.41783509344718961</v>
      </c>
      <c r="P167" s="33">
        <f t="shared" si="20"/>
        <v>6.3142914768060665E-3</v>
      </c>
      <c r="Q167" s="33">
        <f t="shared" si="21"/>
        <v>3.1463131025180968</v>
      </c>
    </row>
    <row r="168" spans="1:17" x14ac:dyDescent="0.35">
      <c r="A168" s="13">
        <v>42611</v>
      </c>
      <c r="B168" s="14">
        <v>4424.25</v>
      </c>
      <c r="C168" s="2">
        <f t="shared" si="16"/>
        <v>-3.9667977676068888E-3</v>
      </c>
      <c r="D168" s="2">
        <f t="shared" si="17"/>
        <v>1.8869179255266464E-2</v>
      </c>
      <c r="E168" s="3">
        <f t="shared" si="18"/>
        <v>-2.2835977022873353E-2</v>
      </c>
      <c r="F168">
        <f t="shared" si="22"/>
        <v>0.19475883650206521</v>
      </c>
      <c r="G168">
        <f t="shared" si="19"/>
        <v>-0.11725258495591394</v>
      </c>
      <c r="H168">
        <f t="shared" si="23"/>
        <v>-0.40596401851847941</v>
      </c>
      <c r="P168" s="33">
        <f t="shared" si="20"/>
        <v>-5.6541220453150132E-3</v>
      </c>
      <c r="Q168" s="33">
        <f t="shared" si="21"/>
        <v>5.7567787320425881</v>
      </c>
    </row>
    <row r="169" spans="1:17" x14ac:dyDescent="0.35">
      <c r="A169" s="13">
        <v>42612</v>
      </c>
      <c r="B169" s="14">
        <v>4457.49</v>
      </c>
      <c r="C169" s="2">
        <f t="shared" si="16"/>
        <v>7.5131378199695398E-3</v>
      </c>
      <c r="D169" s="2">
        <f t="shared" si="17"/>
        <v>-5.2314209212017682E-3</v>
      </c>
      <c r="E169" s="3">
        <f t="shared" si="18"/>
        <v>1.2744558741171308E-2</v>
      </c>
      <c r="F169">
        <f t="shared" si="22"/>
        <v>0.12239713812380455</v>
      </c>
      <c r="G169">
        <f t="shared" si="19"/>
        <v>0.1041246465115892</v>
      </c>
      <c r="H169">
        <f t="shared" si="23"/>
        <v>-0.40451090518463922</v>
      </c>
      <c r="P169" s="33">
        <f t="shared" si="20"/>
        <v>5.8258135422614155E-3</v>
      </c>
      <c r="Q169" s="33">
        <f t="shared" si="21"/>
        <v>1.6963030689117558</v>
      </c>
    </row>
    <row r="170" spans="1:17" x14ac:dyDescent="0.35">
      <c r="A170" s="13">
        <v>42613</v>
      </c>
      <c r="B170" s="14">
        <v>4438.22</v>
      </c>
      <c r="C170" s="2">
        <f t="shared" si="16"/>
        <v>-4.3230607359746598E-3</v>
      </c>
      <c r="D170" s="2">
        <f t="shared" si="17"/>
        <v>1.9566944338104412E-2</v>
      </c>
      <c r="E170" s="3">
        <f t="shared" si="18"/>
        <v>-2.3890005074079072E-2</v>
      </c>
      <c r="F170">
        <f t="shared" si="22"/>
        <v>0.1083112666376294</v>
      </c>
      <c r="G170">
        <f t="shared" si="19"/>
        <v>-0.22056805183533168</v>
      </c>
      <c r="H170">
        <f t="shared" si="23"/>
        <v>-0.42341506692427433</v>
      </c>
      <c r="P170" s="33">
        <f t="shared" si="20"/>
        <v>-6.0103850136827841E-3</v>
      </c>
      <c r="Q170" s="33">
        <f t="shared" si="21"/>
        <v>5.526178449281705</v>
      </c>
    </row>
    <row r="171" spans="1:17" x14ac:dyDescent="0.35">
      <c r="A171" s="13">
        <v>42614</v>
      </c>
      <c r="B171" s="14">
        <v>4439.67</v>
      </c>
      <c r="C171" s="2">
        <f t="shared" si="16"/>
        <v>3.2670755392927298E-4</v>
      </c>
      <c r="D171" s="2">
        <f t="shared" si="17"/>
        <v>-6.7433333071708857E-3</v>
      </c>
      <c r="E171" s="3">
        <f t="shared" si="18"/>
        <v>7.0700408611001587E-3</v>
      </c>
      <c r="F171">
        <f t="shared" si="22"/>
        <v>0.22090683091277441</v>
      </c>
      <c r="G171">
        <f t="shared" si="19"/>
        <v>3.2004627615575099E-2</v>
      </c>
      <c r="H171">
        <f t="shared" si="23"/>
        <v>-0.39960208227346333</v>
      </c>
      <c r="P171" s="33">
        <f t="shared" si="20"/>
        <v>-1.3606167237788513E-3</v>
      </c>
      <c r="Q171" s="33">
        <f t="shared" si="21"/>
        <v>21.640273621070637</v>
      </c>
    </row>
    <row r="172" spans="1:17" x14ac:dyDescent="0.35">
      <c r="A172" s="13">
        <v>42615</v>
      </c>
      <c r="B172" s="14">
        <v>4542.17</v>
      </c>
      <c r="C172" s="2">
        <f t="shared" si="16"/>
        <v>2.3087301533672555E-2</v>
      </c>
      <c r="D172" s="2">
        <f t="shared" si="17"/>
        <v>-2.7322197338241882E-3</v>
      </c>
      <c r="E172" s="3">
        <f t="shared" si="18"/>
        <v>2.5819521267496745E-2</v>
      </c>
      <c r="F172">
        <f t="shared" si="22"/>
        <v>5.171905602009514E-2</v>
      </c>
      <c r="G172">
        <f t="shared" si="19"/>
        <v>0.49922646031019435</v>
      </c>
      <c r="H172">
        <f t="shared" si="23"/>
        <v>-0.52370346351598052</v>
      </c>
      <c r="P172" s="33">
        <f t="shared" si="20"/>
        <v>2.1399977255964431E-2</v>
      </c>
      <c r="Q172" s="33">
        <f t="shared" si="21"/>
        <v>1.1183429657138266</v>
      </c>
    </row>
    <row r="173" spans="1:17" x14ac:dyDescent="0.35">
      <c r="A173" s="13">
        <v>42618</v>
      </c>
      <c r="B173" s="14">
        <v>4541.08</v>
      </c>
      <c r="C173" s="2">
        <f t="shared" si="16"/>
        <v>-2.3997340478232321E-4</v>
      </c>
      <c r="D173" s="2">
        <f t="shared" si="17"/>
        <v>7.093282485695146E-2</v>
      </c>
      <c r="E173" s="3">
        <f t="shared" si="18"/>
        <v>-7.1172798261733783E-2</v>
      </c>
      <c r="F173">
        <f t="shared" si="22"/>
        <v>0.49557340807088457</v>
      </c>
      <c r="G173">
        <f t="shared" si="19"/>
        <v>-0.1436170648033511</v>
      </c>
      <c r="H173">
        <f t="shared" si="23"/>
        <v>-0.40940286483042249</v>
      </c>
      <c r="P173" s="33">
        <f t="shared" si="20"/>
        <v>-1.9272976824904475E-3</v>
      </c>
      <c r="Q173" s="33">
        <f t="shared" si="21"/>
        <v>296.58619181693786</v>
      </c>
    </row>
    <row r="174" spans="1:17" x14ac:dyDescent="0.35">
      <c r="A174" s="13">
        <v>42619</v>
      </c>
      <c r="B174" s="14">
        <v>4529.96</v>
      </c>
      <c r="C174" s="2">
        <f t="shared" si="16"/>
        <v>-2.4487566834321406E-3</v>
      </c>
      <c r="D174" s="2">
        <f t="shared" si="17"/>
        <v>1.9196366574041657E-2</v>
      </c>
      <c r="E174" s="3">
        <f t="shared" si="18"/>
        <v>-2.1645123257473798E-2</v>
      </c>
      <c r="F174">
        <f t="shared" si="22"/>
        <v>0.15911665591727414</v>
      </c>
      <c r="G174">
        <f t="shared" si="19"/>
        <v>-0.13603304526917187</v>
      </c>
      <c r="H174">
        <f t="shared" si="23"/>
        <v>-0.40834242888165984</v>
      </c>
      <c r="P174" s="33">
        <f t="shared" si="20"/>
        <v>-4.1360809611402649E-3</v>
      </c>
      <c r="Q174" s="33">
        <f t="shared" si="21"/>
        <v>8.8392298850763389</v>
      </c>
    </row>
    <row r="175" spans="1:17" x14ac:dyDescent="0.35">
      <c r="A175" s="13">
        <v>42620</v>
      </c>
      <c r="B175" s="14">
        <v>4557.66</v>
      </c>
      <c r="C175" s="2">
        <f t="shared" si="16"/>
        <v>6.114844281185583E-3</v>
      </c>
      <c r="D175" s="2">
        <f t="shared" si="17"/>
        <v>-7.7007452536725432E-3</v>
      </c>
      <c r="E175" s="3">
        <f t="shared" si="18"/>
        <v>1.3815589534858126E-2</v>
      </c>
      <c r="F175">
        <f t="shared" si="22"/>
        <v>0.1394065560723885</v>
      </c>
      <c r="G175">
        <f t="shared" si="19"/>
        <v>9.9102868072318051E-2</v>
      </c>
      <c r="H175">
        <f t="shared" si="23"/>
        <v>-0.40400062340913717</v>
      </c>
      <c r="P175" s="33">
        <f t="shared" si="20"/>
        <v>4.4275200034774587E-3</v>
      </c>
      <c r="Q175" s="33">
        <f t="shared" si="21"/>
        <v>2.2593526342717389</v>
      </c>
    </row>
    <row r="176" spans="1:17" x14ac:dyDescent="0.35">
      <c r="A176" s="13">
        <v>42621</v>
      </c>
      <c r="B176" s="14">
        <v>4542.2</v>
      </c>
      <c r="C176" s="2">
        <f t="shared" si="16"/>
        <v>-3.392091555754484E-3</v>
      </c>
      <c r="D176" s="2">
        <f t="shared" si="17"/>
        <v>1.6598434530659643E-2</v>
      </c>
      <c r="E176" s="3">
        <f t="shared" si="18"/>
        <v>-1.9990526086414127E-2</v>
      </c>
      <c r="F176">
        <f t="shared" si="22"/>
        <v>0.10395226490014067</v>
      </c>
      <c r="G176">
        <f t="shared" si="19"/>
        <v>-0.19230486325254734</v>
      </c>
      <c r="H176">
        <f t="shared" si="23"/>
        <v>-0.41758051439434801</v>
      </c>
      <c r="P176" s="33">
        <f t="shared" si="20"/>
        <v>-5.0794158334626083E-3</v>
      </c>
      <c r="Q176" s="33">
        <f t="shared" si="21"/>
        <v>5.8932743287843676</v>
      </c>
    </row>
    <row r="177" spans="1:17" x14ac:dyDescent="0.35">
      <c r="A177" s="13">
        <v>42622</v>
      </c>
      <c r="B177" s="14">
        <v>4491.3999999999996</v>
      </c>
      <c r="C177" s="2">
        <f t="shared" si="16"/>
        <v>-1.1184007749548752E-2</v>
      </c>
      <c r="D177" s="2">
        <f t="shared" si="17"/>
        <v>-5.1015345493947879E-3</v>
      </c>
      <c r="E177" s="3">
        <f t="shared" si="18"/>
        <v>-6.0824732001539643E-3</v>
      </c>
      <c r="F177">
        <f t="shared" si="22"/>
        <v>0.19319882205112571</v>
      </c>
      <c r="G177">
        <f t="shared" si="19"/>
        <v>-3.1482972492163412E-2</v>
      </c>
      <c r="H177">
        <f t="shared" si="23"/>
        <v>-0.39958552295752869</v>
      </c>
      <c r="P177" s="33">
        <f t="shared" si="20"/>
        <v>-1.2871332027256877E-2</v>
      </c>
      <c r="Q177" s="33">
        <f t="shared" si="21"/>
        <v>0.54385452302636128</v>
      </c>
    </row>
    <row r="178" spans="1:17" x14ac:dyDescent="0.35">
      <c r="A178" s="13">
        <v>42625</v>
      </c>
      <c r="B178" s="14">
        <v>4439.8</v>
      </c>
      <c r="C178" s="2">
        <f t="shared" si="16"/>
        <v>-1.1488622701162132E-2</v>
      </c>
      <c r="D178" s="2">
        <f t="shared" si="17"/>
        <v>-3.715314124015659E-2</v>
      </c>
      <c r="E178" s="3">
        <f t="shared" si="18"/>
        <v>2.5664518538994457E-2</v>
      </c>
      <c r="F178">
        <f t="shared" si="22"/>
        <v>4.9440137224385748E-2</v>
      </c>
      <c r="G178">
        <f t="shared" si="19"/>
        <v>0.5191028985723718</v>
      </c>
      <c r="H178">
        <f t="shared" si="23"/>
        <v>-0.53382384383217663</v>
      </c>
      <c r="P178" s="33">
        <f t="shared" si="20"/>
        <v>-1.3175946978870257E-2</v>
      </c>
      <c r="Q178" s="33">
        <f t="shared" si="21"/>
        <v>2.2339073365511743</v>
      </c>
    </row>
    <row r="179" spans="1:17" x14ac:dyDescent="0.35">
      <c r="A179" s="13">
        <v>42626</v>
      </c>
      <c r="B179" s="14">
        <v>4387.18</v>
      </c>
      <c r="C179" s="2">
        <f t="shared" si="16"/>
        <v>-1.1851885220054981E-2</v>
      </c>
      <c r="D179" s="2">
        <f t="shared" si="17"/>
        <v>-4.4811888593243476E-2</v>
      </c>
      <c r="E179" s="3">
        <f t="shared" si="18"/>
        <v>3.2960003373188496E-2</v>
      </c>
      <c r="F179">
        <f t="shared" si="22"/>
        <v>0.51523173568789549</v>
      </c>
      <c r="G179">
        <f t="shared" si="19"/>
        <v>6.397122127809729E-2</v>
      </c>
      <c r="H179">
        <f t="shared" si="23"/>
        <v>-0.40113609275496315</v>
      </c>
      <c r="P179" s="33">
        <f t="shared" si="20"/>
        <v>-1.3539209497763105E-2</v>
      </c>
      <c r="Q179" s="33">
        <f t="shared" si="21"/>
        <v>2.7809924548894336</v>
      </c>
    </row>
    <row r="180" spans="1:17" x14ac:dyDescent="0.35">
      <c r="A180" s="13">
        <v>42627</v>
      </c>
      <c r="B180" s="14">
        <v>4370.26</v>
      </c>
      <c r="C180" s="2">
        <f t="shared" si="16"/>
        <v>-3.8566915421751613E-3</v>
      </c>
      <c r="D180" s="2">
        <f t="shared" si="17"/>
        <v>-4.6186496130327492E-2</v>
      </c>
      <c r="E180" s="3">
        <f t="shared" si="18"/>
        <v>4.2329804588152331E-2</v>
      </c>
      <c r="F180">
        <f t="shared" si="22"/>
        <v>9.7090096228378414E-2</v>
      </c>
      <c r="G180">
        <f t="shared" si="19"/>
        <v>0.43598478354149345</v>
      </c>
      <c r="H180">
        <f t="shared" si="23"/>
        <v>-0.49413129991891896</v>
      </c>
      <c r="P180" s="33">
        <f t="shared" si="20"/>
        <v>-5.5440158198832856E-3</v>
      </c>
      <c r="Q180" s="33">
        <f t="shared" si="21"/>
        <v>10.9756780196838</v>
      </c>
    </row>
    <row r="181" spans="1:17" x14ac:dyDescent="0.35">
      <c r="A181" s="13">
        <v>42628</v>
      </c>
      <c r="B181" s="14">
        <v>4373.22</v>
      </c>
      <c r="C181" s="2">
        <f t="shared" si="16"/>
        <v>6.7730524042053375E-4</v>
      </c>
      <c r="D181" s="2">
        <f t="shared" si="17"/>
        <v>-2.2033537781381417E-2</v>
      </c>
      <c r="E181" s="3">
        <f t="shared" si="18"/>
        <v>2.2710843021801951E-2</v>
      </c>
      <c r="F181">
        <f t="shared" si="22"/>
        <v>0.43316831161481212</v>
      </c>
      <c r="G181">
        <f t="shared" si="19"/>
        <v>5.2429603950339743E-2</v>
      </c>
      <c r="H181">
        <f t="shared" si="23"/>
        <v>-0.40046436586425227</v>
      </c>
      <c r="P181" s="33">
        <f t="shared" si="20"/>
        <v>-1.0100190372875906E-3</v>
      </c>
      <c r="Q181" s="33">
        <f t="shared" si="21"/>
        <v>33.531178656909489</v>
      </c>
    </row>
    <row r="182" spans="1:17" x14ac:dyDescent="0.35">
      <c r="A182" s="13">
        <v>42629</v>
      </c>
      <c r="B182" s="14">
        <v>4332.45</v>
      </c>
      <c r="C182" s="2">
        <f t="shared" si="16"/>
        <v>-9.3226501296528319E-3</v>
      </c>
      <c r="D182" s="2">
        <f t="shared" si="17"/>
        <v>-1.2567299589981806E-3</v>
      </c>
      <c r="E182" s="3">
        <f t="shared" si="18"/>
        <v>-8.0659201706546509E-3</v>
      </c>
      <c r="F182">
        <f t="shared" si="22"/>
        <v>8.2244704798633675E-2</v>
      </c>
      <c r="G182">
        <f t="shared" si="19"/>
        <v>-9.8072212556456886E-2</v>
      </c>
      <c r="H182">
        <f t="shared" si="23"/>
        <v>-0.40389901361691694</v>
      </c>
      <c r="P182" s="33">
        <f t="shared" si="20"/>
        <v>-1.1009974407360956E-2</v>
      </c>
      <c r="Q182" s="33">
        <f t="shared" si="21"/>
        <v>0.86519606104267899</v>
      </c>
    </row>
    <row r="183" spans="1:17" x14ac:dyDescent="0.35">
      <c r="A183" s="13">
        <v>42632</v>
      </c>
      <c r="B183" s="14">
        <v>4394.1899999999996</v>
      </c>
      <c r="C183" s="2">
        <f t="shared" si="16"/>
        <v>1.4250597237128959E-2</v>
      </c>
      <c r="D183" s="2">
        <f t="shared" si="17"/>
        <v>-2.7944078890434709E-2</v>
      </c>
      <c r="E183" s="3">
        <f t="shared" si="18"/>
        <v>4.2194676127563668E-2</v>
      </c>
      <c r="F183">
        <f t="shared" si="22"/>
        <v>0.10192092915171616</v>
      </c>
      <c r="G183">
        <f t="shared" si="19"/>
        <v>0.41399422551136728</v>
      </c>
      <c r="H183">
        <f t="shared" si="23"/>
        <v>-0.48478554355743597</v>
      </c>
      <c r="P183" s="33">
        <f t="shared" si="20"/>
        <v>1.2563272959420835E-2</v>
      </c>
      <c r="Q183" s="33">
        <f t="shared" si="21"/>
        <v>2.960905808047702</v>
      </c>
    </row>
    <row r="184" spans="1:17" x14ac:dyDescent="0.35">
      <c r="A184" s="13">
        <v>42633</v>
      </c>
      <c r="B184" s="14">
        <v>4388.6000000000004</v>
      </c>
      <c r="C184" s="2">
        <f t="shared" si="16"/>
        <v>-1.2721343410274644E-3</v>
      </c>
      <c r="D184" s="2">
        <f t="shared" si="17"/>
        <v>3.5561052279339062E-2</v>
      </c>
      <c r="E184" s="3">
        <f t="shared" si="18"/>
        <v>-3.6833186620366526E-2</v>
      </c>
      <c r="F184">
        <f t="shared" si="22"/>
        <v>0.41145824923658048</v>
      </c>
      <c r="G184">
        <f t="shared" si="19"/>
        <v>-8.9518649070001177E-2</v>
      </c>
      <c r="H184">
        <f t="shared" si="23"/>
        <v>-0.40309672844471656</v>
      </c>
      <c r="P184" s="33">
        <f t="shared" si="20"/>
        <v>-2.9594586187355887E-3</v>
      </c>
      <c r="Q184" s="33">
        <f t="shared" si="21"/>
        <v>28.95384978807936</v>
      </c>
    </row>
    <row r="185" spans="1:17" x14ac:dyDescent="0.35">
      <c r="A185" s="13">
        <v>42634</v>
      </c>
      <c r="B185" s="14">
        <v>4409.55</v>
      </c>
      <c r="C185" s="2">
        <f t="shared" si="16"/>
        <v>4.7737319418492685E-3</v>
      </c>
      <c r="D185" s="2">
        <f t="shared" si="17"/>
        <v>8.4092727642830593E-3</v>
      </c>
      <c r="E185" s="3">
        <f t="shared" si="18"/>
        <v>-3.6355408224337908E-3</v>
      </c>
      <c r="F185">
        <f t="shared" si="22"/>
        <v>0.10778337965189259</v>
      </c>
      <c r="G185">
        <f t="shared" si="19"/>
        <v>-3.3730068904644459E-2</v>
      </c>
      <c r="H185">
        <f t="shared" si="23"/>
        <v>-0.39965879295321355</v>
      </c>
      <c r="P185" s="33">
        <f t="shared" si="20"/>
        <v>3.0864076641411442E-3</v>
      </c>
      <c r="Q185" s="33">
        <f t="shared" si="21"/>
        <v>0.76157205027843256</v>
      </c>
    </row>
    <row r="186" spans="1:17" x14ac:dyDescent="0.35">
      <c r="A186" s="13">
        <v>42635</v>
      </c>
      <c r="B186" s="14">
        <v>4509.82</v>
      </c>
      <c r="C186" s="2">
        <f t="shared" si="16"/>
        <v>2.2739281786123167E-2</v>
      </c>
      <c r="D186" s="2">
        <f t="shared" si="17"/>
        <v>1.3510169467074179E-2</v>
      </c>
      <c r="E186" s="3">
        <f t="shared" si="18"/>
        <v>9.229112319048988E-3</v>
      </c>
      <c r="F186">
        <f t="shared" si="22"/>
        <v>4.6309295188567738E-2</v>
      </c>
      <c r="G186">
        <f t="shared" si="19"/>
        <v>0.19929286942219229</v>
      </c>
      <c r="H186">
        <f t="shared" si="23"/>
        <v>-0.418948758080323</v>
      </c>
      <c r="P186" s="33">
        <f t="shared" si="20"/>
        <v>2.1051957508415042E-2</v>
      </c>
      <c r="Q186" s="33">
        <f t="shared" si="21"/>
        <v>0.40586648276117188</v>
      </c>
    </row>
    <row r="187" spans="1:17" x14ac:dyDescent="0.35">
      <c r="A187" s="13">
        <v>42636</v>
      </c>
      <c r="B187" s="14">
        <v>4488.6899999999996</v>
      </c>
      <c r="C187" s="2">
        <f t="shared" si="16"/>
        <v>-4.685331121862979E-3</v>
      </c>
      <c r="D187" s="2">
        <f t="shared" si="17"/>
        <v>7.3706840813085581E-2</v>
      </c>
      <c r="E187" s="3">
        <f t="shared" si="18"/>
        <v>-7.839217193494856E-2</v>
      </c>
      <c r="F187">
        <f t="shared" si="22"/>
        <v>0.19965797657048398</v>
      </c>
      <c r="G187">
        <f t="shared" si="19"/>
        <v>-0.39263230691549289</v>
      </c>
      <c r="H187">
        <f t="shared" si="23"/>
        <v>-0.47616999839594842</v>
      </c>
      <c r="P187" s="33">
        <f t="shared" si="20"/>
        <v>-6.3726553995711033E-3</v>
      </c>
      <c r="Q187" s="33">
        <f t="shared" si="21"/>
        <v>16.73140486680871</v>
      </c>
    </row>
    <row r="188" spans="1:17" x14ac:dyDescent="0.35">
      <c r="A188" s="13">
        <v>42639</v>
      </c>
      <c r="B188" s="14">
        <v>4407.8500000000004</v>
      </c>
      <c r="C188" s="2">
        <f t="shared" si="16"/>
        <v>-1.8009708846010608E-2</v>
      </c>
      <c r="D188" s="2">
        <f t="shared" si="17"/>
        <v>5.2924332284206132E-3</v>
      </c>
      <c r="E188" s="3">
        <f t="shared" si="18"/>
        <v>-2.3302142074431223E-2</v>
      </c>
      <c r="F188">
        <f t="shared" si="22"/>
        <v>0.39100778704379546</v>
      </c>
      <c r="G188">
        <f t="shared" si="19"/>
        <v>-5.9595084411506183E-2</v>
      </c>
      <c r="H188">
        <f t="shared" si="23"/>
        <v>-0.40086572122206482</v>
      </c>
      <c r="P188" s="33">
        <f t="shared" si="20"/>
        <v>-1.9697033123718732E-2</v>
      </c>
      <c r="Q188" s="33">
        <f t="shared" si="21"/>
        <v>1.2938655629401228</v>
      </c>
    </row>
    <row r="189" spans="1:17" x14ac:dyDescent="0.35">
      <c r="A189" s="13">
        <v>42640</v>
      </c>
      <c r="B189" s="14">
        <v>4398.68</v>
      </c>
      <c r="C189" s="2">
        <f t="shared" si="16"/>
        <v>-2.08037932325289E-3</v>
      </c>
      <c r="D189" s="2">
        <f t="shared" si="17"/>
        <v>-5.9157286933955958E-2</v>
      </c>
      <c r="E189" s="3">
        <f t="shared" si="18"/>
        <v>5.7076907610703068E-2</v>
      </c>
      <c r="F189">
        <f t="shared" si="22"/>
        <v>8.3383004397918015E-2</v>
      </c>
      <c r="G189">
        <f t="shared" si="19"/>
        <v>0.68451488433209084</v>
      </c>
      <c r="H189">
        <f t="shared" si="23"/>
        <v>-0.63337024761514538</v>
      </c>
      <c r="P189" s="33">
        <f t="shared" si="20"/>
        <v>-3.7677036009610143E-3</v>
      </c>
      <c r="Q189" s="33">
        <f t="shared" si="21"/>
        <v>27.435817580352303</v>
      </c>
    </row>
    <row r="190" spans="1:17" x14ac:dyDescent="0.35">
      <c r="A190" s="13">
        <v>42641</v>
      </c>
      <c r="B190" s="14">
        <v>4432.45</v>
      </c>
      <c r="C190" s="2">
        <f t="shared" si="16"/>
        <v>7.6773031909571632E-3</v>
      </c>
      <c r="D190" s="2">
        <f t="shared" si="17"/>
        <v>-2.1913646031811673E-2</v>
      </c>
      <c r="E190" s="3">
        <f t="shared" si="18"/>
        <v>2.9590949222768836E-2</v>
      </c>
      <c r="F190">
        <f t="shared" si="22"/>
        <v>0.67899474533380089</v>
      </c>
      <c r="G190">
        <f t="shared" si="19"/>
        <v>4.358052757569076E-2</v>
      </c>
      <c r="H190">
        <f t="shared" si="23"/>
        <v>-0.40003956537094532</v>
      </c>
      <c r="P190" s="33">
        <f t="shared" si="20"/>
        <v>5.9899789132490389E-3</v>
      </c>
      <c r="Q190" s="33">
        <f t="shared" si="21"/>
        <v>3.8543416205866428</v>
      </c>
    </row>
    <row r="191" spans="1:17" x14ac:dyDescent="0.35">
      <c r="A191" s="13">
        <v>42642</v>
      </c>
      <c r="B191" s="14">
        <v>4443.84</v>
      </c>
      <c r="C191" s="2">
        <f t="shared" si="16"/>
        <v>2.5696849372243147E-3</v>
      </c>
      <c r="D191" s="2">
        <f t="shared" si="17"/>
        <v>2.1697816844039194E-2</v>
      </c>
      <c r="E191" s="3">
        <f t="shared" si="18"/>
        <v>-1.912813190681488E-2</v>
      </c>
      <c r="F191">
        <f t="shared" si="22"/>
        <v>0.10318989144057431</v>
      </c>
      <c r="G191">
        <f t="shared" si="19"/>
        <v>-0.18536827241290896</v>
      </c>
      <c r="H191">
        <f t="shared" si="23"/>
        <v>-0.41627063238773077</v>
      </c>
      <c r="P191" s="33">
        <f t="shared" si="20"/>
        <v>8.8236065951619036E-4</v>
      </c>
      <c r="Q191" s="33">
        <f t="shared" si="21"/>
        <v>7.4437654319896627</v>
      </c>
    </row>
    <row r="192" spans="1:17" x14ac:dyDescent="0.35">
      <c r="A192" s="13">
        <v>42643</v>
      </c>
      <c r="B192" s="14">
        <v>4448.26</v>
      </c>
      <c r="C192" s="2">
        <f t="shared" si="16"/>
        <v>9.9463527039689303E-4</v>
      </c>
      <c r="D192" s="2">
        <f t="shared" si="17"/>
        <v>1.4491276239940443E-2</v>
      </c>
      <c r="E192" s="3">
        <f t="shared" si="18"/>
        <v>-1.349664096954355E-2</v>
      </c>
      <c r="F192">
        <f t="shared" si="22"/>
        <v>0.18641532280498602</v>
      </c>
      <c r="G192">
        <f t="shared" si="19"/>
        <v>-7.2400920516940248E-2</v>
      </c>
      <c r="H192">
        <f t="shared" si="23"/>
        <v>-0.40171088082490769</v>
      </c>
      <c r="P192" s="33">
        <f t="shared" si="20"/>
        <v>-6.9268900731123129E-4</v>
      </c>
      <c r="Q192" s="33">
        <f t="shared" si="21"/>
        <v>13.569437331694395</v>
      </c>
    </row>
    <row r="193" spans="1:17" x14ac:dyDescent="0.35">
      <c r="A193" s="13">
        <v>42646</v>
      </c>
      <c r="B193" s="14">
        <v>4453.5600000000004</v>
      </c>
      <c r="C193" s="2">
        <f t="shared" si="16"/>
        <v>1.1914771168952676E-3</v>
      </c>
      <c r="D193" s="2">
        <f t="shared" si="17"/>
        <v>5.2620893016410691E-3</v>
      </c>
      <c r="E193" s="3">
        <f t="shared" si="18"/>
        <v>-4.0706121847458015E-3</v>
      </c>
      <c r="F193">
        <f t="shared" si="22"/>
        <v>8.1078547176024598E-2</v>
      </c>
      <c r="G193">
        <f t="shared" si="19"/>
        <v>-5.0205785951101811E-2</v>
      </c>
      <c r="H193">
        <f t="shared" si="23"/>
        <v>-0.40035024465054148</v>
      </c>
      <c r="P193" s="33">
        <f t="shared" si="20"/>
        <v>-4.9584716081285674E-4</v>
      </c>
      <c r="Q193" s="33">
        <f t="shared" si="21"/>
        <v>3.4164417654557555</v>
      </c>
    </row>
    <row r="194" spans="1:17" x14ac:dyDescent="0.35">
      <c r="A194" s="13">
        <v>42647</v>
      </c>
      <c r="B194" s="14">
        <v>4503.09</v>
      </c>
      <c r="C194" s="2">
        <f t="shared" si="16"/>
        <v>1.112143992671033E-2</v>
      </c>
      <c r="D194" s="2">
        <f t="shared" si="17"/>
        <v>4.5047531732619614E-3</v>
      </c>
      <c r="E194" s="3">
        <f t="shared" si="18"/>
        <v>6.6166867534483689E-3</v>
      </c>
      <c r="F194">
        <f t="shared" si="22"/>
        <v>5.8441476912863326E-2</v>
      </c>
      <c r="G194">
        <f t="shared" si="19"/>
        <v>0.11321902017147681</v>
      </c>
      <c r="H194">
        <f t="shared" si="23"/>
        <v>-0.40549920744335216</v>
      </c>
      <c r="P194" s="33">
        <f t="shared" si="20"/>
        <v>9.434115649002206E-3</v>
      </c>
      <c r="Q194" s="33">
        <f t="shared" si="21"/>
        <v>0.5949487473791133</v>
      </c>
    </row>
    <row r="195" spans="1:17" x14ac:dyDescent="0.35">
      <c r="A195" s="13">
        <v>42648</v>
      </c>
      <c r="B195" s="14">
        <v>4489.95</v>
      </c>
      <c r="C195" s="2">
        <f t="shared" si="16"/>
        <v>-2.9179963092010874E-3</v>
      </c>
      <c r="D195" s="2">
        <f t="shared" si="17"/>
        <v>3.5061935269977446E-2</v>
      </c>
      <c r="E195" s="3">
        <f t="shared" si="18"/>
        <v>-3.7979931579178533E-2</v>
      </c>
      <c r="F195">
        <f t="shared" si="22"/>
        <v>0.11607150507622173</v>
      </c>
      <c r="G195">
        <f t="shared" si="19"/>
        <v>-0.32721150254955261</v>
      </c>
      <c r="H195">
        <f t="shared" si="23"/>
        <v>-0.45262361787942545</v>
      </c>
      <c r="P195" s="33">
        <f t="shared" si="20"/>
        <v>-4.6053205869092118E-3</v>
      </c>
      <c r="Q195" s="33">
        <f t="shared" si="21"/>
        <v>13.015757237053183</v>
      </c>
    </row>
    <row r="196" spans="1:17" x14ac:dyDescent="0.35">
      <c r="A196" s="13">
        <v>42649</v>
      </c>
      <c r="B196" s="14">
        <v>4480.1000000000004</v>
      </c>
      <c r="C196" s="2">
        <f t="shared" ref="C196:C259" si="24">(B196/B195)-1</f>
        <v>-2.1937883495360966E-3</v>
      </c>
      <c r="D196" s="2">
        <f t="shared" si="17"/>
        <v>6.7134769366647938E-4</v>
      </c>
      <c r="E196" s="3">
        <f t="shared" si="18"/>
        <v>-2.865136043202576E-3</v>
      </c>
      <c r="F196">
        <f t="shared" si="22"/>
        <v>0.32586889576837408</v>
      </c>
      <c r="G196">
        <f t="shared" si="19"/>
        <v>-8.7922967807246618E-3</v>
      </c>
      <c r="H196">
        <f t="shared" si="23"/>
        <v>-0.39912858642039772</v>
      </c>
      <c r="P196" s="33">
        <f t="shared" si="20"/>
        <v>-3.8811126272442209E-3</v>
      </c>
      <c r="Q196" s="33">
        <f t="shared" si="21"/>
        <v>1.3060220890535972</v>
      </c>
    </row>
    <row r="197" spans="1:17" x14ac:dyDescent="0.35">
      <c r="A197" s="13">
        <v>42650</v>
      </c>
      <c r="B197" s="14">
        <v>4449.91</v>
      </c>
      <c r="C197" s="2">
        <f t="shared" si="24"/>
        <v>-6.7386888685521118E-3</v>
      </c>
      <c r="D197" s="2">
        <f t="shared" si="17"/>
        <v>-9.232375948189632E-3</v>
      </c>
      <c r="E197" s="3">
        <f t="shared" si="18"/>
        <v>2.4936870796375202E-3</v>
      </c>
      <c r="F197">
        <f t="shared" si="22"/>
        <v>5.2301223781758208E-2</v>
      </c>
      <c r="G197">
        <f t="shared" si="19"/>
        <v>4.7679325631903788E-2</v>
      </c>
      <c r="H197">
        <f t="shared" si="23"/>
        <v>-0.4002265932254141</v>
      </c>
      <c r="P197" s="33">
        <f t="shared" si="20"/>
        <v>-8.4260131462602361E-3</v>
      </c>
      <c r="Q197" s="33">
        <f t="shared" si="21"/>
        <v>0.37005523304020993</v>
      </c>
    </row>
    <row r="198" spans="1:17" x14ac:dyDescent="0.35">
      <c r="A198" s="13">
        <v>42653</v>
      </c>
      <c r="B198" s="14">
        <v>4497.26</v>
      </c>
      <c r="C198" s="2">
        <f t="shared" si="24"/>
        <v>1.0640664642655784E-2</v>
      </c>
      <c r="D198" s="2">
        <f t="shared" ref="D198:D261" si="25">C197*$K$10+C196*$K$9</f>
        <v>-2.2515297077214887E-2</v>
      </c>
      <c r="E198" s="3">
        <f t="shared" ref="E198:E261" si="26">C198-D198</f>
        <v>3.3155961719870675E-2</v>
      </c>
      <c r="F198">
        <f t="shared" si="22"/>
        <v>5.5734512065965212E-2</v>
      </c>
      <c r="G198">
        <f t="shared" ref="G198:G261" si="27">E198/F198</f>
        <v>0.59489103772234631</v>
      </c>
      <c r="H198">
        <f t="shared" si="23"/>
        <v>-0.57603760756024258</v>
      </c>
      <c r="P198" s="33">
        <f t="shared" ref="P198:P261" si="28" xml:space="preserve"> C198-$K$16</f>
        <v>8.9533403649476595E-3</v>
      </c>
      <c r="Q198" s="33">
        <f t="shared" ref="Q198:Q261" si="29" xml:space="preserve"> ABS(E198)/ABS(C198)</f>
        <v>3.1159671724787428</v>
      </c>
    </row>
    <row r="199" spans="1:17" x14ac:dyDescent="0.35">
      <c r="A199" s="13">
        <v>42654</v>
      </c>
      <c r="B199" s="14">
        <v>4471.74</v>
      </c>
      <c r="C199" s="2">
        <f t="shared" si="24"/>
        <v>-5.6745662914753359E-3</v>
      </c>
      <c r="D199" s="2">
        <f t="shared" si="25"/>
        <v>2.6744761715588417E-2</v>
      </c>
      <c r="E199" s="3">
        <f t="shared" si="26"/>
        <v>-3.241932800706375E-2</v>
      </c>
      <c r="F199">
        <f t="shared" ref="F199:F262" si="30">($K$5+$K$6*G198^2+$K$7*F198^2)^(1/2)</f>
        <v>0.59023373854720407</v>
      </c>
      <c r="G199">
        <f t="shared" si="27"/>
        <v>-5.4926253600582689E-2</v>
      </c>
      <c r="H199">
        <f t="shared" ref="H199:H262" si="31">- (G199^2)/2 - LOG(2*PI())/2</f>
        <v>-0.4005983808463553</v>
      </c>
      <c r="P199" s="33">
        <f t="shared" si="28"/>
        <v>-7.3618905691834602E-3</v>
      </c>
      <c r="Q199" s="33">
        <f t="shared" si="29"/>
        <v>5.7130935373450393</v>
      </c>
    </row>
    <row r="200" spans="1:17" x14ac:dyDescent="0.35">
      <c r="A200" s="13">
        <v>42655</v>
      </c>
      <c r="B200" s="14">
        <v>4452.24</v>
      </c>
      <c r="C200" s="2">
        <f t="shared" si="24"/>
        <v>-4.3607186464329484E-3</v>
      </c>
      <c r="D200" s="2">
        <f t="shared" si="25"/>
        <v>-8.1792334129388369E-3</v>
      </c>
      <c r="E200" s="3">
        <f t="shared" si="26"/>
        <v>3.8185147665058886E-3</v>
      </c>
      <c r="F200">
        <f t="shared" si="30"/>
        <v>9.9001877212232872E-2</v>
      </c>
      <c r="G200">
        <f t="shared" si="27"/>
        <v>3.8570124870663212E-2</v>
      </c>
      <c r="H200">
        <f t="shared" si="31"/>
        <v>-0.39983376144532679</v>
      </c>
      <c r="P200" s="33">
        <f t="shared" si="28"/>
        <v>-6.0480429241410727E-3</v>
      </c>
      <c r="Q200" s="33">
        <f t="shared" si="29"/>
        <v>0.87566180625512713</v>
      </c>
    </row>
    <row r="201" spans="1:17" x14ac:dyDescent="0.35">
      <c r="A201" s="13">
        <v>42656</v>
      </c>
      <c r="B201" s="14">
        <v>4405.17</v>
      </c>
      <c r="C201" s="2">
        <f t="shared" si="24"/>
        <v>-1.0572206350061952E-2</v>
      </c>
      <c r="D201" s="2">
        <f t="shared" si="25"/>
        <v>-1.8243206475110879E-2</v>
      </c>
      <c r="E201" s="3">
        <f t="shared" si="26"/>
        <v>7.6710001250489268E-3</v>
      </c>
      <c r="F201">
        <f t="shared" si="30"/>
        <v>4.9566335813522842E-2</v>
      </c>
      <c r="G201">
        <f t="shared" si="27"/>
        <v>0.1547622998381111</v>
      </c>
      <c r="H201">
        <f t="shared" si="31"/>
        <v>-0.41106561890464821</v>
      </c>
      <c r="P201" s="33">
        <f t="shared" si="28"/>
        <v>-1.2259530627770077E-2</v>
      </c>
      <c r="Q201" s="33">
        <f t="shared" si="29"/>
        <v>0.72558176326211943</v>
      </c>
    </row>
    <row r="202" spans="1:17" x14ac:dyDescent="0.35">
      <c r="A202" s="13">
        <v>42657</v>
      </c>
      <c r="B202" s="14">
        <v>4470.92</v>
      </c>
      <c r="C202" s="2">
        <f t="shared" si="24"/>
        <v>1.4925644186262854E-2</v>
      </c>
      <c r="D202" s="2">
        <f t="shared" si="25"/>
        <v>-3.6117125342959397E-2</v>
      </c>
      <c r="E202" s="3">
        <f t="shared" si="26"/>
        <v>5.1042769529222251E-2</v>
      </c>
      <c r="F202">
        <f t="shared" si="30"/>
        <v>0.15616511499480384</v>
      </c>
      <c r="G202">
        <f t="shared" si="27"/>
        <v>0.32685129153793802</v>
      </c>
      <c r="H202">
        <f t="shared" si="31"/>
        <v>-0.4525058175690666</v>
      </c>
      <c r="P202" s="33">
        <f t="shared" si="28"/>
        <v>1.323831990855473E-2</v>
      </c>
      <c r="Q202" s="33">
        <f t="shared" si="29"/>
        <v>3.4198034531870047</v>
      </c>
    </row>
    <row r="203" spans="1:17" x14ac:dyDescent="0.35">
      <c r="A203" s="13">
        <v>42660</v>
      </c>
      <c r="B203" s="14">
        <v>4450.2299999999996</v>
      </c>
      <c r="C203" s="2">
        <f t="shared" si="24"/>
        <v>-4.6276828930065239E-3</v>
      </c>
      <c r="D203" s="2">
        <f t="shared" si="25"/>
        <v>3.6548090044824157E-2</v>
      </c>
      <c r="E203" s="3">
        <f t="shared" si="26"/>
        <v>-4.1175772937830681E-2</v>
      </c>
      <c r="F203">
        <f t="shared" si="30"/>
        <v>0.32580295058855074</v>
      </c>
      <c r="G203">
        <f t="shared" si="27"/>
        <v>-0.12638244332486309</v>
      </c>
      <c r="H203">
        <f t="shared" si="31"/>
        <v>-0.40707619516943866</v>
      </c>
      <c r="P203" s="33">
        <f t="shared" si="28"/>
        <v>-6.3150071707146482E-3</v>
      </c>
      <c r="Q203" s="33">
        <f t="shared" si="29"/>
        <v>8.8977083974480173</v>
      </c>
    </row>
    <row r="204" spans="1:17" x14ac:dyDescent="0.35">
      <c r="A204" s="13">
        <v>42661</v>
      </c>
      <c r="B204" s="14">
        <v>4508.91</v>
      </c>
      <c r="C204" s="2">
        <f t="shared" si="24"/>
        <v>1.3185835338847651E-2</v>
      </c>
      <c r="D204" s="2">
        <f t="shared" si="25"/>
        <v>-1.2764832040734302E-3</v>
      </c>
      <c r="E204" s="3">
        <f t="shared" si="26"/>
        <v>1.4462318542921081E-2</v>
      </c>
      <c r="F204">
        <f t="shared" si="30"/>
        <v>0.13543425423112995</v>
      </c>
      <c r="G204">
        <f t="shared" si="27"/>
        <v>0.10678479107833323</v>
      </c>
      <c r="H204">
        <f t="shared" si="31"/>
        <v>-0.40479142998187917</v>
      </c>
      <c r="P204" s="33">
        <f t="shared" si="28"/>
        <v>1.1498511061139527E-2</v>
      </c>
      <c r="Q204" s="33">
        <f t="shared" si="29"/>
        <v>1.0968071548954277</v>
      </c>
    </row>
    <row r="205" spans="1:17" x14ac:dyDescent="0.35">
      <c r="A205" s="13">
        <v>42662</v>
      </c>
      <c r="B205" s="14">
        <v>4520.3</v>
      </c>
      <c r="C205" s="2">
        <f t="shared" si="24"/>
        <v>2.5261094144706231E-3</v>
      </c>
      <c r="D205" s="2">
        <f t="shared" si="25"/>
        <v>3.635576736577692E-2</v>
      </c>
      <c r="E205" s="3">
        <f t="shared" si="26"/>
        <v>-3.3829657951306297E-2</v>
      </c>
      <c r="F205">
        <f t="shared" si="30"/>
        <v>0.11108664608380436</v>
      </c>
      <c r="G205">
        <f t="shared" si="27"/>
        <v>-0.30453397544998362</v>
      </c>
      <c r="H205">
        <f t="shared" si="31"/>
        <v>-0.44546040528074315</v>
      </c>
      <c r="P205" s="33">
        <f t="shared" si="28"/>
        <v>8.3878513676249877E-4</v>
      </c>
      <c r="Q205" s="33">
        <f t="shared" si="29"/>
        <v>13.392000266305057</v>
      </c>
    </row>
    <row r="206" spans="1:17" x14ac:dyDescent="0.35">
      <c r="A206" s="13">
        <v>42663</v>
      </c>
      <c r="B206" s="14">
        <v>4540.12</v>
      </c>
      <c r="C206" s="2">
        <f t="shared" si="24"/>
        <v>4.3846647346414969E-3</v>
      </c>
      <c r="D206" s="2">
        <f t="shared" si="25"/>
        <v>1.9113314186961598E-2</v>
      </c>
      <c r="E206" s="3">
        <f t="shared" si="26"/>
        <v>-1.4728649452320101E-2</v>
      </c>
      <c r="F206">
        <f t="shared" si="30"/>
        <v>0.30348584198892092</v>
      </c>
      <c r="G206">
        <f t="shared" si="27"/>
        <v>-4.8531586698722463E-2</v>
      </c>
      <c r="H206">
        <f t="shared" si="31"/>
        <v>-0.40026759163280534</v>
      </c>
      <c r="P206" s="33">
        <f t="shared" si="28"/>
        <v>2.6973404569333725E-3</v>
      </c>
      <c r="Q206" s="33">
        <f t="shared" si="29"/>
        <v>3.3591278566762206</v>
      </c>
    </row>
    <row r="207" spans="1:17" x14ac:dyDescent="0.35">
      <c r="A207" s="13">
        <v>42664</v>
      </c>
      <c r="B207" s="14">
        <v>4536.07</v>
      </c>
      <c r="C207" s="2">
        <f t="shared" si="24"/>
        <v>-8.92046906249222E-4</v>
      </c>
      <c r="D207" s="2">
        <f t="shared" si="25"/>
        <v>1.5598496696253352E-2</v>
      </c>
      <c r="E207" s="3">
        <f t="shared" si="26"/>
        <v>-1.6490543602502572E-2</v>
      </c>
      <c r="F207">
        <f t="shared" si="30"/>
        <v>6.876864650289366E-2</v>
      </c>
      <c r="G207">
        <f t="shared" si="27"/>
        <v>-0.23979741409929711</v>
      </c>
      <c r="H207">
        <f t="shared" si="31"/>
        <v>-0.42784133408341241</v>
      </c>
      <c r="P207" s="33">
        <f t="shared" si="28"/>
        <v>-2.5793711839573463E-3</v>
      </c>
      <c r="Q207" s="33">
        <f t="shared" si="29"/>
        <v>18.486184400145667</v>
      </c>
    </row>
    <row r="208" spans="1:17" x14ac:dyDescent="0.35">
      <c r="A208" s="13">
        <v>42667</v>
      </c>
      <c r="B208" s="14">
        <v>4552.58</v>
      </c>
      <c r="C208" s="2">
        <f t="shared" si="24"/>
        <v>3.6397145546696041E-3</v>
      </c>
      <c r="D208" s="2">
        <f t="shared" si="25"/>
        <v>1.0553733832659269E-3</v>
      </c>
      <c r="E208" s="3">
        <f t="shared" si="26"/>
        <v>2.5843411714036773E-3</v>
      </c>
      <c r="F208">
        <f t="shared" si="30"/>
        <v>0.23952333486072105</v>
      </c>
      <c r="G208">
        <f t="shared" si="27"/>
        <v>1.0789517325760473E-2</v>
      </c>
      <c r="H208">
        <f t="shared" si="31"/>
        <v>-0.39914814102111895</v>
      </c>
      <c r="P208" s="33">
        <f t="shared" si="28"/>
        <v>1.9523902769614798E-3</v>
      </c>
      <c r="Q208" s="33">
        <f t="shared" si="29"/>
        <v>0.71003951891998618</v>
      </c>
    </row>
    <row r="209" spans="1:17" x14ac:dyDescent="0.35">
      <c r="A209" s="13">
        <v>42668</v>
      </c>
      <c r="B209" s="14">
        <v>4540.84</v>
      </c>
      <c r="C209" s="2">
        <f t="shared" si="24"/>
        <v>-2.5787575396807316E-3</v>
      </c>
      <c r="D209" s="2">
        <f t="shared" si="25"/>
        <v>1.036801783216992E-2</v>
      </c>
      <c r="E209" s="3">
        <f t="shared" si="26"/>
        <v>-1.2946775371850652E-2</v>
      </c>
      <c r="F209">
        <f t="shared" si="30"/>
        <v>4.3946804841947039E-2</v>
      </c>
      <c r="G209">
        <f t="shared" si="27"/>
        <v>-0.29460106186133944</v>
      </c>
      <c r="H209">
        <f t="shared" si="31"/>
        <v>-0.4424848270039719</v>
      </c>
      <c r="P209" s="33">
        <f t="shared" si="28"/>
        <v>-4.2660818173888559E-3</v>
      </c>
      <c r="Q209" s="33">
        <f t="shared" si="29"/>
        <v>5.0205477531840987</v>
      </c>
    </row>
    <row r="210" spans="1:17" x14ac:dyDescent="0.35">
      <c r="A210" s="13">
        <v>42669</v>
      </c>
      <c r="B210" s="14">
        <v>4534.59</v>
      </c>
      <c r="C210" s="2">
        <f t="shared" si="24"/>
        <v>-1.3763973185577649E-3</v>
      </c>
      <c r="D210" s="2">
        <f t="shared" si="25"/>
        <v>-4.7493252482399082E-3</v>
      </c>
      <c r="E210" s="3">
        <f t="shared" si="26"/>
        <v>3.3729279296821433E-3</v>
      </c>
      <c r="F210">
        <f t="shared" si="30"/>
        <v>0.2933947695137667</v>
      </c>
      <c r="G210">
        <f t="shared" si="27"/>
        <v>1.1496210158320081E-2</v>
      </c>
      <c r="H210">
        <f t="shared" si="31"/>
        <v>-0.39915601560305963</v>
      </c>
      <c r="P210" s="33">
        <f t="shared" si="28"/>
        <v>-3.0637215962658892E-3</v>
      </c>
      <c r="Q210" s="33">
        <f t="shared" si="29"/>
        <v>2.4505481696349203</v>
      </c>
    </row>
    <row r="211" spans="1:17" x14ac:dyDescent="0.35">
      <c r="A211" s="13">
        <v>42670</v>
      </c>
      <c r="B211" s="14">
        <v>4533.57</v>
      </c>
      <c r="C211" s="2">
        <f t="shared" si="24"/>
        <v>-2.2493764596143162E-4</v>
      </c>
      <c r="D211" s="2">
        <f t="shared" si="25"/>
        <v>-6.4381735758357039E-3</v>
      </c>
      <c r="E211" s="3">
        <f t="shared" si="26"/>
        <v>6.2132359298742723E-3</v>
      </c>
      <c r="F211">
        <f t="shared" si="30"/>
        <v>4.9418965290918174E-2</v>
      </c>
      <c r="G211">
        <f t="shared" si="27"/>
        <v>0.1257257389607081</v>
      </c>
      <c r="H211">
        <f t="shared" si="31"/>
        <v>-0.40699341489766561</v>
      </c>
      <c r="P211" s="33">
        <f t="shared" si="28"/>
        <v>-1.9122619236695559E-3</v>
      </c>
      <c r="Q211" s="33">
        <f t="shared" si="29"/>
        <v>27.622036779648745</v>
      </c>
    </row>
    <row r="212" spans="1:17" x14ac:dyDescent="0.35">
      <c r="A212" s="13">
        <v>42671</v>
      </c>
      <c r="B212" s="14">
        <v>4548.58</v>
      </c>
      <c r="C212" s="2">
        <f t="shared" si="24"/>
        <v>3.3108565655763922E-3</v>
      </c>
      <c r="D212" s="2">
        <f t="shared" si="25"/>
        <v>-1.8765560447662004E-3</v>
      </c>
      <c r="E212" s="3">
        <f t="shared" si="26"/>
        <v>5.1874126103425931E-3</v>
      </c>
      <c r="F212">
        <f t="shared" si="30"/>
        <v>0.12802410210380999</v>
      </c>
      <c r="G212">
        <f t="shared" si="27"/>
        <v>4.0519031378453356E-2</v>
      </c>
      <c r="H212">
        <f t="shared" si="31"/>
        <v>-0.39991083013098155</v>
      </c>
      <c r="P212" s="33">
        <f t="shared" si="28"/>
        <v>1.6235322878682679E-3</v>
      </c>
      <c r="Q212" s="33">
        <f t="shared" si="29"/>
        <v>1.5667886867335519</v>
      </c>
    </row>
    <row r="213" spans="1:17" x14ac:dyDescent="0.35">
      <c r="A213" s="13">
        <v>42674</v>
      </c>
      <c r="B213" s="14">
        <v>4509.26</v>
      </c>
      <c r="C213" s="2">
        <f t="shared" si="24"/>
        <v>-8.6444560720048136E-3</v>
      </c>
      <c r="D213" s="2">
        <f t="shared" si="25"/>
        <v>9.937560186194988E-3</v>
      </c>
      <c r="E213" s="3">
        <f t="shared" si="26"/>
        <v>-1.8582016258199802E-2</v>
      </c>
      <c r="F213">
        <f t="shared" si="30"/>
        <v>5.2171621227678308E-2</v>
      </c>
      <c r="G213">
        <f t="shared" si="27"/>
        <v>-0.35617095694817302</v>
      </c>
      <c r="H213">
        <f t="shared" si="31"/>
        <v>-0.46251880946574619</v>
      </c>
      <c r="P213" s="33">
        <f t="shared" si="28"/>
        <v>-1.0331780349712938E-2</v>
      </c>
      <c r="Q213" s="33">
        <f t="shared" si="29"/>
        <v>2.1495876783245982</v>
      </c>
    </row>
    <row r="214" spans="1:17" x14ac:dyDescent="0.35">
      <c r="A214" s="13">
        <v>42675</v>
      </c>
      <c r="B214" s="14">
        <v>4470.28</v>
      </c>
      <c r="C214" s="2">
        <f t="shared" si="24"/>
        <v>-8.6444338982450963E-3</v>
      </c>
      <c r="D214" s="2">
        <f t="shared" si="25"/>
        <v>-2.3595215288186523E-2</v>
      </c>
      <c r="E214" s="3">
        <f t="shared" si="26"/>
        <v>1.4950781389941426E-2</v>
      </c>
      <c r="F214">
        <f t="shared" si="30"/>
        <v>0.35417155545008283</v>
      </c>
      <c r="G214">
        <f t="shared" si="27"/>
        <v>4.2213388285634361E-2</v>
      </c>
      <c r="H214">
        <f t="shared" si="31"/>
        <v>-0.39998091925433438</v>
      </c>
      <c r="P214" s="33">
        <f t="shared" si="28"/>
        <v>-1.0331758175953221E-2</v>
      </c>
      <c r="Q214" s="33">
        <f t="shared" si="29"/>
        <v>1.7295269494716803</v>
      </c>
    </row>
    <row r="215" spans="1:17" x14ac:dyDescent="0.35">
      <c r="A215" s="13">
        <v>42676</v>
      </c>
      <c r="B215" s="14">
        <v>4414.67</v>
      </c>
      <c r="C215" s="2">
        <f t="shared" si="24"/>
        <v>-1.2439936648263594E-2</v>
      </c>
      <c r="D215" s="2">
        <f t="shared" si="25"/>
        <v>-3.3915886950372703E-2</v>
      </c>
      <c r="E215" s="3">
        <f t="shared" si="26"/>
        <v>2.1475950302109109E-2</v>
      </c>
      <c r="F215">
        <f t="shared" si="30"/>
        <v>6.8857904283074825E-2</v>
      </c>
      <c r="G215">
        <f t="shared" si="27"/>
        <v>0.31188794555555283</v>
      </c>
      <c r="H215">
        <f t="shared" si="31"/>
        <v>-0.44772697947048928</v>
      </c>
      <c r="P215" s="33">
        <f t="shared" si="28"/>
        <v>-1.4127260925971719E-2</v>
      </c>
      <c r="Q215" s="33">
        <f t="shared" si="29"/>
        <v>1.7263713561681835</v>
      </c>
    </row>
    <row r="216" spans="1:17" x14ac:dyDescent="0.35">
      <c r="A216" s="13">
        <v>42677</v>
      </c>
      <c r="B216" s="14">
        <v>4411.68</v>
      </c>
      <c r="C216" s="2">
        <f t="shared" si="24"/>
        <v>-6.7728731705873901E-4</v>
      </c>
      <c r="D216" s="2">
        <f t="shared" si="25"/>
        <v>-4.5530705163467959E-2</v>
      </c>
      <c r="E216" s="3">
        <f t="shared" si="26"/>
        <v>4.485341784640922E-2</v>
      </c>
      <c r="F216">
        <f t="shared" si="30"/>
        <v>0.31052163826286949</v>
      </c>
      <c r="G216">
        <f t="shared" si="27"/>
        <v>0.14444538582666802</v>
      </c>
      <c r="H216">
        <f t="shared" si="31"/>
        <v>-0.40952216892236504</v>
      </c>
      <c r="P216" s="33">
        <f t="shared" si="28"/>
        <v>-2.3646115947668633E-3</v>
      </c>
      <c r="Q216" s="33">
        <f t="shared" si="29"/>
        <v>66.225096375928771</v>
      </c>
    </row>
    <row r="217" spans="1:17" x14ac:dyDescent="0.35">
      <c r="A217" s="13">
        <v>42678</v>
      </c>
      <c r="B217" s="14">
        <v>4377.46</v>
      </c>
      <c r="C217" s="2">
        <f t="shared" si="24"/>
        <v>-7.7566822616328412E-3</v>
      </c>
      <c r="D217" s="2">
        <f t="shared" si="25"/>
        <v>-1.2811710067221236E-2</v>
      </c>
      <c r="E217" s="3">
        <f t="shared" si="26"/>
        <v>5.0550278055883947E-3</v>
      </c>
      <c r="F217">
        <f t="shared" si="30"/>
        <v>0.15158530983566079</v>
      </c>
      <c r="G217">
        <f t="shared" si="27"/>
        <v>3.3347742014504814E-2</v>
      </c>
      <c r="H217">
        <f t="shared" si="31"/>
        <v>-0.39964597012779052</v>
      </c>
      <c r="P217" s="33">
        <f t="shared" si="28"/>
        <v>-9.4440065393409656E-3</v>
      </c>
      <c r="Q217" s="33">
        <f t="shared" si="29"/>
        <v>0.65169973902273426</v>
      </c>
    </row>
    <row r="218" spans="1:17" x14ac:dyDescent="0.35">
      <c r="A218" s="13">
        <v>42681</v>
      </c>
      <c r="B218" s="14">
        <v>4461.21</v>
      </c>
      <c r="C218" s="2">
        <f t="shared" si="24"/>
        <v>1.9132099436659722E-2</v>
      </c>
      <c r="D218" s="2">
        <f t="shared" si="25"/>
        <v>-2.4321357916782974E-2</v>
      </c>
      <c r="E218" s="3">
        <f t="shared" si="26"/>
        <v>4.3453457353442693E-2</v>
      </c>
      <c r="F218">
        <f t="shared" si="30"/>
        <v>4.8118908934720497E-2</v>
      </c>
      <c r="G218">
        <f t="shared" si="27"/>
        <v>0.90304327997945488</v>
      </c>
      <c r="H218">
        <f t="shared" si="31"/>
        <v>-0.80683351693708361</v>
      </c>
      <c r="P218" s="33">
        <f t="shared" si="28"/>
        <v>1.7444775158951598E-2</v>
      </c>
      <c r="Q218" s="33">
        <f t="shared" si="29"/>
        <v>2.2712330916585097</v>
      </c>
    </row>
    <row r="219" spans="1:17" x14ac:dyDescent="0.35">
      <c r="A219" s="13">
        <v>42682</v>
      </c>
      <c r="B219" s="14">
        <v>4476.8900000000003</v>
      </c>
      <c r="C219" s="2">
        <f t="shared" si="24"/>
        <v>3.5147415163152562E-3</v>
      </c>
      <c r="D219" s="2">
        <f t="shared" si="25"/>
        <v>5.1851082461575312E-2</v>
      </c>
      <c r="E219" s="3">
        <f t="shared" si="26"/>
        <v>-4.8336340945260056E-2</v>
      </c>
      <c r="F219">
        <f t="shared" si="30"/>
        <v>0.89532474019765795</v>
      </c>
      <c r="G219">
        <f t="shared" si="27"/>
        <v>-5.39874961285991E-2</v>
      </c>
      <c r="H219">
        <f t="shared" si="31"/>
        <v>-0.40054725904817529</v>
      </c>
      <c r="P219" s="33">
        <f t="shared" si="28"/>
        <v>1.8274172386071319E-3</v>
      </c>
      <c r="Q219" s="33">
        <f t="shared" si="29"/>
        <v>13.752459667627093</v>
      </c>
    </row>
    <row r="220" spans="1:17" x14ac:dyDescent="0.35">
      <c r="A220" s="13">
        <v>42683</v>
      </c>
      <c r="B220" s="14">
        <v>4543.4799999999996</v>
      </c>
      <c r="C220" s="2">
        <f t="shared" si="24"/>
        <v>1.4874164877850315E-2</v>
      </c>
      <c r="D220" s="2">
        <f t="shared" si="25"/>
        <v>2.727195402179227E-2</v>
      </c>
      <c r="E220" s="3">
        <f t="shared" si="26"/>
        <v>-1.2397789143941955E-2</v>
      </c>
      <c r="F220">
        <f t="shared" si="30"/>
        <v>0.13237305678645039</v>
      </c>
      <c r="G220">
        <f t="shared" si="27"/>
        <v>-9.3657950076219618E-2</v>
      </c>
      <c r="H220">
        <f t="shared" si="31"/>
        <v>-0.40347583998529735</v>
      </c>
      <c r="P220" s="33">
        <f t="shared" si="28"/>
        <v>1.3186840600142191E-2</v>
      </c>
      <c r="Q220" s="33">
        <f t="shared" si="29"/>
        <v>0.83351161196310086</v>
      </c>
    </row>
    <row r="221" spans="1:17" x14ac:dyDescent="0.35">
      <c r="A221" s="13">
        <v>42684</v>
      </c>
      <c r="B221" s="14">
        <v>4530.95</v>
      </c>
      <c r="C221" s="2">
        <f t="shared" si="24"/>
        <v>-2.757797987445687E-3</v>
      </c>
      <c r="D221" s="2">
        <f t="shared" si="25"/>
        <v>4.8551485188179734E-2</v>
      </c>
      <c r="E221" s="3">
        <f t="shared" si="26"/>
        <v>-5.1309283175625421E-2</v>
      </c>
      <c r="F221">
        <f t="shared" si="30"/>
        <v>9.8704095762980421E-2</v>
      </c>
      <c r="G221">
        <f t="shared" si="27"/>
        <v>-0.51982932196486709</v>
      </c>
      <c r="H221">
        <f t="shared" si="31"/>
        <v>-0.53420119616628425</v>
      </c>
      <c r="P221" s="33">
        <f t="shared" si="28"/>
        <v>-4.4451222651538114E-3</v>
      </c>
      <c r="Q221" s="33">
        <f t="shared" si="29"/>
        <v>18.605163760797733</v>
      </c>
    </row>
    <row r="222" spans="1:17" x14ac:dyDescent="0.35">
      <c r="A222" s="13">
        <v>42685</v>
      </c>
      <c r="B222" s="14">
        <v>4489.2700000000004</v>
      </c>
      <c r="C222" s="2">
        <f t="shared" si="24"/>
        <v>-9.1989538617728295E-3</v>
      </c>
      <c r="D222" s="2">
        <f t="shared" si="25"/>
        <v>4.4012188064310488E-3</v>
      </c>
      <c r="E222" s="3">
        <f t="shared" si="26"/>
        <v>-1.3600172668203878E-2</v>
      </c>
      <c r="F222">
        <f t="shared" si="30"/>
        <v>0.5160724234619648</v>
      </c>
      <c r="G222">
        <f t="shared" si="27"/>
        <v>-2.6353224954299904E-2</v>
      </c>
      <c r="H222">
        <f t="shared" si="31"/>
        <v>-0.39943718041180348</v>
      </c>
      <c r="P222" s="33">
        <f t="shared" si="28"/>
        <v>-1.0886278139480954E-2</v>
      </c>
      <c r="Q222" s="33">
        <f t="shared" si="29"/>
        <v>1.4784477531429692</v>
      </c>
    </row>
    <row r="223" spans="1:17" x14ac:dyDescent="0.35">
      <c r="A223" s="13">
        <v>42688</v>
      </c>
      <c r="B223" s="14">
        <v>4508.55</v>
      </c>
      <c r="C223" s="2">
        <f t="shared" si="24"/>
        <v>4.294684881951838E-3</v>
      </c>
      <c r="D223" s="2">
        <f t="shared" si="25"/>
        <v>-3.0530992414806522E-2</v>
      </c>
      <c r="E223" s="3">
        <f t="shared" si="26"/>
        <v>3.482567729675836E-2</v>
      </c>
      <c r="F223">
        <f t="shared" si="30"/>
        <v>7.8134962418506676E-2</v>
      </c>
      <c r="G223">
        <f t="shared" si="27"/>
        <v>0.44571183269053083</v>
      </c>
      <c r="H223">
        <f t="shared" si="31"/>
        <v>-0.49841945307923341</v>
      </c>
      <c r="P223" s="33">
        <f t="shared" si="28"/>
        <v>2.6073606042437136E-3</v>
      </c>
      <c r="Q223" s="33">
        <f t="shared" si="29"/>
        <v>8.1090180662872928</v>
      </c>
    </row>
    <row r="224" spans="1:17" x14ac:dyDescent="0.35">
      <c r="A224" s="13">
        <v>42689</v>
      </c>
      <c r="B224" s="14">
        <v>4536.53</v>
      </c>
      <c r="C224" s="2">
        <f t="shared" si="24"/>
        <v>6.2059864036108081E-3</v>
      </c>
      <c r="D224" s="2">
        <f t="shared" si="25"/>
        <v>5.201173475398382E-3</v>
      </c>
      <c r="E224" s="3">
        <f t="shared" si="26"/>
        <v>1.0048129282124261E-3</v>
      </c>
      <c r="F224">
        <f t="shared" si="30"/>
        <v>0.44271737602787403</v>
      </c>
      <c r="G224">
        <f t="shared" si="27"/>
        <v>2.2696487253962261E-3</v>
      </c>
      <c r="H224">
        <f t="shared" si="31"/>
        <v>-0.39909250983172589</v>
      </c>
      <c r="P224" s="33">
        <f t="shared" si="28"/>
        <v>4.5186621259026838E-3</v>
      </c>
      <c r="Q224" s="33">
        <f t="shared" si="29"/>
        <v>0.16191026903117273</v>
      </c>
    </row>
    <row r="225" spans="1:17" x14ac:dyDescent="0.35">
      <c r="A225" s="13">
        <v>42690</v>
      </c>
      <c r="B225" s="14">
        <v>4501.1400000000003</v>
      </c>
      <c r="C225" s="2">
        <f t="shared" si="24"/>
        <v>-7.8011167125533465E-3</v>
      </c>
      <c r="D225" s="2">
        <f t="shared" si="25"/>
        <v>2.269879791411987E-2</v>
      </c>
      <c r="E225" s="3">
        <f t="shared" si="26"/>
        <v>-3.0499914626673216E-2</v>
      </c>
      <c r="F225">
        <f t="shared" si="30"/>
        <v>6.4918704807048755E-2</v>
      </c>
      <c r="G225">
        <f t="shared" si="27"/>
        <v>-0.46981705376478167</v>
      </c>
      <c r="H225">
        <f t="shared" si="31"/>
        <v>-0.50945396618316741</v>
      </c>
      <c r="P225" s="33">
        <f t="shared" si="28"/>
        <v>-9.4884409902614708E-3</v>
      </c>
      <c r="Q225" s="33">
        <f t="shared" si="29"/>
        <v>3.909685721993311</v>
      </c>
    </row>
    <row r="226" spans="1:17" x14ac:dyDescent="0.35">
      <c r="A226" s="13">
        <v>42691</v>
      </c>
      <c r="B226" s="14">
        <v>4527.7700000000004</v>
      </c>
      <c r="C226" s="2">
        <f t="shared" si="24"/>
        <v>5.9162789871010091E-3</v>
      </c>
      <c r="D226" s="2">
        <f t="shared" si="25"/>
        <v>-1.8515166439401324E-2</v>
      </c>
      <c r="E226" s="3">
        <f t="shared" si="26"/>
        <v>2.4431445426502333E-2</v>
      </c>
      <c r="F226">
        <f t="shared" si="30"/>
        <v>0.46651470158354608</v>
      </c>
      <c r="G226">
        <f t="shared" si="27"/>
        <v>5.2370151130439802E-2</v>
      </c>
      <c r="H226">
        <f t="shared" si="31"/>
        <v>-0.40046125054377008</v>
      </c>
      <c r="P226" s="33">
        <f t="shared" si="28"/>
        <v>4.2289547093928848E-3</v>
      </c>
      <c r="Q226" s="33">
        <f t="shared" si="29"/>
        <v>4.1295289623374911</v>
      </c>
    </row>
    <row r="227" spans="1:17" x14ac:dyDescent="0.35">
      <c r="A227" s="13">
        <v>42692</v>
      </c>
      <c r="B227" s="14">
        <v>4504.3500000000004</v>
      </c>
      <c r="C227" s="2">
        <f t="shared" si="24"/>
        <v>-5.1725242227410595E-3</v>
      </c>
      <c r="D227" s="2">
        <f t="shared" si="25"/>
        <v>1.1370227181571766E-2</v>
      </c>
      <c r="E227" s="3">
        <f t="shared" si="26"/>
        <v>-1.6542751404312828E-2</v>
      </c>
      <c r="F227">
        <f t="shared" si="30"/>
        <v>8.5298419792964028E-2</v>
      </c>
      <c r="G227">
        <f t="shared" si="27"/>
        <v>-0.19393971710689747</v>
      </c>
      <c r="H227">
        <f t="shared" si="31"/>
        <v>-0.41789624111480922</v>
      </c>
      <c r="P227" s="33">
        <f t="shared" si="28"/>
        <v>-6.8598485004491838E-3</v>
      </c>
      <c r="Q227" s="33">
        <f t="shared" si="29"/>
        <v>3.198196990858436</v>
      </c>
    </row>
    <row r="228" spans="1:17" x14ac:dyDescent="0.35">
      <c r="A228" s="13">
        <v>42695</v>
      </c>
      <c r="B228" s="14">
        <v>4529.58</v>
      </c>
      <c r="C228" s="2">
        <f t="shared" si="24"/>
        <v>5.6012521229478196E-3</v>
      </c>
      <c r="D228" s="2">
        <f t="shared" si="25"/>
        <v>-1.07213562038465E-2</v>
      </c>
      <c r="E228" s="3">
        <f t="shared" si="26"/>
        <v>1.632260832679432E-2</v>
      </c>
      <c r="F228">
        <f t="shared" si="30"/>
        <v>0.19464042554841698</v>
      </c>
      <c r="G228">
        <f t="shared" si="27"/>
        <v>8.386031977069458E-2</v>
      </c>
      <c r="H228">
        <f t="shared" si="31"/>
        <v>-0.40260621079507908</v>
      </c>
      <c r="P228" s="33">
        <f t="shared" si="28"/>
        <v>3.9139278452396953E-3</v>
      </c>
      <c r="Q228" s="33">
        <f t="shared" si="29"/>
        <v>2.9140999134679335</v>
      </c>
    </row>
    <row r="229" spans="1:17" x14ac:dyDescent="0.35">
      <c r="A229" s="13">
        <v>42696</v>
      </c>
      <c r="B229" s="14">
        <v>4548.3500000000004</v>
      </c>
      <c r="C229" s="2">
        <f t="shared" si="24"/>
        <v>4.1438720587780864E-3</v>
      </c>
      <c r="D229" s="2">
        <f t="shared" si="25"/>
        <v>1.2675397184652692E-2</v>
      </c>
      <c r="E229" s="3">
        <f t="shared" si="26"/>
        <v>-8.5315251258746057E-3</v>
      </c>
      <c r="F229">
        <f t="shared" si="30"/>
        <v>9.1575633319236724E-2</v>
      </c>
      <c r="G229">
        <f t="shared" si="27"/>
        <v>-9.3163703232423525E-2</v>
      </c>
      <c r="H229">
        <f t="shared" si="31"/>
        <v>-0.40342967197904706</v>
      </c>
      <c r="P229" s="33">
        <f t="shared" si="28"/>
        <v>2.4565477810699621E-3</v>
      </c>
      <c r="Q229" s="33">
        <f t="shared" si="29"/>
        <v>2.0588292796834846</v>
      </c>
    </row>
    <row r="230" spans="1:17" x14ac:dyDescent="0.35">
      <c r="A230" s="13">
        <v>42697</v>
      </c>
      <c r="B230" s="14">
        <v>4529.21</v>
      </c>
      <c r="C230" s="2">
        <f t="shared" si="24"/>
        <v>-4.2081194279245393E-3</v>
      </c>
      <c r="D230" s="2">
        <f t="shared" si="25"/>
        <v>1.7516331304849548E-2</v>
      </c>
      <c r="E230" s="3">
        <f t="shared" si="26"/>
        <v>-2.1724450732774087E-2</v>
      </c>
      <c r="F230">
        <f t="shared" si="30"/>
        <v>9.7437971183435917E-2</v>
      </c>
      <c r="G230">
        <f t="shared" si="27"/>
        <v>-0.22295672281472093</v>
      </c>
      <c r="H230">
        <f t="shared" si="31"/>
        <v>-0.42394478430319765</v>
      </c>
      <c r="P230" s="33">
        <f t="shared" si="28"/>
        <v>-5.8954437056326636E-3</v>
      </c>
      <c r="Q230" s="33">
        <f t="shared" si="29"/>
        <v>5.1625081238458739</v>
      </c>
    </row>
    <row r="231" spans="1:17" x14ac:dyDescent="0.35">
      <c r="A231" s="13">
        <v>42698</v>
      </c>
      <c r="B231" s="14">
        <v>4542.5600000000004</v>
      </c>
      <c r="C231" s="2">
        <f t="shared" si="24"/>
        <v>2.9475338966398201E-3</v>
      </c>
      <c r="D231" s="2">
        <f t="shared" si="25"/>
        <v>-9.3002024575143411E-3</v>
      </c>
      <c r="E231" s="3">
        <f t="shared" si="26"/>
        <v>1.2247736354154161E-2</v>
      </c>
      <c r="F231">
        <f t="shared" si="30"/>
        <v>0.22316248624301777</v>
      </c>
      <c r="G231">
        <f t="shared" si="27"/>
        <v>5.4882595011137826E-2</v>
      </c>
      <c r="H231">
        <f t="shared" si="31"/>
        <v>-0.4005959837966358</v>
      </c>
      <c r="P231" s="33">
        <f t="shared" si="28"/>
        <v>1.2602096189316958E-3</v>
      </c>
      <c r="Q231" s="33">
        <f t="shared" si="29"/>
        <v>4.155248687086023</v>
      </c>
    </row>
    <row r="232" spans="1:17" x14ac:dyDescent="0.35">
      <c r="A232" s="13">
        <v>42699</v>
      </c>
      <c r="B232" s="14">
        <v>4550.2700000000004</v>
      </c>
      <c r="C232" s="2">
        <f t="shared" si="24"/>
        <v>1.6972808284314578E-3</v>
      </c>
      <c r="D232" s="2">
        <f t="shared" si="25"/>
        <v>5.3871485691769985E-3</v>
      </c>
      <c r="E232" s="3">
        <f t="shared" si="26"/>
        <v>-3.6898677407455407E-3</v>
      </c>
      <c r="F232">
        <f t="shared" si="30"/>
        <v>6.8146913020488198E-2</v>
      </c>
      <c r="G232">
        <f t="shared" si="27"/>
        <v>-5.4145779716187455E-2</v>
      </c>
      <c r="H232">
        <f t="shared" si="31"/>
        <v>-0.40055581690959446</v>
      </c>
      <c r="P232" s="33">
        <f t="shared" si="28"/>
        <v>9.9565507233334571E-6</v>
      </c>
      <c r="Q232" s="33">
        <f t="shared" si="29"/>
        <v>2.1739877567317674</v>
      </c>
    </row>
    <row r="233" spans="1:17" x14ac:dyDescent="0.35">
      <c r="A233" s="13">
        <v>42702</v>
      </c>
      <c r="B233" s="14">
        <v>4510.3900000000003</v>
      </c>
      <c r="C233" s="2">
        <f t="shared" si="24"/>
        <v>-8.7643150845994056E-3</v>
      </c>
      <c r="D233" s="2">
        <f t="shared" si="25"/>
        <v>7.7384836862400561E-3</v>
      </c>
      <c r="E233" s="3">
        <f t="shared" si="26"/>
        <v>-1.6502798770839461E-2</v>
      </c>
      <c r="F233">
        <f t="shared" si="30"/>
        <v>6.1528960751086909E-2</v>
      </c>
      <c r="G233">
        <f t="shared" si="27"/>
        <v>-0.26821188866818196</v>
      </c>
      <c r="H233">
        <f t="shared" si="31"/>
        <v>-0.43505874279053414</v>
      </c>
      <c r="P233" s="33">
        <f t="shared" si="28"/>
        <v>-1.045163936230753E-2</v>
      </c>
      <c r="Q233" s="33">
        <f t="shared" si="29"/>
        <v>1.8829536149194437</v>
      </c>
    </row>
    <row r="234" spans="1:17" x14ac:dyDescent="0.35">
      <c r="A234" s="13">
        <v>42703</v>
      </c>
      <c r="B234" s="14">
        <v>4551.46</v>
      </c>
      <c r="C234" s="2">
        <f t="shared" si="24"/>
        <v>9.1056427492965941E-3</v>
      </c>
      <c r="D234" s="2">
        <f t="shared" si="25"/>
        <v>-2.5354964669738991E-2</v>
      </c>
      <c r="E234" s="3">
        <f t="shared" si="26"/>
        <v>3.4460607419035588E-2</v>
      </c>
      <c r="F234">
        <f t="shared" si="30"/>
        <v>0.26744891098720686</v>
      </c>
      <c r="G234">
        <f t="shared" si="27"/>
        <v>0.12884930917024365</v>
      </c>
      <c r="H234">
        <f t="shared" si="31"/>
        <v>-0.40739100641588205</v>
      </c>
      <c r="P234" s="33">
        <f t="shared" si="28"/>
        <v>7.4183184715884698E-3</v>
      </c>
      <c r="Q234" s="33">
        <f t="shared" si="29"/>
        <v>3.7845332139455672</v>
      </c>
    </row>
    <row r="235" spans="1:17" x14ac:dyDescent="0.35">
      <c r="A235" s="13">
        <v>42704</v>
      </c>
      <c r="B235" s="14">
        <v>4578.34</v>
      </c>
      <c r="C235" s="2">
        <f t="shared" si="24"/>
        <v>5.9057972606593179E-3</v>
      </c>
      <c r="D235" s="2">
        <f t="shared" si="25"/>
        <v>2.0298677139443146E-2</v>
      </c>
      <c r="E235" s="3">
        <f t="shared" si="26"/>
        <v>-1.4392879878783828E-2</v>
      </c>
      <c r="F235">
        <f t="shared" si="30"/>
        <v>0.1355110339328241</v>
      </c>
      <c r="G235">
        <f t="shared" si="27"/>
        <v>-0.10621186674672341</v>
      </c>
      <c r="H235">
        <f t="shared" si="31"/>
        <v>-0.40473041449796937</v>
      </c>
      <c r="P235" s="33">
        <f t="shared" si="28"/>
        <v>4.2184729829511936E-3</v>
      </c>
      <c r="Q235" s="33">
        <f t="shared" si="29"/>
        <v>2.4370765272726311</v>
      </c>
    </row>
    <row r="236" spans="1:17" x14ac:dyDescent="0.35">
      <c r="A236" s="13">
        <v>42705</v>
      </c>
      <c r="B236" s="14">
        <v>4560.6099999999997</v>
      </c>
      <c r="C236" s="2">
        <f t="shared" si="24"/>
        <v>-3.8725826391226015E-3</v>
      </c>
      <c r="D236" s="2">
        <f t="shared" si="25"/>
        <v>2.5933358260071836E-2</v>
      </c>
      <c r="E236" s="3">
        <f t="shared" si="26"/>
        <v>-2.9805940899194437E-2</v>
      </c>
      <c r="F236">
        <f t="shared" si="30"/>
        <v>0.11054762705169877</v>
      </c>
      <c r="G236">
        <f t="shared" si="27"/>
        <v>-0.26962081135631588</v>
      </c>
      <c r="H236">
        <f t="shared" si="31"/>
        <v>-0.43543762513727657</v>
      </c>
      <c r="P236" s="33">
        <f t="shared" si="28"/>
        <v>-5.5599069168307258E-3</v>
      </c>
      <c r="Q236" s="33">
        <f t="shared" si="29"/>
        <v>7.6966571605422143</v>
      </c>
    </row>
    <row r="237" spans="1:17" x14ac:dyDescent="0.35">
      <c r="A237" s="13">
        <v>42706</v>
      </c>
      <c r="B237" s="14">
        <v>4528.82</v>
      </c>
      <c r="C237" s="2">
        <f t="shared" si="24"/>
        <v>-6.9705587629724786E-3</v>
      </c>
      <c r="D237" s="2">
        <f t="shared" si="25"/>
        <v>-6.7523784511382854E-3</v>
      </c>
      <c r="E237" s="3">
        <f t="shared" si="26"/>
        <v>-2.1818031183419313E-4</v>
      </c>
      <c r="F237">
        <f t="shared" si="30"/>
        <v>0.26910694480899755</v>
      </c>
      <c r="G237">
        <f t="shared" si="27"/>
        <v>-8.1075689811368372E-4</v>
      </c>
      <c r="H237">
        <f t="shared" si="31"/>
        <v>-0.39909026284243143</v>
      </c>
      <c r="P237" s="33">
        <f t="shared" si="28"/>
        <v>-8.6578830406806029E-3</v>
      </c>
      <c r="Q237" s="33">
        <f t="shared" si="29"/>
        <v>3.1300261464427249E-2</v>
      </c>
    </row>
    <row r="238" spans="1:17" x14ac:dyDescent="0.35">
      <c r="A238" s="13">
        <v>42709</v>
      </c>
      <c r="B238" s="14">
        <v>4574.32</v>
      </c>
      <c r="C238" s="2">
        <f t="shared" si="24"/>
        <v>1.0046767149058722E-2</v>
      </c>
      <c r="D238" s="2">
        <f t="shared" si="25"/>
        <v>-2.4674119071358552E-2</v>
      </c>
      <c r="E238" s="3">
        <f t="shared" si="26"/>
        <v>3.4720886220417274E-2</v>
      </c>
      <c r="F238">
        <f t="shared" si="30"/>
        <v>4.5577792113518409E-2</v>
      </c>
      <c r="G238">
        <f t="shared" si="27"/>
        <v>0.76179394855151472</v>
      </c>
      <c r="H238">
        <f t="shared" si="31"/>
        <v>-0.68925494420391153</v>
      </c>
      <c r="P238" s="33">
        <f t="shared" si="28"/>
        <v>8.3594428713505975E-3</v>
      </c>
      <c r="Q238" s="33">
        <f t="shared" si="29"/>
        <v>3.4559262402802142</v>
      </c>
    </row>
    <row r="239" spans="1:17" x14ac:dyDescent="0.35">
      <c r="A239" s="13">
        <v>42710</v>
      </c>
      <c r="B239" s="14">
        <v>4631.9399999999996</v>
      </c>
      <c r="C239" s="2">
        <f t="shared" si="24"/>
        <v>1.2596407772084151E-2</v>
      </c>
      <c r="D239" s="2">
        <f t="shared" si="25"/>
        <v>2.4727173853805802E-2</v>
      </c>
      <c r="E239" s="3">
        <f t="shared" si="26"/>
        <v>-1.2130766081721651E-2</v>
      </c>
      <c r="F239">
        <f t="shared" si="30"/>
        <v>0.75544545094844684</v>
      </c>
      <c r="G239">
        <f t="shared" si="27"/>
        <v>-1.605776574138042E-2</v>
      </c>
      <c r="H239">
        <f t="shared" si="31"/>
        <v>-0.39921886009936003</v>
      </c>
      <c r="P239" s="33">
        <f t="shared" si="28"/>
        <v>1.0909083494376026E-2</v>
      </c>
      <c r="Q239" s="33">
        <f t="shared" si="29"/>
        <v>0.96303377131102064</v>
      </c>
    </row>
    <row r="240" spans="1:17" x14ac:dyDescent="0.35">
      <c r="A240" s="13">
        <v>42711</v>
      </c>
      <c r="B240" s="14">
        <v>4694.72</v>
      </c>
      <c r="C240" s="2">
        <f t="shared" si="24"/>
        <v>1.355371615349088E-2</v>
      </c>
      <c r="D240" s="2">
        <f t="shared" si="25"/>
        <v>4.7220132725087793E-2</v>
      </c>
      <c r="E240" s="3">
        <f t="shared" si="26"/>
        <v>-3.3666416571596913E-2</v>
      </c>
      <c r="F240">
        <f t="shared" si="30"/>
        <v>0.10454166016045743</v>
      </c>
      <c r="G240">
        <f t="shared" si="27"/>
        <v>-0.32203828138871599</v>
      </c>
      <c r="H240">
        <f t="shared" si="31"/>
        <v>-0.45094426151895645</v>
      </c>
      <c r="P240" s="33">
        <f t="shared" si="28"/>
        <v>1.1866391875782756E-2</v>
      </c>
      <c r="Q240" s="33">
        <f t="shared" si="29"/>
        <v>2.4839251604753305</v>
      </c>
    </row>
    <row r="241" spans="1:17" x14ac:dyDescent="0.35">
      <c r="A241" s="13">
        <v>42712</v>
      </c>
      <c r="B241" s="14">
        <v>4735.4799999999996</v>
      </c>
      <c r="C241" s="2">
        <f t="shared" si="24"/>
        <v>8.6820939267941988E-3</v>
      </c>
      <c r="D241" s="2">
        <f t="shared" si="25"/>
        <v>5.2350692072297013E-2</v>
      </c>
      <c r="E241" s="3">
        <f t="shared" si="26"/>
        <v>-4.3668598145502814E-2</v>
      </c>
      <c r="F241">
        <f t="shared" si="30"/>
        <v>0.32070027773666199</v>
      </c>
      <c r="G241">
        <f t="shared" si="27"/>
        <v>-0.13616638705053008</v>
      </c>
      <c r="H241">
        <f t="shared" si="31"/>
        <v>-0.40836057666025494</v>
      </c>
      <c r="P241" s="33">
        <f t="shared" si="28"/>
        <v>6.9947696490860745E-3</v>
      </c>
      <c r="Q241" s="33">
        <f t="shared" si="29"/>
        <v>5.0297311355657186</v>
      </c>
    </row>
    <row r="242" spans="1:17" x14ac:dyDescent="0.35">
      <c r="A242" s="13">
        <v>42713</v>
      </c>
      <c r="B242" s="14">
        <v>4764.07</v>
      </c>
      <c r="C242" s="2">
        <f t="shared" si="24"/>
        <v>6.0374027553702359E-3</v>
      </c>
      <c r="D242" s="2">
        <f t="shared" si="25"/>
        <v>3.8269181058283412E-2</v>
      </c>
      <c r="E242" s="3">
        <f t="shared" si="26"/>
        <v>-3.2231778302913176E-2</v>
      </c>
      <c r="F242">
        <f t="shared" si="30"/>
        <v>0.14424914083649248</v>
      </c>
      <c r="G242">
        <f t="shared" si="27"/>
        <v>-0.22344520124004166</v>
      </c>
      <c r="H242">
        <f t="shared" si="31"/>
        <v>-0.42405381315765889</v>
      </c>
      <c r="P242" s="33">
        <f t="shared" si="28"/>
        <v>4.3500784776621115E-3</v>
      </c>
      <c r="Q242" s="33">
        <f t="shared" si="29"/>
        <v>5.3386828092996099</v>
      </c>
    </row>
    <row r="243" spans="1:17" x14ac:dyDescent="0.35">
      <c r="A243" s="13">
        <v>42716</v>
      </c>
      <c r="B243" s="14">
        <v>4760.7700000000004</v>
      </c>
      <c r="C243" s="2">
        <f t="shared" si="24"/>
        <v>-6.9268503611397136E-4</v>
      </c>
      <c r="D243" s="2">
        <f t="shared" si="25"/>
        <v>2.5970452129551198E-2</v>
      </c>
      <c r="E243" s="3">
        <f t="shared" si="26"/>
        <v>-2.6663137165665169E-2</v>
      </c>
      <c r="F243">
        <f t="shared" si="30"/>
        <v>0.22407778899838846</v>
      </c>
      <c r="G243">
        <f t="shared" si="27"/>
        <v>-0.11899054022644309</v>
      </c>
      <c r="H243">
        <f t="shared" si="31"/>
        <v>-0.4061693085107479</v>
      </c>
      <c r="P243" s="33">
        <f t="shared" si="28"/>
        <v>-2.3800093138220957E-3</v>
      </c>
      <c r="Q243" s="33">
        <f t="shared" si="29"/>
        <v>38.492439962681878</v>
      </c>
    </row>
    <row r="244" spans="1:17" x14ac:dyDescent="0.35">
      <c r="A244" s="13">
        <v>42717</v>
      </c>
      <c r="B244" s="14">
        <v>4803.87</v>
      </c>
      <c r="C244" s="2">
        <f t="shared" si="24"/>
        <v>9.0531573674006438E-3</v>
      </c>
      <c r="D244" s="2">
        <f t="shared" si="25"/>
        <v>3.0922219306974558E-3</v>
      </c>
      <c r="E244" s="3">
        <f t="shared" si="26"/>
        <v>5.960935436703188E-3</v>
      </c>
      <c r="F244">
        <f t="shared" si="30"/>
        <v>0.12488448439924993</v>
      </c>
      <c r="G244">
        <f t="shared" si="27"/>
        <v>4.7731593443156257E-2</v>
      </c>
      <c r="H244">
        <f t="shared" si="31"/>
        <v>-0.40022908668536888</v>
      </c>
      <c r="P244" s="33">
        <f t="shared" si="28"/>
        <v>7.3658330896925195E-3</v>
      </c>
      <c r="Q244" s="33">
        <f t="shared" si="29"/>
        <v>0.65843718327130996</v>
      </c>
    </row>
    <row r="245" spans="1:17" x14ac:dyDescent="0.35">
      <c r="A245" s="13">
        <v>42718</v>
      </c>
      <c r="B245" s="14">
        <v>4769.24</v>
      </c>
      <c r="C245" s="2">
        <f t="shared" si="24"/>
        <v>-7.2087712615037658E-3</v>
      </c>
      <c r="D245" s="2">
        <f t="shared" si="25"/>
        <v>2.7106111496293134E-2</v>
      </c>
      <c r="E245" s="3">
        <f t="shared" si="26"/>
        <v>-3.43148827577969E-2</v>
      </c>
      <c r="F245">
        <f t="shared" si="30"/>
        <v>5.7733673394112096E-2</v>
      </c>
      <c r="G245">
        <f t="shared" si="27"/>
        <v>-0.59436513806336921</v>
      </c>
      <c r="H245">
        <f t="shared" si="31"/>
        <v>-0.57572489285160144</v>
      </c>
      <c r="P245" s="33">
        <f t="shared" si="28"/>
        <v>-8.8960955392118901E-3</v>
      </c>
      <c r="Q245" s="33">
        <f t="shared" si="29"/>
        <v>4.7601569689199348</v>
      </c>
    </row>
    <row r="246" spans="1:17" x14ac:dyDescent="0.35">
      <c r="A246" s="13">
        <v>42719</v>
      </c>
      <c r="B246" s="14">
        <v>4819.2299999999996</v>
      </c>
      <c r="C246" s="2">
        <f t="shared" si="24"/>
        <v>1.0481753906282698E-2</v>
      </c>
      <c r="D246" s="2">
        <f t="shared" si="25"/>
        <v>-1.4244600323171881E-2</v>
      </c>
      <c r="E246" s="3">
        <f t="shared" si="26"/>
        <v>2.4726354229454579E-2</v>
      </c>
      <c r="F246">
        <f t="shared" si="30"/>
        <v>0.58971659463517967</v>
      </c>
      <c r="G246">
        <f t="shared" si="27"/>
        <v>4.1929215583209438E-2</v>
      </c>
      <c r="H246">
        <f t="shared" si="31"/>
        <v>-0.39996896373876917</v>
      </c>
      <c r="P246" s="33">
        <f t="shared" si="28"/>
        <v>8.7944296285745738E-3</v>
      </c>
      <c r="Q246" s="33">
        <f t="shared" si="29"/>
        <v>2.3589901509358806</v>
      </c>
    </row>
    <row r="247" spans="1:17" x14ac:dyDescent="0.35">
      <c r="A247" s="13">
        <v>42720</v>
      </c>
      <c r="B247" s="14">
        <v>4833.2700000000004</v>
      </c>
      <c r="C247" s="2">
        <f t="shared" si="24"/>
        <v>2.9133284777860258E-3</v>
      </c>
      <c r="D247" s="2">
        <f t="shared" si="25"/>
        <v>2.5852658739540957E-2</v>
      </c>
      <c r="E247" s="3">
        <f t="shared" si="26"/>
        <v>-2.2939330261754931E-2</v>
      </c>
      <c r="F247">
        <f t="shared" si="30"/>
        <v>9.2492011558718598E-2</v>
      </c>
      <c r="G247">
        <f t="shared" si="27"/>
        <v>-0.24801417846980101</v>
      </c>
      <c r="H247">
        <f t="shared" si="31"/>
        <v>-0.42984545054008266</v>
      </c>
      <c r="P247" s="33">
        <f t="shared" si="28"/>
        <v>1.2260042000779015E-3</v>
      </c>
      <c r="Q247" s="33">
        <f t="shared" si="29"/>
        <v>7.87392511234696</v>
      </c>
    </row>
    <row r="248" spans="1:17" x14ac:dyDescent="0.35">
      <c r="A248" s="13">
        <v>42723</v>
      </c>
      <c r="B248" s="14">
        <v>4822.7700000000004</v>
      </c>
      <c r="C248" s="2">
        <f t="shared" si="24"/>
        <v>-2.1724422595882364E-3</v>
      </c>
      <c r="D248" s="2">
        <f t="shared" si="25"/>
        <v>1.7963895881033889E-2</v>
      </c>
      <c r="E248" s="3">
        <f t="shared" si="26"/>
        <v>-2.0136338140622125E-2</v>
      </c>
      <c r="F248">
        <f t="shared" si="30"/>
        <v>0.24773614056947404</v>
      </c>
      <c r="G248">
        <f t="shared" si="27"/>
        <v>-8.1281391137903752E-2</v>
      </c>
      <c r="H248">
        <f t="shared" si="31"/>
        <v>-0.40239326645171397</v>
      </c>
      <c r="P248" s="33">
        <f t="shared" si="28"/>
        <v>-3.8597665372963608E-3</v>
      </c>
      <c r="Q248" s="33">
        <f t="shared" si="29"/>
        <v>9.268986575707082</v>
      </c>
    </row>
    <row r="249" spans="1:17" x14ac:dyDescent="0.35">
      <c r="A249" s="13">
        <v>42724</v>
      </c>
      <c r="B249" s="14">
        <v>4849.8900000000003</v>
      </c>
      <c r="C249" s="2">
        <f t="shared" si="24"/>
        <v>5.6233243550904977E-3</v>
      </c>
      <c r="D249" s="2">
        <f t="shared" si="25"/>
        <v>-4.1330083469838987E-3</v>
      </c>
      <c r="E249" s="3">
        <f t="shared" si="26"/>
        <v>9.7563327020743964E-3</v>
      </c>
      <c r="F249">
        <f t="shared" si="30"/>
        <v>9.150552141226137E-2</v>
      </c>
      <c r="G249">
        <f t="shared" si="27"/>
        <v>0.10662015309566977</v>
      </c>
      <c r="H249">
        <f t="shared" si="31"/>
        <v>-0.40477386270212956</v>
      </c>
      <c r="P249" s="33">
        <f t="shared" si="28"/>
        <v>3.9360000773823733E-3</v>
      </c>
      <c r="Q249" s="33">
        <f t="shared" si="29"/>
        <v>1.7349759832442362</v>
      </c>
    </row>
    <row r="250" spans="1:17" x14ac:dyDescent="0.35">
      <c r="A250" s="13">
        <v>42725</v>
      </c>
      <c r="B250" s="14">
        <v>4833.82</v>
      </c>
      <c r="C250" s="2">
        <f t="shared" si="24"/>
        <v>-3.3134772128853296E-3</v>
      </c>
      <c r="D250" s="2">
        <f t="shared" si="25"/>
        <v>1.533284172085337E-2</v>
      </c>
      <c r="E250" s="3">
        <f t="shared" si="26"/>
        <v>-1.8646318933738699E-2</v>
      </c>
      <c r="F250">
        <f t="shared" si="30"/>
        <v>0.1101530761652204</v>
      </c>
      <c r="G250">
        <f t="shared" si="27"/>
        <v>-0.16927642497946024</v>
      </c>
      <c r="H250">
        <f t="shared" si="31"/>
        <v>-0.41341718820597095</v>
      </c>
      <c r="P250" s="33">
        <f t="shared" si="28"/>
        <v>-5.0008014905934539E-3</v>
      </c>
      <c r="Q250" s="33">
        <f t="shared" si="29"/>
        <v>5.6274172827347577</v>
      </c>
    </row>
    <row r="251" spans="1:17" x14ac:dyDescent="0.35">
      <c r="A251" s="13">
        <v>42726</v>
      </c>
      <c r="B251" s="14">
        <v>4834.63</v>
      </c>
      <c r="C251" s="2">
        <f t="shared" si="24"/>
        <v>1.6756933439809885E-4</v>
      </c>
      <c r="D251" s="2">
        <f t="shared" si="25"/>
        <v>-5.2852798177989904E-3</v>
      </c>
      <c r="E251" s="3">
        <f t="shared" si="26"/>
        <v>5.4528491521970892E-3</v>
      </c>
      <c r="F251">
        <f t="shared" si="30"/>
        <v>0.1707999624808009</v>
      </c>
      <c r="G251">
        <f t="shared" si="27"/>
        <v>3.1925353337299636E-2</v>
      </c>
      <c r="H251">
        <f t="shared" si="31"/>
        <v>-0.39959954827191324</v>
      </c>
      <c r="P251" s="33">
        <f t="shared" si="28"/>
        <v>-1.5197549433100255E-3</v>
      </c>
      <c r="Q251" s="33">
        <f t="shared" si="29"/>
        <v>32.540853443044732</v>
      </c>
    </row>
    <row r="252" spans="1:17" x14ac:dyDescent="0.35">
      <c r="A252" s="13">
        <v>42727</v>
      </c>
      <c r="B252" s="14">
        <v>4839.68</v>
      </c>
      <c r="C252" s="2">
        <f t="shared" si="24"/>
        <v>1.0445473593636567E-3</v>
      </c>
      <c r="D252" s="2">
        <f t="shared" si="25"/>
        <v>-2.3476581465113424E-3</v>
      </c>
      <c r="E252" s="3">
        <f t="shared" si="26"/>
        <v>3.3922055058749991E-3</v>
      </c>
      <c r="F252">
        <f t="shared" si="30"/>
        <v>4.8282160056376124E-2</v>
      </c>
      <c r="G252">
        <f t="shared" si="27"/>
        <v>7.0257948317020785E-2</v>
      </c>
      <c r="H252">
        <f t="shared" si="31"/>
        <v>-0.40155802382991612</v>
      </c>
      <c r="P252" s="33">
        <f t="shared" si="28"/>
        <v>-6.427769183444676E-4</v>
      </c>
      <c r="Q252" s="33">
        <f t="shared" si="29"/>
        <v>3.2475363375975093</v>
      </c>
    </row>
    <row r="253" spans="1:17" x14ac:dyDescent="0.35">
      <c r="A253" s="13">
        <v>42731</v>
      </c>
      <c r="B253" s="14">
        <v>4848.28</v>
      </c>
      <c r="C253" s="2">
        <f t="shared" si="24"/>
        <v>1.7769769902140631E-3</v>
      </c>
      <c r="D253" s="2">
        <f t="shared" si="25"/>
        <v>3.3411384073522912E-3</v>
      </c>
      <c r="E253" s="3">
        <f t="shared" si="26"/>
        <v>-1.5641614171382281E-3</v>
      </c>
      <c r="F253">
        <f t="shared" si="30"/>
        <v>7.5591429516877015E-2</v>
      </c>
      <c r="G253">
        <f t="shared" si="27"/>
        <v>-2.0692311643464866E-2</v>
      </c>
      <c r="H253">
        <f t="shared" si="31"/>
        <v>-0.39930402005963267</v>
      </c>
      <c r="P253" s="33">
        <f t="shared" si="28"/>
        <v>8.9652712505938759E-5</v>
      </c>
      <c r="Q253" s="33">
        <f t="shared" si="29"/>
        <v>0.88023729387165661</v>
      </c>
    </row>
    <row r="254" spans="1:17" x14ac:dyDescent="0.35">
      <c r="A254" s="13">
        <v>42732</v>
      </c>
      <c r="B254" s="14">
        <v>4848.01</v>
      </c>
      <c r="C254" s="2">
        <f t="shared" si="24"/>
        <v>-5.5689852896168013E-5</v>
      </c>
      <c r="D254" s="2">
        <f t="shared" si="25"/>
        <v>6.3395631085841333E-3</v>
      </c>
      <c r="E254" s="3">
        <f t="shared" si="26"/>
        <v>-6.3952529614803013E-3</v>
      </c>
      <c r="F254">
        <f t="shared" si="30"/>
        <v>3.6687356743728715E-2</v>
      </c>
      <c r="G254">
        <f t="shared" si="27"/>
        <v>-0.17431762680950016</v>
      </c>
      <c r="H254">
        <f t="shared" si="31"/>
        <v>-0.41428325168730562</v>
      </c>
      <c r="P254" s="33">
        <f t="shared" si="28"/>
        <v>-1.7430141306042923E-3</v>
      </c>
      <c r="Q254" s="33">
        <f t="shared" si="29"/>
        <v>114.83695195611398</v>
      </c>
    </row>
    <row r="255" spans="1:17" x14ac:dyDescent="0.35">
      <c r="A255" s="13">
        <v>42733</v>
      </c>
      <c r="B255" s="14">
        <v>4838.47</v>
      </c>
      <c r="C255" s="2">
        <f t="shared" si="24"/>
        <v>-1.9678177231482463E-3</v>
      </c>
      <c r="D255" s="2">
        <f t="shared" si="25"/>
        <v>1.3636026001831373E-3</v>
      </c>
      <c r="E255" s="3">
        <f t="shared" si="26"/>
        <v>-3.3314203233313837E-3</v>
      </c>
      <c r="F255">
        <f t="shared" si="30"/>
        <v>0.17517779424756702</v>
      </c>
      <c r="G255">
        <f t="shared" si="27"/>
        <v>-1.9017366542607054E-2</v>
      </c>
      <c r="H255">
        <f t="shared" si="31"/>
        <v>-0.39927076429416547</v>
      </c>
      <c r="P255" s="33">
        <f t="shared" si="28"/>
        <v>-3.6551420008563706E-3</v>
      </c>
      <c r="Q255" s="33">
        <f t="shared" si="29"/>
        <v>1.6929516815213732</v>
      </c>
    </row>
    <row r="256" spans="1:17" x14ac:dyDescent="0.35">
      <c r="A256" s="13">
        <v>42734</v>
      </c>
      <c r="B256" s="14">
        <v>4862.3100000000004</v>
      </c>
      <c r="C256" s="2">
        <f t="shared" si="24"/>
        <v>4.9271773928536433E-3</v>
      </c>
      <c r="D256" s="2">
        <f t="shared" si="25"/>
        <v>-6.0699084964940149E-3</v>
      </c>
      <c r="E256" s="3">
        <f t="shared" si="26"/>
        <v>1.0997085889347658E-2</v>
      </c>
      <c r="F256">
        <f t="shared" si="30"/>
        <v>4.1371846002142235E-2</v>
      </c>
      <c r="G256">
        <f t="shared" si="27"/>
        <v>0.26581085815649197</v>
      </c>
      <c r="H256">
        <f t="shared" si="31"/>
        <v>-0.43441764033600289</v>
      </c>
      <c r="P256" s="33">
        <f t="shared" si="28"/>
        <v>3.239853115145519E-3</v>
      </c>
      <c r="Q256" s="33">
        <f t="shared" si="29"/>
        <v>2.2319240840197438</v>
      </c>
    </row>
    <row r="257" spans="1:17" x14ac:dyDescent="0.35">
      <c r="A257" s="13">
        <v>42737</v>
      </c>
      <c r="B257" s="14">
        <v>4882.38</v>
      </c>
      <c r="C257" s="2">
        <f t="shared" si="24"/>
        <v>4.1276677134940432E-3</v>
      </c>
      <c r="D257" s="2">
        <f t="shared" si="25"/>
        <v>1.3379169700289241E-2</v>
      </c>
      <c r="E257" s="3">
        <f t="shared" si="26"/>
        <v>-9.2515019867951982E-3</v>
      </c>
      <c r="F257">
        <f t="shared" si="30"/>
        <v>0.26501718388591072</v>
      </c>
      <c r="G257">
        <f t="shared" si="27"/>
        <v>-3.4909064578914052E-2</v>
      </c>
      <c r="H257">
        <f t="shared" si="31"/>
        <v>-0.39969925557394492</v>
      </c>
      <c r="P257" s="33">
        <f t="shared" si="28"/>
        <v>2.4403434357859188E-3</v>
      </c>
      <c r="Q257" s="33">
        <f t="shared" si="29"/>
        <v>2.2413388453122027</v>
      </c>
    </row>
    <row r="258" spans="1:17" x14ac:dyDescent="0.35">
      <c r="A258" s="13">
        <v>42738</v>
      </c>
      <c r="B258" s="14">
        <v>4899.33</v>
      </c>
      <c r="C258" s="2">
        <f t="shared" si="24"/>
        <v>3.4716675064210278E-3</v>
      </c>
      <c r="D258" s="2">
        <f t="shared" si="25"/>
        <v>1.6884830630051948E-2</v>
      </c>
      <c r="E258" s="3">
        <f t="shared" si="26"/>
        <v>-1.341316312363092E-2</v>
      </c>
      <c r="F258">
        <f t="shared" si="30"/>
        <v>5.6882298520288622E-2</v>
      </c>
      <c r="G258">
        <f t="shared" si="27"/>
        <v>-0.23580557524142154</v>
      </c>
      <c r="H258">
        <f t="shared" si="31"/>
        <v>-0.42689206883652636</v>
      </c>
      <c r="P258" s="33">
        <f t="shared" si="28"/>
        <v>1.7843432287129035E-3</v>
      </c>
      <c r="Q258" s="33">
        <f t="shared" si="29"/>
        <v>3.8636082225105324</v>
      </c>
    </row>
    <row r="259" spans="1:17" x14ac:dyDescent="0.35">
      <c r="A259" s="13">
        <v>42739</v>
      </c>
      <c r="B259" s="14">
        <v>4899.3999999999996</v>
      </c>
      <c r="C259" s="2">
        <f t="shared" si="24"/>
        <v>1.4287667905454882E-5</v>
      </c>
      <c r="D259" s="2">
        <f t="shared" si="25"/>
        <v>1.4187168622550312E-2</v>
      </c>
      <c r="E259" s="3">
        <f t="shared" si="26"/>
        <v>-1.4172880954644857E-2</v>
      </c>
      <c r="F259">
        <f t="shared" si="30"/>
        <v>0.23554502051492923</v>
      </c>
      <c r="G259">
        <f t="shared" si="27"/>
        <v>-6.01705819280801E-2</v>
      </c>
      <c r="H259">
        <f t="shared" si="31"/>
        <v>-0.40090018364383945</v>
      </c>
      <c r="P259" s="33">
        <f t="shared" si="28"/>
        <v>-1.6730366098026694E-3</v>
      </c>
      <c r="Q259" s="33">
        <f t="shared" si="29"/>
        <v>991.9660121183108</v>
      </c>
    </row>
    <row r="260" spans="1:17" x14ac:dyDescent="0.35">
      <c r="A260" s="13">
        <v>42740</v>
      </c>
      <c r="B260" s="14">
        <v>4900.6400000000003</v>
      </c>
      <c r="C260" s="2">
        <f t="shared" ref="C260:C323" si="32">(B260/B259)-1</f>
        <v>2.530922153733961E-4</v>
      </c>
      <c r="D260" s="2">
        <f t="shared" si="25"/>
        <v>3.0407312216592141E-3</v>
      </c>
      <c r="E260" s="3">
        <f t="shared" si="26"/>
        <v>-2.787639006285818E-3</v>
      </c>
      <c r="F260">
        <f t="shared" si="30"/>
        <v>7.3071342439795628E-2</v>
      </c>
      <c r="G260">
        <f t="shared" si="27"/>
        <v>-3.8149552385500343E-2</v>
      </c>
      <c r="H260">
        <f t="shared" si="31"/>
        <v>-0.39981762835266454</v>
      </c>
      <c r="P260" s="33">
        <f t="shared" si="28"/>
        <v>-1.4342320623347282E-3</v>
      </c>
      <c r="Q260" s="33">
        <f t="shared" si="29"/>
        <v>11.014321409187215</v>
      </c>
    </row>
    <row r="261" spans="1:17" x14ac:dyDescent="0.35">
      <c r="A261" s="13">
        <v>42741</v>
      </c>
      <c r="B261" s="14">
        <v>4909.84</v>
      </c>
      <c r="C261" s="2">
        <f t="shared" si="32"/>
        <v>1.8773058212804283E-3</v>
      </c>
      <c r="D261" s="2">
        <f t="shared" si="25"/>
        <v>7.8683632447472569E-4</v>
      </c>
      <c r="E261" s="3">
        <f t="shared" si="26"/>
        <v>1.0904694968057026E-3</v>
      </c>
      <c r="F261">
        <f t="shared" si="30"/>
        <v>4.845757563020036E-2</v>
      </c>
      <c r="G261">
        <f t="shared" si="27"/>
        <v>2.250359170106905E-2</v>
      </c>
      <c r="H261">
        <f t="shared" si="31"/>
        <v>-0.39934313999878174</v>
      </c>
      <c r="P261" s="33">
        <f t="shared" si="28"/>
        <v>1.8998154357230401E-4</v>
      </c>
      <c r="Q261" s="33">
        <f t="shared" si="29"/>
        <v>0.58086939508978941</v>
      </c>
    </row>
    <row r="262" spans="1:17" x14ac:dyDescent="0.35">
      <c r="A262" s="13">
        <v>42744</v>
      </c>
      <c r="B262" s="14">
        <v>4887.57</v>
      </c>
      <c r="C262" s="2">
        <f t="shared" si="32"/>
        <v>-4.5357893536246419E-3</v>
      </c>
      <c r="D262" s="2">
        <f t="shared" ref="D262:D325" si="33">C261*$K$10+C260*$K$9</f>
        <v>5.9633405989361343E-3</v>
      </c>
      <c r="E262" s="3">
        <f t="shared" ref="E262:E325" si="34">C262-D262</f>
        <v>-1.0499129952560776E-2</v>
      </c>
      <c r="F262">
        <f t="shared" si="30"/>
        <v>3.6941838449350867E-2</v>
      </c>
      <c r="G262">
        <f t="shared" ref="G262:G325" si="35">E262/F262</f>
        <v>-0.28420702361512451</v>
      </c>
      <c r="H262">
        <f t="shared" si="31"/>
        <v>-0.4394767503151415</v>
      </c>
      <c r="P262" s="33">
        <f t="shared" ref="P262:P325" si="36" xml:space="preserve"> C262-$K$16</f>
        <v>-6.2231136313327662E-3</v>
      </c>
      <c r="Q262" s="33">
        <f t="shared" ref="Q262:Q325" si="37" xml:space="preserve"> ABS(E262)/ABS(C262)</f>
        <v>2.3147304987103747</v>
      </c>
    </row>
    <row r="263" spans="1:17" x14ac:dyDescent="0.35">
      <c r="A263" s="13">
        <v>42745</v>
      </c>
      <c r="B263" s="14">
        <v>4888.2299999999996</v>
      </c>
      <c r="C263" s="2">
        <f t="shared" si="32"/>
        <v>1.3503642914569625E-4</v>
      </c>
      <c r="D263" s="2">
        <f t="shared" si="33"/>
        <v>-1.2259597328997314E-2</v>
      </c>
      <c r="E263" s="3">
        <f t="shared" si="34"/>
        <v>1.2394633758143011E-2</v>
      </c>
      <c r="F263">
        <f t="shared" ref="F263:F326" si="38">($K$5+$K$6*G262^2+$K$7*F262^2)^(1/2)</f>
        <v>0.28313134382994803</v>
      </c>
      <c r="G263">
        <f t="shared" si="35"/>
        <v>4.3776974991463227E-2</v>
      </c>
      <c r="H263">
        <f t="shared" ref="H263:H326" si="39">- (G263^2)/2 - LOG(2*PI())/2</f>
        <v>-0.40004814594875915</v>
      </c>
      <c r="P263" s="33">
        <f t="shared" si="36"/>
        <v>-1.5522878485624281E-3</v>
      </c>
      <c r="Q263" s="33">
        <f t="shared" si="37"/>
        <v>91.787333511092328</v>
      </c>
    </row>
    <row r="264" spans="1:17" x14ac:dyDescent="0.35">
      <c r="A264" s="13">
        <v>42746</v>
      </c>
      <c r="B264" s="14">
        <v>4888.71</v>
      </c>
      <c r="C264" s="2">
        <f t="shared" si="32"/>
        <v>9.8195052196992094E-5</v>
      </c>
      <c r="D264" s="2">
        <f t="shared" si="33"/>
        <v>-3.5024072217567804E-3</v>
      </c>
      <c r="E264" s="3">
        <f t="shared" si="34"/>
        <v>3.6006022739537725E-3</v>
      </c>
      <c r="F264">
        <f t="shared" si="38"/>
        <v>6.3969619196332234E-2</v>
      </c>
      <c r="G264">
        <f t="shared" si="35"/>
        <v>5.6286129559455264E-2</v>
      </c>
      <c r="H264">
        <f t="shared" si="39"/>
        <v>-0.40067399836944939</v>
      </c>
      <c r="P264" s="33">
        <f t="shared" si="36"/>
        <v>-1.5891292255111322E-3</v>
      </c>
      <c r="Q264" s="33">
        <f t="shared" si="37"/>
        <v>36.6678584449499</v>
      </c>
    </row>
    <row r="265" spans="1:17" x14ac:dyDescent="0.35">
      <c r="A265" s="13">
        <v>42747</v>
      </c>
      <c r="B265" s="14">
        <v>4863.97</v>
      </c>
      <c r="C265" s="2">
        <f t="shared" si="32"/>
        <v>-5.0606397188623919E-3</v>
      </c>
      <c r="D265" s="2">
        <f t="shared" si="33"/>
        <v>4.1706612054475415E-4</v>
      </c>
      <c r="E265" s="3">
        <f t="shared" si="34"/>
        <v>-5.4777058394071465E-3</v>
      </c>
      <c r="F265">
        <f t="shared" si="38"/>
        <v>6.3311745900915983E-2</v>
      </c>
      <c r="G265">
        <f t="shared" si="35"/>
        <v>-8.6519582763992228E-2</v>
      </c>
      <c r="H265">
        <f t="shared" si="39"/>
        <v>-0.40283275327988516</v>
      </c>
      <c r="P265" s="33">
        <f t="shared" si="36"/>
        <v>-6.7479639965705163E-3</v>
      </c>
      <c r="Q265" s="33">
        <f t="shared" si="37"/>
        <v>1.0824137152048652</v>
      </c>
    </row>
    <row r="266" spans="1:17" x14ac:dyDescent="0.35">
      <c r="A266" s="13">
        <v>42748</v>
      </c>
      <c r="B266" s="14">
        <v>4922.49</v>
      </c>
      <c r="C266" s="2">
        <f t="shared" si="32"/>
        <v>1.2031324206358107E-2</v>
      </c>
      <c r="D266" s="2">
        <f t="shared" si="33"/>
        <v>-1.5401586648401525E-2</v>
      </c>
      <c r="E266" s="3">
        <f t="shared" si="34"/>
        <v>2.7432910854759632E-2</v>
      </c>
      <c r="F266">
        <f t="shared" si="38"/>
        <v>9.0809482068300237E-2</v>
      </c>
      <c r="G266">
        <f t="shared" si="35"/>
        <v>0.3020930218952973</v>
      </c>
      <c r="H266">
        <f t="shared" si="39"/>
        <v>-0.44472003111797381</v>
      </c>
      <c r="P266" s="33">
        <f t="shared" si="36"/>
        <v>1.0343999928649983E-2</v>
      </c>
      <c r="Q266" s="33">
        <f t="shared" si="37"/>
        <v>2.2801239817195151</v>
      </c>
    </row>
    <row r="267" spans="1:17" x14ac:dyDescent="0.35">
      <c r="A267" s="13">
        <v>42751</v>
      </c>
      <c r="B267" s="14">
        <v>4882.18</v>
      </c>
      <c r="C267" s="2">
        <f t="shared" si="32"/>
        <v>-8.1889450257897067E-3</v>
      </c>
      <c r="D267" s="2">
        <f t="shared" si="33"/>
        <v>3.2449019696029244E-2</v>
      </c>
      <c r="E267" s="3">
        <f t="shared" si="34"/>
        <v>-4.063796472181895E-2</v>
      </c>
      <c r="F267">
        <f t="shared" si="38"/>
        <v>0.30096351299983337</v>
      </c>
      <c r="G267">
        <f t="shared" si="35"/>
        <v>-0.13502621735360143</v>
      </c>
      <c r="H267">
        <f t="shared" si="39"/>
        <v>-0.40820597386546853</v>
      </c>
      <c r="P267" s="33">
        <f t="shared" si="36"/>
        <v>-9.8762693034978311E-3</v>
      </c>
      <c r="Q267" s="33">
        <f t="shared" si="37"/>
        <v>4.9625396914787565</v>
      </c>
    </row>
    <row r="268" spans="1:17" x14ac:dyDescent="0.35">
      <c r="A268" s="13">
        <v>42752</v>
      </c>
      <c r="B268" s="14">
        <v>4859.6899999999996</v>
      </c>
      <c r="C268" s="2">
        <f t="shared" si="32"/>
        <v>-4.6065487138943206E-3</v>
      </c>
      <c r="D268" s="2">
        <f t="shared" si="33"/>
        <v>-1.4673105503048376E-2</v>
      </c>
      <c r="E268" s="3">
        <f t="shared" si="34"/>
        <v>1.0066556789154055E-2</v>
      </c>
      <c r="F268">
        <f t="shared" si="38"/>
        <v>0.14245159549483086</v>
      </c>
      <c r="G268">
        <f t="shared" si="35"/>
        <v>7.0666507835072584E-2</v>
      </c>
      <c r="H268">
        <f t="shared" si="39"/>
        <v>-0.40158681184385969</v>
      </c>
      <c r="P268" s="33">
        <f t="shared" si="36"/>
        <v>-6.293872991602445E-3</v>
      </c>
      <c r="Q268" s="33">
        <f t="shared" si="37"/>
        <v>2.1852708859435701</v>
      </c>
    </row>
    <row r="269" spans="1:17" x14ac:dyDescent="0.35">
      <c r="A269" s="13">
        <v>42753</v>
      </c>
      <c r="B269" s="14">
        <v>4853.3999999999996</v>
      </c>
      <c r="C269" s="2">
        <f t="shared" si="32"/>
        <v>-1.2943212427130035E-3</v>
      </c>
      <c r="D269" s="2">
        <f t="shared" si="33"/>
        <v>-2.1166089151415809E-2</v>
      </c>
      <c r="E269" s="3">
        <f t="shared" si="34"/>
        <v>1.9871767908702806E-2</v>
      </c>
      <c r="F269">
        <f t="shared" si="38"/>
        <v>7.7977989830122441E-2</v>
      </c>
      <c r="G269">
        <f t="shared" si="35"/>
        <v>0.25483816589776281</v>
      </c>
      <c r="H269">
        <f t="shared" si="39"/>
        <v>-0.43156117957812534</v>
      </c>
      <c r="P269" s="33">
        <f t="shared" si="36"/>
        <v>-2.9816455204211278E-3</v>
      </c>
      <c r="Q269" s="33">
        <f t="shared" si="37"/>
        <v>15.353041619752721</v>
      </c>
    </row>
    <row r="270" spans="1:17" x14ac:dyDescent="0.35">
      <c r="A270" s="13">
        <v>42754</v>
      </c>
      <c r="B270" s="14">
        <v>4841.1400000000003</v>
      </c>
      <c r="C270" s="2">
        <f t="shared" si="32"/>
        <v>-2.5260642024146351E-3</v>
      </c>
      <c r="D270" s="2">
        <f t="shared" si="33"/>
        <v>-7.9375521413263574E-3</v>
      </c>
      <c r="E270" s="3">
        <f t="shared" si="34"/>
        <v>5.4114879389117222E-3</v>
      </c>
      <c r="F270">
        <f t="shared" si="38"/>
        <v>0.25436174747803875</v>
      </c>
      <c r="G270">
        <f t="shared" si="35"/>
        <v>2.1274771039929825E-2</v>
      </c>
      <c r="H270">
        <f t="shared" si="39"/>
        <v>-0.39931624212045824</v>
      </c>
      <c r="P270" s="33">
        <f t="shared" si="36"/>
        <v>-4.2133884801227595E-3</v>
      </c>
      <c r="Q270" s="33">
        <f t="shared" si="37"/>
        <v>2.1422606494874294</v>
      </c>
    </row>
    <row r="271" spans="1:17" x14ac:dyDescent="0.35">
      <c r="A271" s="13">
        <v>42755</v>
      </c>
      <c r="B271" s="14">
        <v>4850.67</v>
      </c>
      <c r="C271" s="2">
        <f t="shared" si="32"/>
        <v>1.9685445989994221E-3</v>
      </c>
      <c r="D271" s="2">
        <f t="shared" si="33"/>
        <v>-8.8475120901330504E-3</v>
      </c>
      <c r="E271" s="3">
        <f t="shared" si="34"/>
        <v>1.0816056689132473E-2</v>
      </c>
      <c r="F271">
        <f t="shared" si="38"/>
        <v>4.8866299970740788E-2</v>
      </c>
      <c r="G271">
        <f t="shared" si="35"/>
        <v>0.22133979236424081</v>
      </c>
      <c r="H271">
        <f t="shared" si="39"/>
        <v>-0.42358558602098012</v>
      </c>
      <c r="P271" s="33">
        <f t="shared" si="36"/>
        <v>2.8122032129129781E-4</v>
      </c>
      <c r="Q271" s="33">
        <f t="shared" si="37"/>
        <v>5.4944433032556592</v>
      </c>
    </row>
    <row r="272" spans="1:17" x14ac:dyDescent="0.35">
      <c r="A272" s="13">
        <v>42758</v>
      </c>
      <c r="B272" s="14">
        <v>4821.41</v>
      </c>
      <c r="C272" s="2">
        <f t="shared" si="32"/>
        <v>-6.032156382520415E-3</v>
      </c>
      <c r="D272" s="2">
        <f t="shared" si="33"/>
        <v>3.8433654480076415E-3</v>
      </c>
      <c r="E272" s="3">
        <f t="shared" si="34"/>
        <v>-9.875521830528056E-3</v>
      </c>
      <c r="F272">
        <f t="shared" si="38"/>
        <v>0.22129946717781554</v>
      </c>
      <c r="G272">
        <f t="shared" si="35"/>
        <v>-4.4625149605954588E-2</v>
      </c>
      <c r="H272">
        <f t="shared" si="39"/>
        <v>-0.40008563616773446</v>
      </c>
      <c r="P272" s="33">
        <f t="shared" si="36"/>
        <v>-7.7194806602285393E-3</v>
      </c>
      <c r="Q272" s="33">
        <f t="shared" si="37"/>
        <v>1.637146188574403</v>
      </c>
    </row>
    <row r="273" spans="1:17" x14ac:dyDescent="0.35">
      <c r="A273" s="13">
        <v>42759</v>
      </c>
      <c r="B273" s="14">
        <v>4830.03</v>
      </c>
      <c r="C273" s="2">
        <f t="shared" si="32"/>
        <v>1.7878587384188016E-3</v>
      </c>
      <c r="D273" s="2">
        <f t="shared" si="33"/>
        <v>-1.675995228241986E-2</v>
      </c>
      <c r="E273" s="3">
        <f t="shared" si="34"/>
        <v>1.8547811020838662E-2</v>
      </c>
      <c r="F273">
        <f t="shared" si="38"/>
        <v>6.0228525399780235E-2</v>
      </c>
      <c r="G273">
        <f t="shared" si="35"/>
        <v>0.3079572494548628</v>
      </c>
      <c r="H273">
        <f t="shared" si="39"/>
        <v>-0.4465087679249598</v>
      </c>
      <c r="P273" s="33">
        <f t="shared" si="36"/>
        <v>1.0053446071067729E-4</v>
      </c>
      <c r="Q273" s="33">
        <f t="shared" si="37"/>
        <v>10.374315723199985</v>
      </c>
    </row>
    <row r="274" spans="1:17" x14ac:dyDescent="0.35">
      <c r="A274" s="13">
        <v>42760</v>
      </c>
      <c r="B274" s="14">
        <v>4877.67</v>
      </c>
      <c r="C274" s="2">
        <f t="shared" si="32"/>
        <v>9.8632927745792021E-3</v>
      </c>
      <c r="D274" s="2">
        <f t="shared" si="33"/>
        <v>2.6371148957216733E-4</v>
      </c>
      <c r="E274" s="3">
        <f t="shared" si="34"/>
        <v>9.5995812850070347E-3</v>
      </c>
      <c r="F274">
        <f t="shared" si="38"/>
        <v>0.30661393048310331</v>
      </c>
      <c r="G274">
        <f t="shared" si="35"/>
        <v>3.1308366419887899E-2</v>
      </c>
      <c r="H274">
        <f t="shared" si="39"/>
        <v>-0.39958004108299849</v>
      </c>
      <c r="P274" s="33">
        <f t="shared" si="36"/>
        <v>8.1759684968710777E-3</v>
      </c>
      <c r="Q274" s="33">
        <f t="shared" si="37"/>
        <v>0.97326334160415129</v>
      </c>
    </row>
    <row r="275" spans="1:17" x14ac:dyDescent="0.35">
      <c r="A275" s="13">
        <v>42761</v>
      </c>
      <c r="B275" s="14">
        <v>4867.24</v>
      </c>
      <c r="C275" s="2">
        <f t="shared" si="32"/>
        <v>-2.1383160402406176E-3</v>
      </c>
      <c r="D275" s="2">
        <f t="shared" si="33"/>
        <v>3.1726648637952611E-2</v>
      </c>
      <c r="E275" s="3">
        <f t="shared" si="34"/>
        <v>-3.3864964678193228E-2</v>
      </c>
      <c r="F275">
        <f t="shared" si="38"/>
        <v>5.8410861394396302E-2</v>
      </c>
      <c r="G275">
        <f t="shared" si="35"/>
        <v>-0.57977170460701499</v>
      </c>
      <c r="H275">
        <f t="shared" si="39"/>
        <v>-0.56715754891051939</v>
      </c>
      <c r="P275" s="33">
        <f t="shared" si="36"/>
        <v>-3.8256403179487419E-3</v>
      </c>
      <c r="Q275" s="33">
        <f t="shared" si="37"/>
        <v>15.837212105644831</v>
      </c>
    </row>
    <row r="276" spans="1:17" x14ac:dyDescent="0.35">
      <c r="A276" s="13">
        <v>42762</v>
      </c>
      <c r="B276" s="14">
        <v>4839.9799999999996</v>
      </c>
      <c r="C276" s="2">
        <f t="shared" si="32"/>
        <v>-5.6007100533361776E-3</v>
      </c>
      <c r="D276" s="2">
        <f t="shared" si="33"/>
        <v>1.9711635804301915E-3</v>
      </c>
      <c r="E276" s="3">
        <f t="shared" si="34"/>
        <v>-7.571873633766369E-3</v>
      </c>
      <c r="F276">
        <f t="shared" si="38"/>
        <v>0.57527576279817583</v>
      </c>
      <c r="G276">
        <f t="shared" si="35"/>
        <v>-1.3162163476062892E-2</v>
      </c>
      <c r="H276">
        <f t="shared" si="39"/>
        <v>-0.39917655545274283</v>
      </c>
      <c r="P276" s="33">
        <f t="shared" si="36"/>
        <v>-7.2880343310443019E-3</v>
      </c>
      <c r="Q276" s="33">
        <f t="shared" si="37"/>
        <v>1.3519488710643086</v>
      </c>
    </row>
    <row r="277" spans="1:17" x14ac:dyDescent="0.35">
      <c r="A277" s="13">
        <v>42765</v>
      </c>
      <c r="B277" s="14">
        <v>4784.6400000000003</v>
      </c>
      <c r="C277" s="2">
        <f t="shared" si="32"/>
        <v>-1.1433931545171472E-2</v>
      </c>
      <c r="D277" s="2">
        <f t="shared" si="33"/>
        <v>-1.8985014389974814E-2</v>
      </c>
      <c r="E277" s="3">
        <f t="shared" si="34"/>
        <v>7.5510828448033425E-3</v>
      </c>
      <c r="F277">
        <f t="shared" si="38"/>
        <v>8.1904117733905574E-2</v>
      </c>
      <c r="G277">
        <f t="shared" si="35"/>
        <v>9.2194178433564228E-2</v>
      </c>
      <c r="H277">
        <f t="shared" si="39"/>
        <v>-0.40333981744757746</v>
      </c>
      <c r="P277" s="33">
        <f t="shared" si="36"/>
        <v>-1.3121255822879596E-2</v>
      </c>
      <c r="Q277" s="33">
        <f t="shared" si="37"/>
        <v>0.6604100098878195</v>
      </c>
    </row>
    <row r="278" spans="1:17" x14ac:dyDescent="0.35">
      <c r="A278" s="13">
        <v>42766</v>
      </c>
      <c r="B278" s="14">
        <v>4748.8999999999996</v>
      </c>
      <c r="C278" s="2">
        <f t="shared" si="32"/>
        <v>-7.4697364901018526E-3</v>
      </c>
      <c r="D278" s="2">
        <f t="shared" si="33"/>
        <v>-3.982459576748662E-2</v>
      </c>
      <c r="E278" s="3">
        <f t="shared" si="34"/>
        <v>3.2354859277384768E-2</v>
      </c>
      <c r="F278">
        <f t="shared" si="38"/>
        <v>9.637813123616952E-2</v>
      </c>
      <c r="G278">
        <f t="shared" si="35"/>
        <v>0.33570747702194903</v>
      </c>
      <c r="H278">
        <f t="shared" si="39"/>
        <v>-0.45543968924327877</v>
      </c>
      <c r="P278" s="33">
        <f t="shared" si="36"/>
        <v>-9.1570607678099769E-3</v>
      </c>
      <c r="Q278" s="33">
        <f t="shared" si="37"/>
        <v>4.3314592583363805</v>
      </c>
    </row>
    <row r="279" spans="1:17" x14ac:dyDescent="0.35">
      <c r="A279" s="13">
        <v>42767</v>
      </c>
      <c r="B279" s="14">
        <v>4794.58</v>
      </c>
      <c r="C279" s="2">
        <f t="shared" si="32"/>
        <v>9.6190696792941566E-3</v>
      </c>
      <c r="D279" s="2">
        <f t="shared" si="33"/>
        <v>-3.2729215916842302E-2</v>
      </c>
      <c r="E279" s="3">
        <f t="shared" si="34"/>
        <v>4.2348285596136459E-2</v>
      </c>
      <c r="F279">
        <f t="shared" si="38"/>
        <v>0.33413862783106935</v>
      </c>
      <c r="G279">
        <f t="shared" si="35"/>
        <v>0.12673867092536964</v>
      </c>
      <c r="H279">
        <f t="shared" si="39"/>
        <v>-0.40712127953302207</v>
      </c>
      <c r="P279" s="33">
        <f t="shared" si="36"/>
        <v>7.9317454015860323E-3</v>
      </c>
      <c r="Q279" s="33">
        <f t="shared" si="37"/>
        <v>4.4025344454354718</v>
      </c>
    </row>
    <row r="280" spans="1:17" x14ac:dyDescent="0.35">
      <c r="A280" s="13">
        <v>42768</v>
      </c>
      <c r="B280" s="14">
        <v>4794.29</v>
      </c>
      <c r="C280" s="2">
        <f t="shared" si="32"/>
        <v>-6.0484964272133901E-5</v>
      </c>
      <c r="D280" s="2">
        <f t="shared" si="33"/>
        <v>2.2987423742355503E-2</v>
      </c>
      <c r="E280" s="3">
        <f t="shared" si="34"/>
        <v>-2.3047908706627637E-2</v>
      </c>
      <c r="F280">
        <f t="shared" si="38"/>
        <v>0.13610991924784291</v>
      </c>
      <c r="G280">
        <f t="shared" si="35"/>
        <v>-0.1693330569439222</v>
      </c>
      <c r="H280">
        <f t="shared" si="39"/>
        <v>-0.41342677626604435</v>
      </c>
      <c r="P280" s="33">
        <f t="shared" si="36"/>
        <v>-1.7478092419802582E-3</v>
      </c>
      <c r="Q280" s="33">
        <f t="shared" si="37"/>
        <v>381.05186940229487</v>
      </c>
    </row>
    <row r="281" spans="1:17" x14ac:dyDescent="0.35">
      <c r="A281" s="13">
        <v>42769</v>
      </c>
      <c r="B281" s="14">
        <v>4825.42</v>
      </c>
      <c r="C281" s="2">
        <f t="shared" si="32"/>
        <v>6.4931407987418588E-3</v>
      </c>
      <c r="D281" s="2">
        <f t="shared" si="33"/>
        <v>8.1188225201344194E-3</v>
      </c>
      <c r="E281" s="3">
        <f t="shared" si="34"/>
        <v>-1.6256817213925606E-3</v>
      </c>
      <c r="F281">
        <f t="shared" si="38"/>
        <v>0.17117759901524954</v>
      </c>
      <c r="G281">
        <f t="shared" si="35"/>
        <v>-9.4970471063081981E-3</v>
      </c>
      <c r="H281">
        <f t="shared" si="39"/>
        <v>-0.39913503113092724</v>
      </c>
      <c r="P281" s="33">
        <f t="shared" si="36"/>
        <v>4.8058165210337345E-3</v>
      </c>
      <c r="Q281" s="33">
        <f t="shared" si="37"/>
        <v>0.25036908512865763</v>
      </c>
    </row>
    <row r="282" spans="1:17" x14ac:dyDescent="0.35">
      <c r="A282" s="13">
        <v>42772</v>
      </c>
      <c r="B282" s="14">
        <v>4778.08</v>
      </c>
      <c r="C282" s="2">
        <f t="shared" si="32"/>
        <v>-9.81054498883005E-3</v>
      </c>
      <c r="D282" s="2">
        <f t="shared" si="33"/>
        <v>1.9817820234973756E-2</v>
      </c>
      <c r="E282" s="3">
        <f t="shared" si="34"/>
        <v>-2.9628365223803806E-2</v>
      </c>
      <c r="F282">
        <f t="shared" si="38"/>
        <v>3.7698308848632234E-2</v>
      </c>
      <c r="G282">
        <f t="shared" si="35"/>
        <v>-0.78593353730451965</v>
      </c>
      <c r="H282">
        <f t="shared" si="39"/>
        <v>-0.70793569670905487</v>
      </c>
      <c r="P282" s="33">
        <f t="shared" si="36"/>
        <v>-1.1497869266538174E-2</v>
      </c>
      <c r="Q282" s="33">
        <f t="shared" si="37"/>
        <v>3.0200529387039809</v>
      </c>
    </row>
    <row r="283" spans="1:17" x14ac:dyDescent="0.35">
      <c r="A283" s="13">
        <v>42773</v>
      </c>
      <c r="B283" s="14">
        <v>4754.47</v>
      </c>
      <c r="C283" s="2">
        <f t="shared" si="32"/>
        <v>-4.9413153400528209E-3</v>
      </c>
      <c r="D283" s="2">
        <f t="shared" si="33"/>
        <v>-2.4416440438988614E-2</v>
      </c>
      <c r="E283" s="3">
        <f t="shared" si="34"/>
        <v>1.9475125098935793E-2</v>
      </c>
      <c r="F283">
        <f t="shared" si="38"/>
        <v>0.77934096983351897</v>
      </c>
      <c r="G283">
        <f t="shared" si="35"/>
        <v>2.4989222757140592E-2</v>
      </c>
      <c r="H283">
        <f t="shared" si="39"/>
        <v>-0.3994021648060605</v>
      </c>
      <c r="P283" s="33">
        <f t="shared" si="36"/>
        <v>-6.6286396177609452E-3</v>
      </c>
      <c r="Q283" s="33">
        <f t="shared" si="37"/>
        <v>3.9412835973199822</v>
      </c>
    </row>
    <row r="284" spans="1:17" x14ac:dyDescent="0.35">
      <c r="A284" s="13">
        <v>42774</v>
      </c>
      <c r="B284" s="14">
        <v>4766.6000000000004</v>
      </c>
      <c r="C284" s="2">
        <f t="shared" si="32"/>
        <v>2.5512833186454031E-3</v>
      </c>
      <c r="D284" s="2">
        <f t="shared" si="33"/>
        <v>-2.3590416868469636E-2</v>
      </c>
      <c r="E284" s="3">
        <f t="shared" si="34"/>
        <v>2.6141700187115039E-2</v>
      </c>
      <c r="F284">
        <f t="shared" si="38"/>
        <v>0.1091872270915078</v>
      </c>
      <c r="G284">
        <f t="shared" si="35"/>
        <v>0.2394208634422611</v>
      </c>
      <c r="H284">
        <f t="shared" si="39"/>
        <v>-0.42775110910477643</v>
      </c>
      <c r="P284" s="33">
        <f t="shared" si="36"/>
        <v>8.6395904093727882E-4</v>
      </c>
      <c r="Q284" s="33">
        <f t="shared" si="37"/>
        <v>10.246490460728173</v>
      </c>
    </row>
    <row r="285" spans="1:17" x14ac:dyDescent="0.35">
      <c r="A285" s="13">
        <v>42775</v>
      </c>
      <c r="B285" s="14">
        <v>4826.24</v>
      </c>
      <c r="C285" s="2">
        <f t="shared" si="32"/>
        <v>1.2512063105777571E-2</v>
      </c>
      <c r="D285" s="2">
        <f t="shared" si="33"/>
        <v>3.5416085275205211E-3</v>
      </c>
      <c r="E285" s="3">
        <f t="shared" si="34"/>
        <v>8.9704545782570491E-3</v>
      </c>
      <c r="F285">
        <f t="shared" si="38"/>
        <v>0.23941255215373811</v>
      </c>
      <c r="G285">
        <f t="shared" si="35"/>
        <v>3.7468605958875106E-2</v>
      </c>
      <c r="H285">
        <f t="shared" si="39"/>
        <v>-0.39979188239530827</v>
      </c>
      <c r="P285" s="33">
        <f t="shared" si="36"/>
        <v>1.0824738828069447E-2</v>
      </c>
      <c r="Q285" s="33">
        <f t="shared" si="37"/>
        <v>0.71694448009256373</v>
      </c>
    </row>
    <row r="286" spans="1:17" x14ac:dyDescent="0.35">
      <c r="A286" s="13">
        <v>42776</v>
      </c>
      <c r="B286" s="14">
        <v>4828.32</v>
      </c>
      <c r="C286" s="2">
        <f t="shared" si="32"/>
        <v>4.30977323962356E-4</v>
      </c>
      <c r="D286" s="2">
        <f t="shared" si="33"/>
        <v>4.0491350274276569E-2</v>
      </c>
      <c r="E286" s="3">
        <f t="shared" si="34"/>
        <v>-4.0060372950314213E-2</v>
      </c>
      <c r="F286">
        <f t="shared" si="38"/>
        <v>5.6520839587270069E-2</v>
      </c>
      <c r="G286">
        <f t="shared" si="35"/>
        <v>-0.70877172460362436</v>
      </c>
      <c r="H286">
        <f t="shared" si="39"/>
        <v>-0.65026861297785543</v>
      </c>
      <c r="P286" s="33">
        <f t="shared" si="36"/>
        <v>-1.2563469537457683E-3</v>
      </c>
      <c r="Q286" s="33">
        <f t="shared" si="37"/>
        <v>92.952391513325452</v>
      </c>
    </row>
    <row r="287" spans="1:17" x14ac:dyDescent="0.35">
      <c r="A287" s="13">
        <v>42779</v>
      </c>
      <c r="B287" s="14">
        <v>4888.1899999999996</v>
      </c>
      <c r="C287" s="2">
        <f t="shared" si="32"/>
        <v>1.2399758093912583E-2</v>
      </c>
      <c r="D287" s="2">
        <f t="shared" si="33"/>
        <v>1.2120227690166713E-2</v>
      </c>
      <c r="E287" s="3">
        <f t="shared" si="34"/>
        <v>2.7953040374587013E-4</v>
      </c>
      <c r="F287">
        <f t="shared" si="38"/>
        <v>0.7029612669694898</v>
      </c>
      <c r="G287">
        <f t="shared" si="35"/>
        <v>3.9764694995350635E-4</v>
      </c>
      <c r="H287">
        <f t="shared" si="39"/>
        <v>-0.39909001324060595</v>
      </c>
      <c r="P287" s="33">
        <f t="shared" si="36"/>
        <v>1.0712433816204459E-2</v>
      </c>
      <c r="Q287" s="33">
        <f t="shared" si="37"/>
        <v>2.2543214281180217E-2</v>
      </c>
    </row>
    <row r="288" spans="1:17" x14ac:dyDescent="0.35">
      <c r="A288" s="13">
        <v>42780</v>
      </c>
      <c r="B288" s="14">
        <v>4895.82</v>
      </c>
      <c r="C288" s="2">
        <f t="shared" si="32"/>
        <v>1.5609049566405186E-3</v>
      </c>
      <c r="D288" s="2">
        <f t="shared" si="33"/>
        <v>3.8317269043362391E-2</v>
      </c>
      <c r="E288" s="3">
        <f t="shared" si="34"/>
        <v>-3.6756364086721872E-2</v>
      </c>
      <c r="F288">
        <f t="shared" si="38"/>
        <v>9.6721122562590425E-2</v>
      </c>
      <c r="G288">
        <f t="shared" si="35"/>
        <v>-0.38002416755384533</v>
      </c>
      <c r="H288">
        <f t="shared" si="39"/>
        <v>-0.47129911814155406</v>
      </c>
      <c r="P288" s="33">
        <f t="shared" si="36"/>
        <v>-1.2641932106760567E-4</v>
      </c>
      <c r="Q288" s="33">
        <f t="shared" si="37"/>
        <v>23.548111581265854</v>
      </c>
    </row>
    <row r="289" spans="1:17" x14ac:dyDescent="0.35">
      <c r="A289" s="13">
        <v>42781</v>
      </c>
      <c r="B289" s="14">
        <v>4924.8599999999997</v>
      </c>
      <c r="C289" s="2">
        <f t="shared" si="32"/>
        <v>5.9315906222041637E-3</v>
      </c>
      <c r="D289" s="2">
        <f t="shared" si="33"/>
        <v>1.548103428284351E-2</v>
      </c>
      <c r="E289" s="3">
        <f t="shared" si="34"/>
        <v>-9.5494436606393465E-3</v>
      </c>
      <c r="F289">
        <f t="shared" si="38"/>
        <v>0.37788226278824194</v>
      </c>
      <c r="G289">
        <f t="shared" si="35"/>
        <v>-2.5270949713748998E-2</v>
      </c>
      <c r="H289">
        <f t="shared" si="39"/>
        <v>-0.39940924462877492</v>
      </c>
      <c r="P289" s="33">
        <f t="shared" si="36"/>
        <v>4.2442663444960393E-3</v>
      </c>
      <c r="Q289" s="33">
        <f t="shared" si="37"/>
        <v>1.6099296578041318</v>
      </c>
    </row>
    <row r="290" spans="1:17" x14ac:dyDescent="0.35">
      <c r="A290" s="13">
        <v>42782</v>
      </c>
      <c r="B290" s="14">
        <v>4899.46</v>
      </c>
      <c r="C290" s="2">
        <f t="shared" si="32"/>
        <v>-5.1575070154278313E-3</v>
      </c>
      <c r="D290" s="2">
        <f t="shared" si="33"/>
        <v>1.9499095770257689E-2</v>
      </c>
      <c r="E290" s="3">
        <f t="shared" si="34"/>
        <v>-2.465660278568552E-2</v>
      </c>
      <c r="F290">
        <f t="shared" si="38"/>
        <v>6.259622023420669E-2</v>
      </c>
      <c r="G290">
        <f t="shared" si="35"/>
        <v>-0.39389922735640726</v>
      </c>
      <c r="H290">
        <f t="shared" si="39"/>
        <v>-0.47666823483504484</v>
      </c>
      <c r="P290" s="33">
        <f t="shared" si="36"/>
        <v>-6.8448312931359556E-3</v>
      </c>
      <c r="Q290" s="33">
        <f t="shared" si="37"/>
        <v>4.7807211336658115</v>
      </c>
    </row>
    <row r="291" spans="1:17" x14ac:dyDescent="0.35">
      <c r="A291" s="13">
        <v>42783</v>
      </c>
      <c r="B291" s="14">
        <v>4867.58</v>
      </c>
      <c r="C291" s="2">
        <f t="shared" si="32"/>
        <v>-6.506839529254238E-3</v>
      </c>
      <c r="D291" s="2">
        <f t="shared" si="33"/>
        <v>-1.0662183006147508E-2</v>
      </c>
      <c r="E291" s="3">
        <f t="shared" si="34"/>
        <v>4.1553434768932702E-3</v>
      </c>
      <c r="F291">
        <f t="shared" si="38"/>
        <v>0.39146547571454243</v>
      </c>
      <c r="G291">
        <f t="shared" si="35"/>
        <v>1.0614840221372055E-2</v>
      </c>
      <c r="H291">
        <f t="shared" si="39"/>
        <v>-0.39914627159552013</v>
      </c>
      <c r="P291" s="33">
        <f t="shared" si="36"/>
        <v>-8.1941638069623624E-3</v>
      </c>
      <c r="Q291" s="33">
        <f t="shared" si="37"/>
        <v>0.63861164213612054</v>
      </c>
    </row>
    <row r="292" spans="1:17" x14ac:dyDescent="0.35">
      <c r="A292" s="13">
        <v>42786</v>
      </c>
      <c r="B292" s="14">
        <v>4864.99</v>
      </c>
      <c r="C292" s="2">
        <f t="shared" si="32"/>
        <v>-5.3209192247483106E-4</v>
      </c>
      <c r="D292" s="2">
        <f t="shared" si="33"/>
        <v>-2.4364309958177791E-2</v>
      </c>
      <c r="E292" s="3">
        <f t="shared" si="34"/>
        <v>2.383221803570296E-2</v>
      </c>
      <c r="F292">
        <f t="shared" si="38"/>
        <v>5.9851460186330703E-2</v>
      </c>
      <c r="G292">
        <f t="shared" si="35"/>
        <v>0.39818941695838406</v>
      </c>
      <c r="H292">
        <f t="shared" si="39"/>
        <v>-0.47836734006788645</v>
      </c>
      <c r="P292" s="33">
        <f t="shared" si="36"/>
        <v>-2.2194162001829554E-3</v>
      </c>
      <c r="Q292" s="33">
        <f t="shared" si="37"/>
        <v>44.789663268812859</v>
      </c>
    </row>
    <row r="293" spans="1:17" x14ac:dyDescent="0.35">
      <c r="A293" s="13">
        <v>42787</v>
      </c>
      <c r="B293" s="14">
        <v>4888.76</v>
      </c>
      <c r="C293" s="2">
        <f t="shared" si="32"/>
        <v>4.8859298785814964E-3</v>
      </c>
      <c r="D293" s="2">
        <f t="shared" si="33"/>
        <v>-7.2454863954450766E-3</v>
      </c>
      <c r="E293" s="3">
        <f t="shared" si="34"/>
        <v>1.2131416274026573E-2</v>
      </c>
      <c r="F293">
        <f t="shared" si="38"/>
        <v>0.39569707379591595</v>
      </c>
      <c r="G293">
        <f t="shared" si="35"/>
        <v>3.065834214453517E-2</v>
      </c>
      <c r="H293">
        <f t="shared" si="39"/>
        <v>-0.39955990115058321</v>
      </c>
      <c r="P293" s="33">
        <f t="shared" si="36"/>
        <v>3.1986056008733721E-3</v>
      </c>
      <c r="Q293" s="33">
        <f t="shared" si="37"/>
        <v>2.4829288539745922</v>
      </c>
    </row>
    <row r="294" spans="1:17" x14ac:dyDescent="0.35">
      <c r="A294" s="13">
        <v>42788</v>
      </c>
      <c r="B294" s="14">
        <v>4895.88</v>
      </c>
      <c r="C294" s="2">
        <f t="shared" si="32"/>
        <v>1.4564020324172589E-3</v>
      </c>
      <c r="D294" s="2">
        <f t="shared" si="33"/>
        <v>1.449237402979805E-2</v>
      </c>
      <c r="E294" s="3">
        <f t="shared" si="34"/>
        <v>-1.3035971997380791E-2</v>
      </c>
      <c r="F294">
        <f t="shared" si="38"/>
        <v>6.6723159297743931E-2</v>
      </c>
      <c r="G294">
        <f t="shared" si="35"/>
        <v>-0.19537402207244656</v>
      </c>
      <c r="H294">
        <f t="shared" si="39"/>
        <v>-0.41817543842943994</v>
      </c>
      <c r="P294" s="33">
        <f t="shared" si="36"/>
        <v>-2.3092224529086547E-4</v>
      </c>
      <c r="Q294" s="33">
        <f t="shared" si="37"/>
        <v>8.9508059637519022</v>
      </c>
    </row>
    <row r="295" spans="1:17" x14ac:dyDescent="0.35">
      <c r="A295" s="13">
        <v>42789</v>
      </c>
      <c r="B295" s="14">
        <v>4891.29</v>
      </c>
      <c r="C295" s="2">
        <f t="shared" si="32"/>
        <v>-9.3752297850435706E-4</v>
      </c>
      <c r="D295" s="2">
        <f t="shared" si="33"/>
        <v>8.6747281068069726E-3</v>
      </c>
      <c r="E295" s="3">
        <f t="shared" si="34"/>
        <v>-9.6122510853113297E-3</v>
      </c>
      <c r="F295">
        <f t="shared" si="38"/>
        <v>0.19591952185113165</v>
      </c>
      <c r="G295">
        <f t="shared" si="35"/>
        <v>-4.9062242468186225E-2</v>
      </c>
      <c r="H295">
        <f t="shared" si="39"/>
        <v>-0.40029348599706105</v>
      </c>
      <c r="P295" s="33">
        <f t="shared" si="36"/>
        <v>-2.6248472562124814E-3</v>
      </c>
      <c r="Q295" s="33">
        <f t="shared" si="37"/>
        <v>10.252816523650313</v>
      </c>
    </row>
    <row r="296" spans="1:17" x14ac:dyDescent="0.35">
      <c r="A296" s="13">
        <v>42790</v>
      </c>
      <c r="B296" s="14">
        <v>4845.24</v>
      </c>
      <c r="C296" s="2">
        <f t="shared" si="32"/>
        <v>-9.4146942831032643E-3</v>
      </c>
      <c r="D296" s="2">
        <f t="shared" si="33"/>
        <v>-1.6116907222617203E-3</v>
      </c>
      <c r="E296" s="3">
        <f t="shared" si="34"/>
        <v>-7.8030035608415444E-3</v>
      </c>
      <c r="F296">
        <f t="shared" si="38"/>
        <v>6.2071870388347682E-2</v>
      </c>
      <c r="G296">
        <f t="shared" si="35"/>
        <v>-0.12570917409162441</v>
      </c>
      <c r="H296">
        <f t="shared" si="39"/>
        <v>-0.40699133240445667</v>
      </c>
      <c r="P296" s="33">
        <f t="shared" si="36"/>
        <v>-1.1102018560811389E-2</v>
      </c>
      <c r="Q296" s="33">
        <f t="shared" si="37"/>
        <v>0.82881114629985886</v>
      </c>
    </row>
    <row r="297" spans="1:17" x14ac:dyDescent="0.35">
      <c r="A297" s="13">
        <v>42793</v>
      </c>
      <c r="B297" s="14">
        <v>4845.18</v>
      </c>
      <c r="C297" s="2">
        <f t="shared" si="32"/>
        <v>-1.2383287515072006E-5</v>
      </c>
      <c r="D297" s="2">
        <f t="shared" si="33"/>
        <v>-2.9619791651739134E-2</v>
      </c>
      <c r="E297" s="3">
        <f t="shared" si="34"/>
        <v>2.9607408364224062E-2</v>
      </c>
      <c r="F297">
        <f t="shared" si="38"/>
        <v>0.12810318492657341</v>
      </c>
      <c r="G297">
        <f t="shared" si="35"/>
        <v>0.23112156330222805</v>
      </c>
      <c r="H297">
        <f t="shared" si="39"/>
        <v>-0.42579852269069041</v>
      </c>
      <c r="P297" s="33">
        <f t="shared" si="36"/>
        <v>-1.6997075652231963E-3</v>
      </c>
      <c r="Q297" s="33">
        <f t="shared" si="37"/>
        <v>2390.916655063379</v>
      </c>
    </row>
    <row r="298" spans="1:17" x14ac:dyDescent="0.35">
      <c r="A298" s="13">
        <v>42794</v>
      </c>
      <c r="B298" s="14">
        <v>4858.58</v>
      </c>
      <c r="C298" s="2">
        <f t="shared" si="32"/>
        <v>2.7656351260427758E-3</v>
      </c>
      <c r="D298" s="2">
        <f t="shared" si="33"/>
        <v>-8.1653784086374807E-3</v>
      </c>
      <c r="E298" s="3">
        <f t="shared" si="34"/>
        <v>1.0931013534680257E-2</v>
      </c>
      <c r="F298">
        <f t="shared" si="38"/>
        <v>0.23143310506265369</v>
      </c>
      <c r="G298">
        <f t="shared" si="35"/>
        <v>4.723184927117928E-2</v>
      </c>
      <c r="H298">
        <f t="shared" si="39"/>
        <v>-0.4002053579718452</v>
      </c>
      <c r="P298" s="33">
        <f t="shared" si="36"/>
        <v>1.0783108483346515E-3</v>
      </c>
      <c r="Q298" s="33">
        <f t="shared" si="37"/>
        <v>3.9524423998479357</v>
      </c>
    </row>
    <row r="299" spans="1:17" x14ac:dyDescent="0.35">
      <c r="A299" s="13">
        <v>42795</v>
      </c>
      <c r="B299" s="14">
        <v>4960.83</v>
      </c>
      <c r="C299" s="2">
        <f t="shared" si="32"/>
        <v>2.1045243672019431E-2</v>
      </c>
      <c r="D299" s="2">
        <f t="shared" si="33"/>
        <v>8.4525897099080646E-3</v>
      </c>
      <c r="E299" s="3">
        <f t="shared" si="34"/>
        <v>1.2592653962111367E-2</v>
      </c>
      <c r="F299">
        <f t="shared" si="38"/>
        <v>6.278346394271303E-2</v>
      </c>
      <c r="G299">
        <f t="shared" si="35"/>
        <v>0.20057278097305326</v>
      </c>
      <c r="H299">
        <f t="shared" si="39"/>
        <v>-0.41920465441268973</v>
      </c>
      <c r="P299" s="33">
        <f t="shared" si="36"/>
        <v>1.9357919394311307E-2</v>
      </c>
      <c r="Q299" s="33">
        <f t="shared" si="37"/>
        <v>0.59836104339594076</v>
      </c>
    </row>
    <row r="300" spans="1:17" x14ac:dyDescent="0.35">
      <c r="A300" s="13">
        <v>42796</v>
      </c>
      <c r="B300" s="14">
        <v>4963.8</v>
      </c>
      <c r="C300" s="2">
        <f t="shared" si="32"/>
        <v>5.9869013854552122E-4</v>
      </c>
      <c r="D300" s="2">
        <f t="shared" si="33"/>
        <v>6.6789274226211545E-2</v>
      </c>
      <c r="E300" s="3">
        <f t="shared" si="34"/>
        <v>-6.6190584087666024E-2</v>
      </c>
      <c r="F300">
        <f t="shared" si="38"/>
        <v>0.20098970187327533</v>
      </c>
      <c r="G300">
        <f t="shared" si="35"/>
        <v>-0.32932326119573729</v>
      </c>
      <c r="H300">
        <f t="shared" si="39"/>
        <v>-0.45331683936135542</v>
      </c>
      <c r="P300" s="33">
        <f t="shared" si="36"/>
        <v>-1.0886341391626031E-3</v>
      </c>
      <c r="Q300" s="33">
        <f t="shared" si="37"/>
        <v>110.5590017708856</v>
      </c>
    </row>
    <row r="301" spans="1:17" x14ac:dyDescent="0.35">
      <c r="A301" s="13">
        <v>42797</v>
      </c>
      <c r="B301" s="14">
        <v>4995.13</v>
      </c>
      <c r="C301" s="2">
        <f t="shared" si="32"/>
        <v>6.3116966839920075E-3</v>
      </c>
      <c r="D301" s="2">
        <f t="shared" si="33"/>
        <v>1.9999948955616586E-2</v>
      </c>
      <c r="E301" s="3">
        <f t="shared" si="34"/>
        <v>-1.3688252271624578E-2</v>
      </c>
      <c r="F301">
        <f t="shared" si="38"/>
        <v>0.32865871965246291</v>
      </c>
      <c r="G301">
        <f t="shared" si="35"/>
        <v>-4.1648833434570341E-2</v>
      </c>
      <c r="H301">
        <f t="shared" si="39"/>
        <v>-0.39995724684228784</v>
      </c>
      <c r="P301" s="33">
        <f t="shared" si="36"/>
        <v>4.6243724062838831E-3</v>
      </c>
      <c r="Q301" s="33">
        <f t="shared" si="37"/>
        <v>2.168711989335816</v>
      </c>
    </row>
    <row r="302" spans="1:17" x14ac:dyDescent="0.35">
      <c r="A302" s="13">
        <v>42800</v>
      </c>
      <c r="B302" s="14">
        <v>4972.1899999999996</v>
      </c>
      <c r="C302" s="2">
        <f t="shared" si="32"/>
        <v>-4.5924730687690873E-3</v>
      </c>
      <c r="D302" s="2">
        <f t="shared" si="33"/>
        <v>1.9831622935706839E-2</v>
      </c>
      <c r="E302" s="3">
        <f t="shared" si="34"/>
        <v>-2.4424096004475926E-2</v>
      </c>
      <c r="F302">
        <f t="shared" si="38"/>
        <v>6.6289363060707179E-2</v>
      </c>
      <c r="G302">
        <f t="shared" si="35"/>
        <v>-0.36844668400431857</v>
      </c>
      <c r="H302">
        <f t="shared" si="39"/>
        <v>-0.4669664136559466</v>
      </c>
      <c r="P302" s="33">
        <f t="shared" si="36"/>
        <v>-6.2797973464772117E-3</v>
      </c>
      <c r="Q302" s="33">
        <f t="shared" si="37"/>
        <v>5.3182883467670008</v>
      </c>
    </row>
    <row r="303" spans="1:17" x14ac:dyDescent="0.35">
      <c r="A303" s="13">
        <v>42801</v>
      </c>
      <c r="B303" s="14">
        <v>4955</v>
      </c>
      <c r="C303" s="2">
        <f t="shared" si="32"/>
        <v>-3.4572291083002638E-3</v>
      </c>
      <c r="D303" s="2">
        <f t="shared" si="33"/>
        <v>-8.6049533645656817E-3</v>
      </c>
      <c r="E303" s="3">
        <f t="shared" si="34"/>
        <v>5.147724256265418E-3</v>
      </c>
      <c r="F303">
        <f t="shared" si="38"/>
        <v>0.36633413089679928</v>
      </c>
      <c r="G303">
        <f t="shared" si="35"/>
        <v>1.4051991944249371E-2</v>
      </c>
      <c r="H303">
        <f t="shared" si="39"/>
        <v>-0.39918866341785814</v>
      </c>
      <c r="P303" s="33">
        <f t="shared" si="36"/>
        <v>-5.1445533860083881E-3</v>
      </c>
      <c r="Q303" s="33">
        <f t="shared" si="37"/>
        <v>1.4889740005678365</v>
      </c>
    </row>
    <row r="304" spans="1:17" x14ac:dyDescent="0.35">
      <c r="A304" s="13">
        <v>42802</v>
      </c>
      <c r="B304" s="14">
        <v>4960.4799999999996</v>
      </c>
      <c r="C304" s="2">
        <f t="shared" si="32"/>
        <v>1.1059535822399713E-3</v>
      </c>
      <c r="D304" s="2">
        <f t="shared" si="33"/>
        <v>-1.4544240349901996E-2</v>
      </c>
      <c r="E304" s="3">
        <f t="shared" si="34"/>
        <v>1.5650193932141968E-2</v>
      </c>
      <c r="F304">
        <f t="shared" si="38"/>
        <v>5.7764918645644862E-2</v>
      </c>
      <c r="G304">
        <f t="shared" si="35"/>
        <v>0.27092903961567166</v>
      </c>
      <c r="H304">
        <f t="shared" si="39"/>
        <v>-0.43579120643259261</v>
      </c>
      <c r="P304" s="33">
        <f t="shared" si="36"/>
        <v>-5.8137069546815301E-4</v>
      </c>
      <c r="Q304" s="33">
        <f t="shared" si="37"/>
        <v>14.150859659448317</v>
      </c>
    </row>
    <row r="305" spans="1:17" x14ac:dyDescent="0.35">
      <c r="A305" s="13">
        <v>42803</v>
      </c>
      <c r="B305" s="14">
        <v>4981.51</v>
      </c>
      <c r="C305" s="2">
        <f t="shared" si="32"/>
        <v>4.2395090797666679E-3</v>
      </c>
      <c r="D305" s="2">
        <f t="shared" si="33"/>
        <v>3.9984810941295522E-4</v>
      </c>
      <c r="E305" s="3">
        <f t="shared" si="34"/>
        <v>3.8396609703537127E-3</v>
      </c>
      <c r="F305">
        <f t="shared" si="38"/>
        <v>0.27011035841471914</v>
      </c>
      <c r="G305">
        <f t="shared" si="35"/>
        <v>1.421515632680186E-2</v>
      </c>
      <c r="H305">
        <f t="shared" si="39"/>
        <v>-0.39919096951375521</v>
      </c>
      <c r="P305" s="33">
        <f t="shared" si="36"/>
        <v>2.5521848020585436E-3</v>
      </c>
      <c r="Q305" s="33">
        <f t="shared" si="37"/>
        <v>0.90568528056202158</v>
      </c>
    </row>
    <row r="306" spans="1:17" x14ac:dyDescent="0.35">
      <c r="A306" s="13">
        <v>42804</v>
      </c>
      <c r="B306" s="14">
        <v>4993.32</v>
      </c>
      <c r="C306" s="2">
        <f t="shared" si="32"/>
        <v>2.3707670967236805E-3</v>
      </c>
      <c r="D306" s="2">
        <f t="shared" si="33"/>
        <v>1.3928310440901537E-2</v>
      </c>
      <c r="E306" s="3">
        <f t="shared" si="34"/>
        <v>-1.1557543344177856E-2</v>
      </c>
      <c r="F306">
        <f t="shared" si="38"/>
        <v>4.7795850845354509E-2</v>
      </c>
      <c r="G306">
        <f t="shared" si="35"/>
        <v>-0.24181059945083466</v>
      </c>
      <c r="H306">
        <f t="shared" si="39"/>
        <v>-0.42832611718244351</v>
      </c>
      <c r="P306" s="33">
        <f t="shared" si="36"/>
        <v>6.8344281901555615E-4</v>
      </c>
      <c r="Q306" s="33">
        <f t="shared" si="37"/>
        <v>4.8750226709953877</v>
      </c>
    </row>
    <row r="307" spans="1:17" x14ac:dyDescent="0.35">
      <c r="A307" s="13">
        <v>42807</v>
      </c>
      <c r="B307" s="14">
        <v>4999.6000000000004</v>
      </c>
      <c r="C307" s="2">
        <f t="shared" si="32"/>
        <v>1.2576802608286197E-3</v>
      </c>
      <c r="D307" s="2">
        <f t="shared" si="33"/>
        <v>1.0914789658457416E-2</v>
      </c>
      <c r="E307" s="3">
        <f t="shared" si="34"/>
        <v>-9.6571093976287967E-3</v>
      </c>
      <c r="F307">
        <f t="shared" si="38"/>
        <v>0.241415142020759</v>
      </c>
      <c r="G307">
        <f t="shared" si="35"/>
        <v>-4.0002086517002287E-2</v>
      </c>
      <c r="H307">
        <f t="shared" si="39"/>
        <v>-0.3998900176419144</v>
      </c>
      <c r="P307" s="33">
        <f t="shared" si="36"/>
        <v>-4.296440168795046E-4</v>
      </c>
      <c r="Q307" s="33">
        <f t="shared" si="37"/>
        <v>7.678509155630886</v>
      </c>
    </row>
    <row r="308" spans="1:17" x14ac:dyDescent="0.35">
      <c r="A308" s="13">
        <v>42808</v>
      </c>
      <c r="B308" s="14">
        <v>4974.26</v>
      </c>
      <c r="C308" s="2">
        <f t="shared" si="32"/>
        <v>-5.0684054724378091E-3</v>
      </c>
      <c r="D308" s="2">
        <f t="shared" si="33"/>
        <v>5.8953273999252194E-3</v>
      </c>
      <c r="E308" s="3">
        <f t="shared" si="34"/>
        <v>-1.0963732872363029E-2</v>
      </c>
      <c r="F308">
        <f t="shared" si="38"/>
        <v>5.8343325752899404E-2</v>
      </c>
      <c r="G308">
        <f t="shared" si="35"/>
        <v>-0.18791751637192503</v>
      </c>
      <c r="H308">
        <f t="shared" si="39"/>
        <v>-0.41674643065875389</v>
      </c>
      <c r="P308" s="33">
        <f t="shared" si="36"/>
        <v>-6.7557297501459335E-3</v>
      </c>
      <c r="Q308" s="33">
        <f t="shared" si="37"/>
        <v>2.1631522836884787</v>
      </c>
    </row>
    <row r="309" spans="1:17" x14ac:dyDescent="0.35">
      <c r="A309" s="13">
        <v>42809</v>
      </c>
      <c r="B309" s="14">
        <v>4985.4799999999996</v>
      </c>
      <c r="C309" s="2">
        <f t="shared" si="32"/>
        <v>2.2556118900096678E-3</v>
      </c>
      <c r="D309" s="2">
        <f t="shared" si="33"/>
        <v>-1.4424394837555239E-2</v>
      </c>
      <c r="E309" s="3">
        <f t="shared" si="34"/>
        <v>1.6680006727564908E-2</v>
      </c>
      <c r="F309">
        <f t="shared" si="38"/>
        <v>0.18857370619656325</v>
      </c>
      <c r="G309">
        <f t="shared" si="35"/>
        <v>8.8453512761626468E-2</v>
      </c>
      <c r="H309">
        <f t="shared" si="39"/>
        <v>-0.40300194613899315</v>
      </c>
      <c r="P309" s="33">
        <f t="shared" si="36"/>
        <v>5.6828761230154345E-4</v>
      </c>
      <c r="Q309" s="33">
        <f t="shared" si="37"/>
        <v>7.394892180451051</v>
      </c>
    </row>
    <row r="310" spans="1:17" x14ac:dyDescent="0.35">
      <c r="A310" s="13">
        <v>42810</v>
      </c>
      <c r="B310" s="14">
        <v>5013.38</v>
      </c>
      <c r="C310" s="2">
        <f t="shared" si="32"/>
        <v>5.5962515143979097E-3</v>
      </c>
      <c r="D310" s="2">
        <f t="shared" si="33"/>
        <v>2.5270933834272702E-3</v>
      </c>
      <c r="E310" s="3">
        <f t="shared" si="34"/>
        <v>3.0691581309706395E-3</v>
      </c>
      <c r="F310">
        <f t="shared" si="38"/>
        <v>9.55150915376691E-2</v>
      </c>
      <c r="G310">
        <f t="shared" si="35"/>
        <v>3.2132703655110138E-2</v>
      </c>
      <c r="H310">
        <f t="shared" si="39"/>
        <v>-0.39960618950115107</v>
      </c>
      <c r="P310" s="33">
        <f t="shared" si="36"/>
        <v>3.9089272366897854E-3</v>
      </c>
      <c r="Q310" s="33">
        <f t="shared" si="37"/>
        <v>0.54843105658749947</v>
      </c>
    </row>
    <row r="311" spans="1:17" x14ac:dyDescent="0.35">
      <c r="A311" s="13">
        <v>42811</v>
      </c>
      <c r="B311" s="14">
        <v>5029.24</v>
      </c>
      <c r="C311" s="2">
        <f t="shared" si="32"/>
        <v>3.1635343819937933E-3</v>
      </c>
      <c r="D311" s="2">
        <f t="shared" si="33"/>
        <v>1.9072629298756173E-2</v>
      </c>
      <c r="E311" s="3">
        <f t="shared" si="34"/>
        <v>-1.590909491676238E-2</v>
      </c>
      <c r="F311">
        <f t="shared" si="38"/>
        <v>4.4701275725918532E-2</v>
      </c>
      <c r="G311">
        <f t="shared" si="35"/>
        <v>-0.35589800645304687</v>
      </c>
      <c r="H311">
        <f t="shared" si="39"/>
        <v>-0.46242162967768402</v>
      </c>
      <c r="P311" s="33">
        <f t="shared" si="36"/>
        <v>1.476210104285669E-3</v>
      </c>
      <c r="Q311" s="33">
        <f t="shared" si="37"/>
        <v>5.0288990084361895</v>
      </c>
    </row>
    <row r="312" spans="1:17" x14ac:dyDescent="0.35">
      <c r="A312" s="13">
        <v>42814</v>
      </c>
      <c r="B312" s="14">
        <v>5012.16</v>
      </c>
      <c r="C312" s="2">
        <f t="shared" si="32"/>
        <v>-3.3961393769237347E-3</v>
      </c>
      <c r="D312" s="2">
        <f t="shared" si="33"/>
        <v>1.4512026406619236E-2</v>
      </c>
      <c r="E312" s="3">
        <f t="shared" si="34"/>
        <v>-1.790816578354297E-2</v>
      </c>
      <c r="F312">
        <f t="shared" si="38"/>
        <v>0.35388438389277105</v>
      </c>
      <c r="G312">
        <f t="shared" si="35"/>
        <v>-5.060456634607885E-2</v>
      </c>
      <c r="H312">
        <f t="shared" si="39"/>
        <v>-0.40037034524659487</v>
      </c>
      <c r="P312" s="33">
        <f t="shared" si="36"/>
        <v>-5.083463654631859E-3</v>
      </c>
      <c r="Q312" s="33">
        <f t="shared" si="37"/>
        <v>5.2730950635378253</v>
      </c>
    </row>
    <row r="313" spans="1:17" x14ac:dyDescent="0.35">
      <c r="A313" s="13">
        <v>42815</v>
      </c>
      <c r="B313" s="14">
        <v>5002.43</v>
      </c>
      <c r="C313" s="2">
        <f t="shared" si="32"/>
        <v>-1.9412788099341105E-3</v>
      </c>
      <c r="D313" s="2">
        <f t="shared" si="33"/>
        <v>-7.6617177708495163E-3</v>
      </c>
      <c r="E313" s="3">
        <f t="shared" si="34"/>
        <v>5.7204389609154058E-3</v>
      </c>
      <c r="F313">
        <f t="shared" si="38"/>
        <v>7.4179975730312306E-2</v>
      </c>
      <c r="G313">
        <f t="shared" si="35"/>
        <v>7.7115675822172741E-2</v>
      </c>
      <c r="H313">
        <f t="shared" si="39"/>
        <v>-0.40206334790781273</v>
      </c>
      <c r="P313" s="33">
        <f t="shared" si="36"/>
        <v>-3.6286030876422348E-3</v>
      </c>
      <c r="Q313" s="33">
        <f t="shared" si="37"/>
        <v>2.9467374452562871</v>
      </c>
    </row>
    <row r="314" spans="1:17" x14ac:dyDescent="0.35">
      <c r="A314" s="13">
        <v>42816</v>
      </c>
      <c r="B314" s="14">
        <v>4994.7</v>
      </c>
      <c r="C314" s="2">
        <f t="shared" si="32"/>
        <v>-1.5452490089816751E-3</v>
      </c>
      <c r="D314" s="2">
        <f t="shared" si="33"/>
        <v>-8.8724265470477917E-3</v>
      </c>
      <c r="E314" s="3">
        <f t="shared" si="34"/>
        <v>7.3271775380661167E-3</v>
      </c>
      <c r="F314">
        <f t="shared" si="38"/>
        <v>8.2226319917462709E-2</v>
      </c>
      <c r="G314">
        <f t="shared" si="35"/>
        <v>8.9109880454591728E-2</v>
      </c>
      <c r="H314">
        <f t="shared" si="39"/>
        <v>-0.40306021957637334</v>
      </c>
      <c r="P314" s="33">
        <f t="shared" si="36"/>
        <v>-3.2325732866897994E-3</v>
      </c>
      <c r="Q314" s="33">
        <f t="shared" si="37"/>
        <v>4.7417455021665109</v>
      </c>
    </row>
    <row r="315" spans="1:17" x14ac:dyDescent="0.35">
      <c r="A315" s="13">
        <v>42817</v>
      </c>
      <c r="B315" s="14">
        <v>5032.76</v>
      </c>
      <c r="C315" s="2">
        <f t="shared" si="32"/>
        <v>7.6200772819188245E-3</v>
      </c>
      <c r="D315" s="2">
        <f t="shared" si="33"/>
        <v>-6.40456603686285E-3</v>
      </c>
      <c r="E315" s="3">
        <f t="shared" si="34"/>
        <v>1.4024643318781675E-2</v>
      </c>
      <c r="F315">
        <f t="shared" si="38"/>
        <v>9.3491036112843873E-2</v>
      </c>
      <c r="G315">
        <f t="shared" si="35"/>
        <v>0.15001056680828631</v>
      </c>
      <c r="H315">
        <f t="shared" si="39"/>
        <v>-0.41034151925612922</v>
      </c>
      <c r="P315" s="33">
        <f t="shared" si="36"/>
        <v>5.9327530042107002E-3</v>
      </c>
      <c r="Q315" s="33">
        <f t="shared" si="37"/>
        <v>1.8404857063667608</v>
      </c>
    </row>
    <row r="316" spans="1:17" x14ac:dyDescent="0.35">
      <c r="A316" s="13">
        <v>42818</v>
      </c>
      <c r="B316" s="14">
        <v>5020.8999999999996</v>
      </c>
      <c r="C316" s="2">
        <f t="shared" si="32"/>
        <v>-2.356559820059112E-3</v>
      </c>
      <c r="D316" s="2">
        <f t="shared" si="33"/>
        <v>2.1984661914981444E-2</v>
      </c>
      <c r="E316" s="3">
        <f t="shared" si="34"/>
        <v>-2.4341221735040556E-2</v>
      </c>
      <c r="F316">
        <f t="shared" si="38"/>
        <v>0.15190120454829756</v>
      </c>
      <c r="G316">
        <f t="shared" si="35"/>
        <v>-0.16024377033363929</v>
      </c>
      <c r="H316">
        <f t="shared" si="39"/>
        <v>-0.41192896714442762</v>
      </c>
      <c r="P316" s="33">
        <f t="shared" si="36"/>
        <v>-4.0438840977672363E-3</v>
      </c>
      <c r="Q316" s="33">
        <f t="shared" si="37"/>
        <v>10.329133819497093</v>
      </c>
    </row>
    <row r="317" spans="1:17" x14ac:dyDescent="0.35">
      <c r="A317" s="13">
        <v>42821</v>
      </c>
      <c r="B317" s="14">
        <v>5017.43</v>
      </c>
      <c r="C317" s="2">
        <f t="shared" si="32"/>
        <v>-6.9111115537046075E-4</v>
      </c>
      <c r="D317" s="2">
        <f t="shared" si="33"/>
        <v>-6.3321186947340024E-4</v>
      </c>
      <c r="E317" s="3">
        <f t="shared" si="34"/>
        <v>-5.7899285897060511E-5</v>
      </c>
      <c r="F317">
        <f t="shared" si="38"/>
        <v>0.16260016857882975</v>
      </c>
      <c r="G317">
        <f t="shared" si="35"/>
        <v>-3.5608379993155121E-4</v>
      </c>
      <c r="H317">
        <f t="shared" si="39"/>
        <v>-0.39908999757689384</v>
      </c>
      <c r="P317" s="33">
        <f t="shared" si="36"/>
        <v>-2.3784354330785851E-3</v>
      </c>
      <c r="Q317" s="33">
        <f t="shared" si="37"/>
        <v>8.3777096415155364E-2</v>
      </c>
    </row>
    <row r="318" spans="1:17" x14ac:dyDescent="0.35">
      <c r="A318" s="13">
        <v>42822</v>
      </c>
      <c r="B318" s="14">
        <v>5046.2</v>
      </c>
      <c r="C318" s="2">
        <f t="shared" si="32"/>
        <v>5.7340112368282625E-3</v>
      </c>
      <c r="D318" s="2">
        <f t="shared" si="33"/>
        <v>-4.1492717241921936E-3</v>
      </c>
      <c r="E318" s="3">
        <f t="shared" si="34"/>
        <v>9.8832829610204561E-3</v>
      </c>
      <c r="F318">
        <f t="shared" si="38"/>
        <v>3.5823408482367758E-2</v>
      </c>
      <c r="G318">
        <f t="shared" si="35"/>
        <v>0.27588896142825148</v>
      </c>
      <c r="H318">
        <f t="shared" si="39"/>
        <v>-0.43714729369803712</v>
      </c>
      <c r="P318" s="33">
        <f t="shared" si="36"/>
        <v>4.0466869591201382E-3</v>
      </c>
      <c r="Q318" s="33">
        <f t="shared" si="37"/>
        <v>1.7236246238134931</v>
      </c>
    </row>
    <row r="319" spans="1:17" x14ac:dyDescent="0.35">
      <c r="A319" s="13">
        <v>42823</v>
      </c>
      <c r="B319" s="14">
        <v>5069.04</v>
      </c>
      <c r="C319" s="2">
        <f t="shared" si="32"/>
        <v>4.5261781142245106E-3</v>
      </c>
      <c r="D319" s="2">
        <f t="shared" si="33"/>
        <v>1.6950359261058999E-2</v>
      </c>
      <c r="E319" s="3">
        <f t="shared" si="34"/>
        <v>-1.2424181146834488E-2</v>
      </c>
      <c r="F319">
        <f t="shared" si="38"/>
        <v>0.27493143536650905</v>
      </c>
      <c r="G319">
        <f t="shared" si="35"/>
        <v>-4.5190107599998176E-2</v>
      </c>
      <c r="H319">
        <f t="shared" si="39"/>
        <v>-0.40011100709150721</v>
      </c>
      <c r="P319" s="33">
        <f t="shared" si="36"/>
        <v>2.8388538365163862E-3</v>
      </c>
      <c r="Q319" s="33">
        <f t="shared" si="37"/>
        <v>2.744960722555033</v>
      </c>
    </row>
    <row r="320" spans="1:17" x14ac:dyDescent="0.35">
      <c r="A320" s="13">
        <v>42824</v>
      </c>
      <c r="B320" s="14">
        <v>5089.6400000000003</v>
      </c>
      <c r="C320" s="2">
        <f t="shared" si="32"/>
        <v>4.063885863990091E-3</v>
      </c>
      <c r="D320" s="2">
        <f t="shared" si="33"/>
        <v>1.8800855976212703E-2</v>
      </c>
      <c r="E320" s="3">
        <f t="shared" si="34"/>
        <v>-1.4736970112222612E-2</v>
      </c>
      <c r="F320">
        <f t="shared" si="38"/>
        <v>6.4316321332903145E-2</v>
      </c>
      <c r="G320">
        <f t="shared" si="35"/>
        <v>-0.22913266503448831</v>
      </c>
      <c r="H320">
        <f t="shared" si="39"/>
        <v>-0.42534082327196104</v>
      </c>
      <c r="P320" s="33">
        <f t="shared" si="36"/>
        <v>2.3765615862819667E-3</v>
      </c>
      <c r="Q320" s="33">
        <f t="shared" si="37"/>
        <v>3.6263248047407624</v>
      </c>
    </row>
    <row r="321" spans="1:17" x14ac:dyDescent="0.35">
      <c r="A321" s="13">
        <v>42825</v>
      </c>
      <c r="B321" s="14">
        <v>5122.51</v>
      </c>
      <c r="C321" s="2">
        <f t="shared" si="32"/>
        <v>6.4582170841158693E-3</v>
      </c>
      <c r="D321" s="2">
        <f t="shared" si="33"/>
        <v>1.6343474883159109E-2</v>
      </c>
      <c r="E321" s="3">
        <f t="shared" si="34"/>
        <v>-9.8852577990432393E-3</v>
      </c>
      <c r="F321">
        <f t="shared" si="38"/>
        <v>0.22902100650239354</v>
      </c>
      <c r="G321">
        <f t="shared" si="35"/>
        <v>-4.3163105210350765E-2</v>
      </c>
      <c r="H321">
        <f t="shared" si="39"/>
        <v>-0.40002146100475744</v>
      </c>
      <c r="P321" s="33">
        <f t="shared" si="36"/>
        <v>4.7708928064077449E-3</v>
      </c>
      <c r="Q321" s="33">
        <f t="shared" si="37"/>
        <v>1.5306481139130881</v>
      </c>
    </row>
    <row r="322" spans="1:17" x14ac:dyDescent="0.35">
      <c r="A322" s="13">
        <v>42828</v>
      </c>
      <c r="B322" s="14">
        <v>5085.91</v>
      </c>
      <c r="C322" s="2">
        <f t="shared" si="32"/>
        <v>-7.1449348073503449E-3</v>
      </c>
      <c r="D322" s="2">
        <f t="shared" si="33"/>
        <v>2.3271420248695374E-2</v>
      </c>
      <c r="E322" s="3">
        <f t="shared" si="34"/>
        <v>-3.0416355056045719E-2</v>
      </c>
      <c r="F322">
        <f t="shared" si="38"/>
        <v>5.967791456094123E-2</v>
      </c>
      <c r="G322">
        <f t="shared" si="35"/>
        <v>-0.50967523379164803</v>
      </c>
      <c r="H322">
        <f t="shared" si="39"/>
        <v>-0.52897435614934307</v>
      </c>
      <c r="P322" s="33">
        <f t="shared" si="36"/>
        <v>-8.8322590850584692E-3</v>
      </c>
      <c r="Q322" s="33">
        <f t="shared" si="37"/>
        <v>4.257051446397373</v>
      </c>
    </row>
    <row r="323" spans="1:17" x14ac:dyDescent="0.35">
      <c r="A323" s="13">
        <v>42829</v>
      </c>
      <c r="B323" s="14">
        <v>5101.13</v>
      </c>
      <c r="C323" s="2">
        <f t="shared" si="32"/>
        <v>2.9925814652638216E-3</v>
      </c>
      <c r="D323" s="2">
        <f t="shared" si="33"/>
        <v>-1.6289401462903915E-2</v>
      </c>
      <c r="E323" s="3">
        <f t="shared" si="34"/>
        <v>1.9281982928167737E-2</v>
      </c>
      <c r="F323">
        <f t="shared" si="38"/>
        <v>0.50592434793081176</v>
      </c>
      <c r="G323">
        <f t="shared" si="35"/>
        <v>3.8112383811985791E-2</v>
      </c>
      <c r="H323">
        <f t="shared" si="39"/>
        <v>-0.39981621107897358</v>
      </c>
      <c r="P323" s="33">
        <f t="shared" si="36"/>
        <v>1.3052571875556973E-3</v>
      </c>
      <c r="Q323" s="33">
        <f t="shared" si="37"/>
        <v>6.4432608274768768</v>
      </c>
    </row>
    <row r="324" spans="1:17" x14ac:dyDescent="0.35">
      <c r="A324" s="13">
        <v>42830</v>
      </c>
      <c r="B324" s="14">
        <v>5091.8500000000004</v>
      </c>
      <c r="C324" s="2">
        <f t="shared" ref="C324:C387" si="40">(B324/B323)-1</f>
        <v>-1.8192047644345344E-3</v>
      </c>
      <c r="D324" s="2">
        <f t="shared" si="33"/>
        <v>2.9897177650306059E-3</v>
      </c>
      <c r="E324" s="3">
        <f t="shared" si="34"/>
        <v>-4.8089225294651403E-3</v>
      </c>
      <c r="F324">
        <f t="shared" si="38"/>
        <v>8.1672769612035512E-2</v>
      </c>
      <c r="G324">
        <f t="shared" si="35"/>
        <v>-5.8880365540542233E-2</v>
      </c>
      <c r="H324">
        <f t="shared" si="39"/>
        <v>-0.40082338290215147</v>
      </c>
      <c r="P324" s="33">
        <f t="shared" si="36"/>
        <v>-3.5065290421426587E-3</v>
      </c>
      <c r="Q324" s="33">
        <f t="shared" si="37"/>
        <v>2.6434201490011509</v>
      </c>
    </row>
    <row r="325" spans="1:17" x14ac:dyDescent="0.35">
      <c r="A325" s="13">
        <v>42831</v>
      </c>
      <c r="B325" s="14">
        <v>5121.4399999999996</v>
      </c>
      <c r="C325" s="2">
        <f t="shared" si="40"/>
        <v>5.8112473855276292E-3</v>
      </c>
      <c r="D325" s="2">
        <f t="shared" si="33"/>
        <v>-2.9836286345649946E-3</v>
      </c>
      <c r="E325" s="3">
        <f t="shared" si="34"/>
        <v>8.7948760200926238E-3</v>
      </c>
      <c r="F325">
        <f t="shared" si="38"/>
        <v>6.5926010042128683E-2</v>
      </c>
      <c r="G325">
        <f t="shared" si="35"/>
        <v>0.13340525256226543</v>
      </c>
      <c r="H325">
        <f t="shared" si="39"/>
        <v>-0.40798841488465842</v>
      </c>
      <c r="P325" s="33">
        <f t="shared" si="36"/>
        <v>4.1239231078195049E-3</v>
      </c>
      <c r="Q325" s="33">
        <f t="shared" si="37"/>
        <v>1.5134230977664871</v>
      </c>
    </row>
    <row r="326" spans="1:17" x14ac:dyDescent="0.35">
      <c r="A326" s="13">
        <v>42832</v>
      </c>
      <c r="B326" s="14">
        <v>5135.28</v>
      </c>
      <c r="C326" s="2">
        <f t="shared" si="40"/>
        <v>2.7023649598549859E-3</v>
      </c>
      <c r="D326" s="2">
        <f t="shared" ref="D326:D389" si="41">C325*$K$10+C324*$K$9</f>
        <v>1.6212857449654332E-2</v>
      </c>
      <c r="E326" s="3">
        <f t="shared" ref="E326:E389" si="42">C326-D326</f>
        <v>-1.3510492489799346E-2</v>
      </c>
      <c r="F326">
        <f t="shared" si="38"/>
        <v>0.13556194542926117</v>
      </c>
      <c r="G326">
        <f t="shared" ref="G326:G389" si="43">E326/F326</f>
        <v>-9.9662869598233825E-2</v>
      </c>
      <c r="H326">
        <f t="shared" si="39"/>
        <v>-0.40405627796733479</v>
      </c>
      <c r="P326" s="33">
        <f t="shared" ref="P326:P389" si="44" xml:space="preserve"> C326-$K$16</f>
        <v>1.0150406821468616E-3</v>
      </c>
      <c r="Q326" s="33">
        <f t="shared" ref="Q326:Q389" si="45" xml:space="preserve"> ABS(E326)/ABS(C326)</f>
        <v>4.9995069838843476</v>
      </c>
    </row>
    <row r="327" spans="1:17" x14ac:dyDescent="0.35">
      <c r="A327" s="13">
        <v>42835</v>
      </c>
      <c r="B327" s="14">
        <v>5107.45</v>
      </c>
      <c r="C327" s="2">
        <f t="shared" si="40"/>
        <v>-5.4193734324126108E-3</v>
      </c>
      <c r="D327" s="2">
        <f t="shared" si="41"/>
        <v>1.3286376067519048E-2</v>
      </c>
      <c r="E327" s="3">
        <f t="shared" si="42"/>
        <v>-1.8705749499931659E-2</v>
      </c>
      <c r="F327">
        <f t="shared" ref="F327:F390" si="46">($K$5+$K$6*G326^2+$K$7*F326^2)^(1/2)</f>
        <v>0.10438929907686233</v>
      </c>
      <c r="G327">
        <f t="shared" si="43"/>
        <v>-0.17919221285467707</v>
      </c>
      <c r="H327">
        <f t="shared" ref="H327:H390" si="47">- (G327^2)/2 - LOG(2*PI())/2</f>
        <v>-0.4151448587529355</v>
      </c>
      <c r="P327" s="33">
        <f t="shared" si="44"/>
        <v>-7.1066977101207351E-3</v>
      </c>
      <c r="Q327" s="33">
        <f t="shared" si="45"/>
        <v>3.4516443151997711</v>
      </c>
    </row>
    <row r="328" spans="1:17" x14ac:dyDescent="0.35">
      <c r="A328" s="13">
        <v>42836</v>
      </c>
      <c r="B328" s="14">
        <v>5101.8599999999997</v>
      </c>
      <c r="C328" s="2">
        <f t="shared" si="40"/>
        <v>-1.0944796326934902E-3</v>
      </c>
      <c r="D328" s="2">
        <f t="shared" si="41"/>
        <v>-1.4251249940866666E-2</v>
      </c>
      <c r="E328" s="3">
        <f t="shared" si="42"/>
        <v>1.3156770308173176E-2</v>
      </c>
      <c r="F328">
        <f t="shared" si="46"/>
        <v>0.18039994457789171</v>
      </c>
      <c r="G328">
        <f t="shared" si="43"/>
        <v>7.2931121674998337E-2</v>
      </c>
      <c r="H328">
        <f t="shared" si="47"/>
        <v>-0.40174940843344426</v>
      </c>
      <c r="P328" s="33">
        <f t="shared" si="44"/>
        <v>-2.7818039104016146E-3</v>
      </c>
      <c r="Q328" s="33">
        <f t="shared" si="45"/>
        <v>12.021027998296008</v>
      </c>
    </row>
    <row r="329" spans="1:17" x14ac:dyDescent="0.35">
      <c r="A329" s="13">
        <v>42837</v>
      </c>
      <c r="B329" s="14">
        <v>5101.1099999999997</v>
      </c>
      <c r="C329" s="2">
        <f t="shared" si="40"/>
        <v>-1.4700520986465904E-4</v>
      </c>
      <c r="D329" s="2">
        <f t="shared" si="41"/>
        <v>-8.027697693842293E-3</v>
      </c>
      <c r="E329" s="3">
        <f t="shared" si="42"/>
        <v>7.8806924839776339E-3</v>
      </c>
      <c r="F329">
        <f t="shared" si="46"/>
        <v>8.1309982025460706E-2</v>
      </c>
      <c r="G329">
        <f t="shared" si="43"/>
        <v>9.6921586841698507E-2</v>
      </c>
      <c r="H329">
        <f t="shared" si="47"/>
        <v>-0.40378683117701397</v>
      </c>
      <c r="P329" s="33">
        <f t="shared" si="44"/>
        <v>-1.8343294875727834E-3</v>
      </c>
      <c r="Q329" s="33">
        <f t="shared" si="45"/>
        <v>53.608253008400361</v>
      </c>
    </row>
    <row r="330" spans="1:17" x14ac:dyDescent="0.35">
      <c r="A330" s="13">
        <v>42838</v>
      </c>
      <c r="B330" s="14">
        <v>5071.1000000000004</v>
      </c>
      <c r="C330" s="2">
        <f t="shared" si="40"/>
        <v>-5.8830333005952529E-3</v>
      </c>
      <c r="D330" s="2">
        <f t="shared" si="41"/>
        <v>-1.3946976012256659E-3</v>
      </c>
      <c r="E330" s="3">
        <f t="shared" si="42"/>
        <v>-4.488335699369587E-3</v>
      </c>
      <c r="F330">
        <f t="shared" si="46"/>
        <v>0.10082127818711939</v>
      </c>
      <c r="G330">
        <f t="shared" si="43"/>
        <v>-4.4517742485266396E-2</v>
      </c>
      <c r="H330">
        <f t="shared" si="47"/>
        <v>-0.40008084887704976</v>
      </c>
      <c r="P330" s="33">
        <f t="shared" si="44"/>
        <v>-7.5703575783033772E-3</v>
      </c>
      <c r="Q330" s="33">
        <f t="shared" si="45"/>
        <v>0.76292882770448556</v>
      </c>
    </row>
    <row r="331" spans="1:17" x14ac:dyDescent="0.35">
      <c r="A331" s="13">
        <v>42843</v>
      </c>
      <c r="B331" s="14">
        <v>4990.25</v>
      </c>
      <c r="C331" s="2">
        <f t="shared" si="40"/>
        <v>-1.594328646644716E-2</v>
      </c>
      <c r="D331" s="2">
        <f t="shared" si="41"/>
        <v>-1.8129916389232698E-2</v>
      </c>
      <c r="E331" s="3">
        <f t="shared" si="42"/>
        <v>2.1866299227855379E-3</v>
      </c>
      <c r="F331">
        <f t="shared" si="46"/>
        <v>5.4298561171998695E-2</v>
      </c>
      <c r="G331">
        <f t="shared" si="43"/>
        <v>4.0270494753241536E-2</v>
      </c>
      <c r="H331">
        <f t="shared" si="47"/>
        <v>-0.39990079055289296</v>
      </c>
      <c r="P331" s="33">
        <f t="shared" si="44"/>
        <v>-1.7630610744155284E-2</v>
      </c>
      <c r="Q331" s="33">
        <f t="shared" si="45"/>
        <v>0.13715051331401007</v>
      </c>
    </row>
    <row r="332" spans="1:17" x14ac:dyDescent="0.35">
      <c r="A332" s="13">
        <v>42844</v>
      </c>
      <c r="B332" s="14">
        <v>5003.7299999999996</v>
      </c>
      <c r="C332" s="2">
        <f t="shared" si="40"/>
        <v>2.7012674715694018E-3</v>
      </c>
      <c r="D332" s="2">
        <f t="shared" si="41"/>
        <v>-5.3867656417161285E-2</v>
      </c>
      <c r="E332" s="3">
        <f t="shared" si="42"/>
        <v>5.6568923888730686E-2</v>
      </c>
      <c r="F332">
        <f t="shared" si="46"/>
        <v>4.9700994301085585E-2</v>
      </c>
      <c r="G332">
        <f t="shared" si="43"/>
        <v>1.1381849535250663</v>
      </c>
      <c r="H332">
        <f t="shared" si="47"/>
        <v>-1.0468224283944862</v>
      </c>
      <c r="P332" s="33">
        <f t="shared" si="44"/>
        <v>1.0139431938612775E-3</v>
      </c>
      <c r="Q332" s="33">
        <f t="shared" si="45"/>
        <v>20.941622584254816</v>
      </c>
    </row>
    <row r="333" spans="1:17" x14ac:dyDescent="0.35">
      <c r="A333" s="13">
        <v>42845</v>
      </c>
      <c r="B333" s="14">
        <v>5077.91</v>
      </c>
      <c r="C333" s="2">
        <f t="shared" si="40"/>
        <v>1.4824940594316605E-2</v>
      </c>
      <c r="D333" s="2">
        <f t="shared" si="41"/>
        <v>-5.4971585653361514E-3</v>
      </c>
      <c r="E333" s="3">
        <f t="shared" si="42"/>
        <v>2.0322099159652756E-2</v>
      </c>
      <c r="F333">
        <f t="shared" si="46"/>
        <v>1.1282316861002184</v>
      </c>
      <c r="G333">
        <f t="shared" si="43"/>
        <v>1.8012345699930633E-2</v>
      </c>
      <c r="H333">
        <f t="shared" si="47"/>
        <v>-0.39925215647786444</v>
      </c>
      <c r="P333" s="33">
        <f t="shared" si="44"/>
        <v>1.313761631660848E-2</v>
      </c>
      <c r="Q333" s="33">
        <f t="shared" si="45"/>
        <v>1.3708047617704169</v>
      </c>
    </row>
    <row r="334" spans="1:17" x14ac:dyDescent="0.35">
      <c r="A334" s="13">
        <v>42846</v>
      </c>
      <c r="B334" s="14">
        <v>5059.2</v>
      </c>
      <c r="C334" s="2">
        <f t="shared" si="40"/>
        <v>-3.6845867689659917E-3</v>
      </c>
      <c r="D334" s="2">
        <f t="shared" si="41"/>
        <v>4.7698598150128155E-2</v>
      </c>
      <c r="E334" s="3">
        <f t="shared" si="42"/>
        <v>-5.1383184919094146E-2</v>
      </c>
      <c r="F334">
        <f t="shared" si="46"/>
        <v>0.15202879155546087</v>
      </c>
      <c r="G334">
        <f t="shared" si="43"/>
        <v>-0.33798324905022548</v>
      </c>
      <c r="H334">
        <f t="shared" si="47"/>
        <v>-0.4562062724983309</v>
      </c>
      <c r="P334" s="33">
        <f t="shared" si="44"/>
        <v>-5.371911046674116E-3</v>
      </c>
      <c r="Q334" s="33">
        <f t="shared" si="45"/>
        <v>13.945440327766754</v>
      </c>
    </row>
    <row r="335" spans="1:17" x14ac:dyDescent="0.35">
      <c r="A335" s="13">
        <v>42849</v>
      </c>
      <c r="B335" s="14">
        <v>5268.85</v>
      </c>
      <c r="C335" s="2">
        <f t="shared" si="40"/>
        <v>4.1439358001265081E-2</v>
      </c>
      <c r="D335" s="2">
        <f t="shared" si="41"/>
        <v>1.5226047219556189E-3</v>
      </c>
      <c r="E335" s="3">
        <f t="shared" si="42"/>
        <v>3.9916753279309464E-2</v>
      </c>
      <c r="F335">
        <f t="shared" si="46"/>
        <v>0.33673822348926663</v>
      </c>
      <c r="G335">
        <f t="shared" si="43"/>
        <v>0.11853941873807441</v>
      </c>
      <c r="H335">
        <f t="shared" si="47"/>
        <v>-0.40611573107643778</v>
      </c>
      <c r="P335" s="33">
        <f t="shared" si="44"/>
        <v>3.9752033723556957E-2</v>
      </c>
      <c r="Q335" s="33">
        <f t="shared" si="45"/>
        <v>0.96325703882986957</v>
      </c>
    </row>
    <row r="336" spans="1:17" x14ac:dyDescent="0.35">
      <c r="A336" s="13">
        <v>42850</v>
      </c>
      <c r="B336" s="14">
        <v>5277.88</v>
      </c>
      <c r="C336" s="2">
        <f t="shared" si="40"/>
        <v>1.7138464750372506E-3</v>
      </c>
      <c r="D336" s="2">
        <f t="shared" si="41"/>
        <v>0.12363015783905885</v>
      </c>
      <c r="E336" s="3">
        <f t="shared" si="42"/>
        <v>-0.1219163113640216</v>
      </c>
      <c r="F336">
        <f t="shared" si="46"/>
        <v>0.1287683196749306</v>
      </c>
      <c r="G336">
        <f t="shared" si="43"/>
        <v>-0.9467880894290881</v>
      </c>
      <c r="H336">
        <f t="shared" si="47"/>
        <v>-0.84729377732144906</v>
      </c>
      <c r="P336" s="33">
        <f t="shared" si="44"/>
        <v>2.6522197329126307E-5</v>
      </c>
      <c r="Q336" s="33">
        <f t="shared" si="45"/>
        <v>71.136074986746834</v>
      </c>
    </row>
    <row r="337" spans="1:17" x14ac:dyDescent="0.35">
      <c r="A337" s="13">
        <v>42851</v>
      </c>
      <c r="B337" s="14">
        <v>5287.88</v>
      </c>
      <c r="C337" s="2">
        <f t="shared" si="40"/>
        <v>1.8947001447551237E-3</v>
      </c>
      <c r="D337" s="2">
        <f t="shared" si="41"/>
        <v>4.1018261367372459E-2</v>
      </c>
      <c r="E337" s="3">
        <f t="shared" si="42"/>
        <v>-3.9123561222617335E-2</v>
      </c>
      <c r="F337">
        <f t="shared" si="46"/>
        <v>0.93878096473966255</v>
      </c>
      <c r="G337">
        <f t="shared" si="43"/>
        <v>-4.1674855682088591E-2</v>
      </c>
      <c r="H337">
        <f t="shared" si="47"/>
        <v>-0.39995833097711897</v>
      </c>
      <c r="P337" s="33">
        <f t="shared" si="44"/>
        <v>2.073758670469994E-4</v>
      </c>
      <c r="Q337" s="33">
        <f t="shared" si="45"/>
        <v>20.648946130562404</v>
      </c>
    </row>
    <row r="338" spans="1:17" x14ac:dyDescent="0.35">
      <c r="A338" s="13">
        <v>42852</v>
      </c>
      <c r="B338" s="14">
        <v>5271.7</v>
      </c>
      <c r="C338" s="2">
        <f t="shared" si="40"/>
        <v>-3.0598273788361441E-3</v>
      </c>
      <c r="D338" s="2">
        <f t="shared" si="41"/>
        <v>7.2776046843083843E-3</v>
      </c>
      <c r="E338" s="3">
        <f t="shared" si="42"/>
        <v>-1.0337432063144528E-2</v>
      </c>
      <c r="F338">
        <f t="shared" si="46"/>
        <v>0.13319742821738847</v>
      </c>
      <c r="G338">
        <f t="shared" si="43"/>
        <v>-7.760984728829029E-2</v>
      </c>
      <c r="H338">
        <f t="shared" si="47"/>
        <v>-0.40210157837711341</v>
      </c>
      <c r="P338" s="33">
        <f t="shared" si="44"/>
        <v>-4.7471516565442684E-3</v>
      </c>
      <c r="Q338" s="33">
        <f t="shared" si="45"/>
        <v>3.3784363571112763</v>
      </c>
    </row>
    <row r="339" spans="1:17" x14ac:dyDescent="0.35">
      <c r="A339" s="13">
        <v>42853</v>
      </c>
      <c r="B339" s="14">
        <v>5267.33</v>
      </c>
      <c r="C339" s="2">
        <f t="shared" si="40"/>
        <v>-8.2895460667331555E-4</v>
      </c>
      <c r="D339" s="2">
        <f t="shared" si="41"/>
        <v>-7.7279046662064154E-3</v>
      </c>
      <c r="E339" s="3">
        <f t="shared" si="42"/>
        <v>6.8989500595330999E-3</v>
      </c>
      <c r="F339">
        <f t="shared" si="46"/>
        <v>8.3949145766696459E-2</v>
      </c>
      <c r="G339">
        <f t="shared" si="43"/>
        <v>8.2180110309948956E-2</v>
      </c>
      <c r="H339">
        <f t="shared" si="47"/>
        <v>-0.40246671944433521</v>
      </c>
      <c r="P339" s="33">
        <f t="shared" si="44"/>
        <v>-2.5162788843814399E-3</v>
      </c>
      <c r="Q339" s="33">
        <f t="shared" si="45"/>
        <v>8.3224702583164749</v>
      </c>
    </row>
    <row r="340" spans="1:17" x14ac:dyDescent="0.35">
      <c r="A340" s="13">
        <v>42857</v>
      </c>
      <c r="B340" s="14">
        <v>5304.15</v>
      </c>
      <c r="C340" s="2">
        <f t="shared" si="40"/>
        <v>6.9902588218317963E-3</v>
      </c>
      <c r="D340" s="2">
        <f t="shared" si="41"/>
        <v>-5.1782087390647262E-3</v>
      </c>
      <c r="E340" s="3">
        <f t="shared" si="42"/>
        <v>1.2168467560896522E-2</v>
      </c>
      <c r="F340">
        <f t="shared" si="46"/>
        <v>8.7063083642830191E-2</v>
      </c>
      <c r="G340">
        <f t="shared" si="43"/>
        <v>0.13976609892221087</v>
      </c>
      <c r="H340">
        <f t="shared" si="47"/>
        <v>-0.40885721538302416</v>
      </c>
      <c r="P340" s="33">
        <f t="shared" si="44"/>
        <v>5.3029345441236719E-3</v>
      </c>
      <c r="Q340" s="33">
        <f t="shared" si="45"/>
        <v>1.740774965712611</v>
      </c>
    </row>
    <row r="341" spans="1:17" x14ac:dyDescent="0.35">
      <c r="A341" s="13">
        <v>42858</v>
      </c>
      <c r="B341" s="14">
        <v>5301</v>
      </c>
      <c r="C341" s="2">
        <f t="shared" si="40"/>
        <v>-5.938746076185053E-4</v>
      </c>
      <c r="D341" s="2">
        <f t="shared" si="41"/>
        <v>2.0675678108844887E-2</v>
      </c>
      <c r="E341" s="3">
        <f t="shared" si="42"/>
        <v>-2.1269552716463393E-2</v>
      </c>
      <c r="F341">
        <f t="shared" si="46"/>
        <v>0.14191203229060748</v>
      </c>
      <c r="G341">
        <f t="shared" si="43"/>
        <v>-0.14987843083599564</v>
      </c>
      <c r="H341">
        <f t="shared" si="47"/>
        <v>-0.41032170619398767</v>
      </c>
      <c r="P341" s="33">
        <f t="shared" si="44"/>
        <v>-2.2811988853266296E-3</v>
      </c>
      <c r="Q341" s="33">
        <f t="shared" si="45"/>
        <v>35.814888266996896</v>
      </c>
    </row>
    <row r="342" spans="1:17" x14ac:dyDescent="0.35">
      <c r="A342" s="13">
        <v>42859</v>
      </c>
      <c r="B342" s="14">
        <v>5372.42</v>
      </c>
      <c r="C342" s="2">
        <f t="shared" si="40"/>
        <v>1.347292963591773E-2</v>
      </c>
      <c r="D342" s="2">
        <f t="shared" si="41"/>
        <v>4.2171756101482428E-3</v>
      </c>
      <c r="E342" s="3">
        <f t="shared" si="42"/>
        <v>9.255754025769487E-3</v>
      </c>
      <c r="F342">
        <f t="shared" si="46"/>
        <v>0.15241973557024438</v>
      </c>
      <c r="G342">
        <f t="shared" si="43"/>
        <v>6.0725430280672982E-2</v>
      </c>
      <c r="H342">
        <f t="shared" si="47"/>
        <v>-0.40093372312044395</v>
      </c>
      <c r="P342" s="33">
        <f t="shared" si="44"/>
        <v>1.1785605358209605E-2</v>
      </c>
      <c r="Q342" s="33">
        <f t="shared" si="45"/>
        <v>0.68698896794461117</v>
      </c>
    </row>
    <row r="343" spans="1:17" x14ac:dyDescent="0.35">
      <c r="A343" s="13">
        <v>42860</v>
      </c>
      <c r="B343" s="14">
        <v>5432.4</v>
      </c>
      <c r="C343" s="2">
        <f t="shared" si="40"/>
        <v>1.1164428693214434E-2</v>
      </c>
      <c r="D343" s="2">
        <f t="shared" si="41"/>
        <v>4.0716612802583638E-2</v>
      </c>
      <c r="E343" s="3">
        <f t="shared" si="42"/>
        <v>-2.9552184109369203E-2</v>
      </c>
      <c r="F343">
        <f t="shared" si="46"/>
        <v>6.9632868872805467E-2</v>
      </c>
      <c r="G343">
        <f t="shared" si="43"/>
        <v>-0.42439992187239267</v>
      </c>
      <c r="H343">
        <f t="shared" si="47"/>
        <v>-0.48914758102170403</v>
      </c>
      <c r="P343" s="33">
        <f t="shared" si="44"/>
        <v>9.47710441550631E-3</v>
      </c>
      <c r="Q343" s="33">
        <f t="shared" si="45"/>
        <v>2.646994747463483</v>
      </c>
    </row>
    <row r="344" spans="1:17" x14ac:dyDescent="0.35">
      <c r="A344" s="13">
        <v>42863</v>
      </c>
      <c r="B344" s="14">
        <v>5382.95</v>
      </c>
      <c r="C344" s="2">
        <f t="shared" si="40"/>
        <v>-9.1027906634267852E-3</v>
      </c>
      <c r="D344" s="2">
        <f t="shared" si="41"/>
        <v>4.5795776066522895E-2</v>
      </c>
      <c r="E344" s="3">
        <f t="shared" si="42"/>
        <v>-5.489856672994968E-2</v>
      </c>
      <c r="F344">
        <f t="shared" si="46"/>
        <v>0.42162614186377895</v>
      </c>
      <c r="G344">
        <f t="shared" si="43"/>
        <v>-0.13020674308114077</v>
      </c>
      <c r="H344">
        <f t="shared" si="47"/>
        <v>-0.40756683215095663</v>
      </c>
      <c r="P344" s="33">
        <f t="shared" si="44"/>
        <v>-1.079011494113491E-2</v>
      </c>
      <c r="Q344" s="33">
        <f t="shared" si="45"/>
        <v>6.0309600384991029</v>
      </c>
    </row>
    <row r="345" spans="1:17" x14ac:dyDescent="0.35">
      <c r="A345" s="13">
        <v>42864</v>
      </c>
      <c r="B345" s="14">
        <v>5398.01</v>
      </c>
      <c r="C345" s="2">
        <f t="shared" si="40"/>
        <v>2.797722438439898E-3</v>
      </c>
      <c r="D345" s="2">
        <f t="shared" si="41"/>
        <v>-1.821798781823104E-2</v>
      </c>
      <c r="E345" s="3">
        <f t="shared" si="42"/>
        <v>2.1015710256670938E-2</v>
      </c>
      <c r="F345">
        <f t="shared" si="46"/>
        <v>0.14332469832290595</v>
      </c>
      <c r="G345">
        <f t="shared" si="43"/>
        <v>0.14663006796862893</v>
      </c>
      <c r="H345">
        <f t="shared" si="47"/>
        <v>-0.40984012259529989</v>
      </c>
      <c r="P345" s="33">
        <f t="shared" si="44"/>
        <v>1.1103981607317737E-3</v>
      </c>
      <c r="Q345" s="33">
        <f t="shared" si="45"/>
        <v>7.5117209512713448</v>
      </c>
    </row>
    <row r="346" spans="1:17" x14ac:dyDescent="0.35">
      <c r="A346" s="13">
        <v>42865</v>
      </c>
      <c r="B346" s="14">
        <v>5400.46</v>
      </c>
      <c r="C346" s="2">
        <f t="shared" si="40"/>
        <v>4.5387096355886669E-4</v>
      </c>
      <c r="D346" s="2">
        <f t="shared" si="41"/>
        <v>7.0324759551163019E-4</v>
      </c>
      <c r="E346" s="3">
        <f t="shared" si="42"/>
        <v>-2.4937663195276349E-4</v>
      </c>
      <c r="F346">
        <f t="shared" si="46"/>
        <v>0.14930834135177007</v>
      </c>
      <c r="G346">
        <f t="shared" si="43"/>
        <v>-1.6702123250115866E-3</v>
      </c>
      <c r="H346">
        <f t="shared" si="47"/>
        <v>-0.39909132898366284</v>
      </c>
      <c r="P346" s="33">
        <f t="shared" si="44"/>
        <v>-1.2334533141492576E-3</v>
      </c>
      <c r="Q346" s="33">
        <f t="shared" si="45"/>
        <v>0.54944389920290537</v>
      </c>
    </row>
    <row r="347" spans="1:17" x14ac:dyDescent="0.35">
      <c r="A347" s="13">
        <v>42866</v>
      </c>
      <c r="B347" s="14">
        <v>5383.42</v>
      </c>
      <c r="C347" s="2">
        <f t="shared" si="40"/>
        <v>-3.1552867718676048E-3</v>
      </c>
      <c r="D347" s="2">
        <f t="shared" si="41"/>
        <v>3.8041245868404632E-3</v>
      </c>
      <c r="E347" s="3">
        <f t="shared" si="42"/>
        <v>-6.959411358708068E-3</v>
      </c>
      <c r="F347">
        <f t="shared" si="46"/>
        <v>3.4848017299163911E-2</v>
      </c>
      <c r="G347">
        <f t="shared" si="43"/>
        <v>-0.19970752708720221</v>
      </c>
      <c r="H347">
        <f t="shared" si="47"/>
        <v>-0.41903148236670035</v>
      </c>
      <c r="P347" s="33">
        <f t="shared" si="44"/>
        <v>-4.8426110495757291E-3</v>
      </c>
      <c r="Q347" s="33">
        <f t="shared" si="45"/>
        <v>2.2056351329957922</v>
      </c>
    </row>
    <row r="348" spans="1:17" x14ac:dyDescent="0.35">
      <c r="A348" s="13">
        <v>42867</v>
      </c>
      <c r="B348" s="14">
        <v>5405.42</v>
      </c>
      <c r="C348" s="2">
        <f t="shared" si="40"/>
        <v>4.0866215156907248E-3</v>
      </c>
      <c r="D348" s="2">
        <f t="shared" si="41"/>
        <v>-9.2638593328445498E-3</v>
      </c>
      <c r="E348" s="3">
        <f t="shared" si="42"/>
        <v>1.3350480848535275E-2</v>
      </c>
      <c r="F348">
        <f t="shared" si="46"/>
        <v>0.20002427786194504</v>
      </c>
      <c r="G348">
        <f t="shared" si="43"/>
        <v>6.6744302197904476E-2</v>
      </c>
      <c r="H348">
        <f t="shared" si="47"/>
        <v>-0.40131733511700013</v>
      </c>
      <c r="P348" s="33">
        <f t="shared" si="44"/>
        <v>2.3992972379826005E-3</v>
      </c>
      <c r="Q348" s="33">
        <f t="shared" si="45"/>
        <v>3.2668748004373884</v>
      </c>
    </row>
    <row r="349" spans="1:17" x14ac:dyDescent="0.35">
      <c r="A349" s="13">
        <v>42870</v>
      </c>
      <c r="B349" s="14">
        <v>5417.4</v>
      </c>
      <c r="C349" s="2">
        <f t="shared" si="40"/>
        <v>2.2162940160059819E-3</v>
      </c>
      <c r="D349" s="2">
        <f t="shared" si="41"/>
        <v>9.7818220426983647E-3</v>
      </c>
      <c r="E349" s="3">
        <f t="shared" si="42"/>
        <v>-7.5655280266923829E-3</v>
      </c>
      <c r="F349">
        <f t="shared" si="46"/>
        <v>7.6756964955013079E-2</v>
      </c>
      <c r="G349">
        <f t="shared" si="43"/>
        <v>-9.856471046147415E-2</v>
      </c>
      <c r="H349">
        <f t="shared" si="47"/>
        <v>-0.40394743525323462</v>
      </c>
      <c r="P349" s="33">
        <f t="shared" si="44"/>
        <v>5.2896973829785754E-4</v>
      </c>
      <c r="Q349" s="33">
        <f t="shared" si="45"/>
        <v>3.413594032224271</v>
      </c>
    </row>
    <row r="350" spans="1:17" x14ac:dyDescent="0.35">
      <c r="A350" s="13">
        <v>42871</v>
      </c>
      <c r="B350" s="14">
        <v>5406.1</v>
      </c>
      <c r="C350" s="2">
        <f t="shared" si="40"/>
        <v>-2.0858714512494991E-3</v>
      </c>
      <c r="D350" s="2">
        <f t="shared" si="41"/>
        <v>1.0310093425930441E-2</v>
      </c>
      <c r="E350" s="3">
        <f t="shared" si="42"/>
        <v>-1.239596487717994E-2</v>
      </c>
      <c r="F350">
        <f t="shared" si="46"/>
        <v>0.10231280206597113</v>
      </c>
      <c r="G350">
        <f t="shared" si="43"/>
        <v>-0.12115751525588209</v>
      </c>
      <c r="H350">
        <f t="shared" si="47"/>
        <v>-0.40642950593054716</v>
      </c>
      <c r="P350" s="33">
        <f t="shared" si="44"/>
        <v>-3.7731957289576235E-3</v>
      </c>
      <c r="Q350" s="33">
        <f t="shared" si="45"/>
        <v>5.9428230199681709</v>
      </c>
    </row>
    <row r="351" spans="1:17" x14ac:dyDescent="0.35">
      <c r="A351" s="13">
        <v>42872</v>
      </c>
      <c r="B351" s="14">
        <v>5317.89</v>
      </c>
      <c r="C351" s="2">
        <f t="shared" si="40"/>
        <v>-1.6316753297201281E-2</v>
      </c>
      <c r="D351" s="2">
        <f t="shared" si="41"/>
        <v>-4.4698214285308242E-3</v>
      </c>
      <c r="E351" s="3">
        <f t="shared" si="42"/>
        <v>-1.1846931868670457E-2</v>
      </c>
      <c r="F351">
        <f t="shared" si="46"/>
        <v>0.12418233483010005</v>
      </c>
      <c r="G351">
        <f t="shared" si="43"/>
        <v>-9.5399493695128429E-2</v>
      </c>
      <c r="H351">
        <f t="shared" si="47"/>
        <v>-0.40364046587770097</v>
      </c>
      <c r="P351" s="33">
        <f t="shared" si="44"/>
        <v>-1.8004077574909405E-2</v>
      </c>
      <c r="Q351" s="33">
        <f t="shared" si="45"/>
        <v>0.72605938527626646</v>
      </c>
    </row>
    <row r="352" spans="1:17" x14ac:dyDescent="0.35">
      <c r="A352" s="13">
        <v>42873</v>
      </c>
      <c r="B352" s="14">
        <v>5289.73</v>
      </c>
      <c r="C352" s="2">
        <f t="shared" si="40"/>
        <v>-5.2953332994855051E-3</v>
      </c>
      <c r="D352" s="2">
        <f t="shared" si="41"/>
        <v>-5.1732523558326408E-2</v>
      </c>
      <c r="E352" s="3">
        <f t="shared" si="42"/>
        <v>4.6437190258840903E-2</v>
      </c>
      <c r="F352">
        <f t="shared" si="46"/>
        <v>0.10014754810853344</v>
      </c>
      <c r="G352">
        <f t="shared" si="43"/>
        <v>0.46368774009839242</v>
      </c>
      <c r="H352">
        <f t="shared" si="47"/>
        <v>-0.50659309433783473</v>
      </c>
      <c r="P352" s="33">
        <f t="shared" si="44"/>
        <v>-6.9826575771936295E-3</v>
      </c>
      <c r="Q352" s="33">
        <f t="shared" si="45"/>
        <v>8.7694556003401605</v>
      </c>
    </row>
    <row r="353" spans="1:17" x14ac:dyDescent="0.35">
      <c r="A353" s="13">
        <v>42874</v>
      </c>
      <c r="B353" s="14">
        <v>5324.4</v>
      </c>
      <c r="C353" s="2">
        <f t="shared" si="40"/>
        <v>6.5542097611788197E-3</v>
      </c>
      <c r="D353" s="2">
        <f t="shared" si="41"/>
        <v>-3.0290423918369759E-2</v>
      </c>
      <c r="E353" s="3">
        <f t="shared" si="42"/>
        <v>3.6844633679548579E-2</v>
      </c>
      <c r="F353">
        <f t="shared" si="46"/>
        <v>0.46056275587380135</v>
      </c>
      <c r="G353">
        <f t="shared" si="43"/>
        <v>7.9999160178823414E-2</v>
      </c>
      <c r="H353">
        <f t="shared" si="47"/>
        <v>-0.40228986699371605</v>
      </c>
      <c r="P353" s="33">
        <f t="shared" si="44"/>
        <v>4.8668854834706954E-3</v>
      </c>
      <c r="Q353" s="33">
        <f t="shared" si="45"/>
        <v>5.6215218954057118</v>
      </c>
    </row>
    <row r="354" spans="1:17" x14ac:dyDescent="0.35">
      <c r="A354" s="13">
        <v>42877</v>
      </c>
      <c r="B354" s="14">
        <v>5322.88</v>
      </c>
      <c r="C354" s="2">
        <f t="shared" si="40"/>
        <v>-2.854781759445979E-4</v>
      </c>
      <c r="D354" s="2">
        <f t="shared" si="41"/>
        <v>1.5485579756454286E-2</v>
      </c>
      <c r="E354" s="3">
        <f t="shared" si="42"/>
        <v>-1.5771057932398885E-2</v>
      </c>
      <c r="F354">
        <f t="shared" si="46"/>
        <v>0.10378674524576281</v>
      </c>
      <c r="G354">
        <f t="shared" si="43"/>
        <v>-0.15195637838968415</v>
      </c>
      <c r="H354">
        <f t="shared" si="47"/>
        <v>-0.41063530464571196</v>
      </c>
      <c r="P354" s="33">
        <f t="shared" si="44"/>
        <v>-1.9728024536527222E-3</v>
      </c>
      <c r="Q354" s="33">
        <f t="shared" si="45"/>
        <v>55.244355825853177</v>
      </c>
    </row>
    <row r="355" spans="1:17" x14ac:dyDescent="0.35">
      <c r="A355" s="13">
        <v>42879</v>
      </c>
      <c r="B355" s="14">
        <v>5341.34</v>
      </c>
      <c r="C355" s="2">
        <f t="shared" si="40"/>
        <v>3.4680473728507799E-3</v>
      </c>
      <c r="D355" s="2">
        <f t="shared" si="41"/>
        <v>4.784486483935653E-3</v>
      </c>
      <c r="E355" s="3">
        <f t="shared" si="42"/>
        <v>-1.316439111084873E-3</v>
      </c>
      <c r="F355">
        <f t="shared" si="46"/>
        <v>0.15390247847007024</v>
      </c>
      <c r="G355">
        <f t="shared" si="43"/>
        <v>-8.5537226181895687E-3</v>
      </c>
      <c r="H355">
        <f t="shared" si="47"/>
        <v>-0.39912651726437198</v>
      </c>
      <c r="P355" s="33">
        <f t="shared" si="44"/>
        <v>1.7807230951426556E-3</v>
      </c>
      <c r="Q355" s="33">
        <f t="shared" si="45"/>
        <v>0.37959086758458638</v>
      </c>
    </row>
    <row r="356" spans="1:17" x14ac:dyDescent="0.35">
      <c r="A356" s="13">
        <v>42880</v>
      </c>
      <c r="B356" s="14">
        <v>5337.16</v>
      </c>
      <c r="C356" s="2">
        <f t="shared" si="40"/>
        <v>-7.8257515904256447E-4</v>
      </c>
      <c r="D356" s="2">
        <f t="shared" si="41"/>
        <v>1.0366325649460929E-2</v>
      </c>
      <c r="E356" s="3">
        <f t="shared" si="42"/>
        <v>-1.1148900808503493E-2</v>
      </c>
      <c r="F356">
        <f t="shared" si="46"/>
        <v>3.6159753599465529E-2</v>
      </c>
      <c r="G356">
        <f t="shared" si="43"/>
        <v>-0.30832347288639389</v>
      </c>
      <c r="H356">
        <f t="shared" si="47"/>
        <v>-0.44662161614542095</v>
      </c>
      <c r="P356" s="33">
        <f t="shared" si="44"/>
        <v>-2.4698994367506888E-3</v>
      </c>
      <c r="Q356" s="33">
        <f t="shared" si="45"/>
        <v>14.24642819246081</v>
      </c>
    </row>
    <row r="357" spans="1:17" x14ac:dyDescent="0.35">
      <c r="A357" s="13">
        <v>42881</v>
      </c>
      <c r="B357" s="14">
        <v>5336.64</v>
      </c>
      <c r="C357" s="2">
        <f t="shared" si="40"/>
        <v>-9.7430093907502346E-5</v>
      </c>
      <c r="D357" s="2">
        <f t="shared" si="41"/>
        <v>5.9908004823345986E-4</v>
      </c>
      <c r="E357" s="3">
        <f t="shared" si="42"/>
        <v>-6.9651014214096221E-4</v>
      </c>
      <c r="F357">
        <f t="shared" si="46"/>
        <v>0.30690989002113656</v>
      </c>
      <c r="G357">
        <f t="shared" si="43"/>
        <v>-2.2694287958364401E-3</v>
      </c>
      <c r="H357">
        <f t="shared" si="47"/>
        <v>-0.39909250933258722</v>
      </c>
      <c r="P357" s="33">
        <f t="shared" si="44"/>
        <v>-1.7847543716156267E-3</v>
      </c>
      <c r="Q357" s="33">
        <f t="shared" si="45"/>
        <v>7.1488193658338384</v>
      </c>
    </row>
    <row r="358" spans="1:17" x14ac:dyDescent="0.35">
      <c r="A358" s="13">
        <v>42884</v>
      </c>
      <c r="B358" s="14">
        <v>5332.47</v>
      </c>
      <c r="C358" s="2">
        <f t="shared" si="40"/>
        <v>-7.8139053786652202E-4</v>
      </c>
      <c r="D358" s="2">
        <f t="shared" si="41"/>
        <v>-9.7373014530355826E-4</v>
      </c>
      <c r="E358" s="3">
        <f t="shared" si="42"/>
        <v>1.9233960743703625E-4</v>
      </c>
      <c r="F358">
        <f t="shared" si="46"/>
        <v>4.9573504358086197E-2</v>
      </c>
      <c r="G358">
        <f t="shared" si="43"/>
        <v>3.8798872487952876E-3</v>
      </c>
      <c r="H358">
        <f t="shared" si="47"/>
        <v>-0.39909746094158921</v>
      </c>
      <c r="P358" s="33">
        <f t="shared" si="44"/>
        <v>-2.4687148155746463E-3</v>
      </c>
      <c r="Q358" s="33">
        <f t="shared" si="45"/>
        <v>0.24615041789755063</v>
      </c>
    </row>
    <row r="359" spans="1:17" x14ac:dyDescent="0.35">
      <c r="A359" s="13">
        <v>42885</v>
      </c>
      <c r="B359" s="14">
        <v>5305.94</v>
      </c>
      <c r="C359" s="2">
        <f t="shared" si="40"/>
        <v>-4.9751803573204745E-3</v>
      </c>
      <c r="D359" s="2">
        <f t="shared" si="41"/>
        <v>-2.475287454175021E-3</v>
      </c>
      <c r="E359" s="3">
        <f t="shared" si="42"/>
        <v>-2.4998929031454535E-3</v>
      </c>
      <c r="F359">
        <f t="shared" si="46"/>
        <v>2.973407420244132E-2</v>
      </c>
      <c r="G359">
        <f t="shared" si="43"/>
        <v>-8.4075020669054479E-2</v>
      </c>
      <c r="H359">
        <f t="shared" si="47"/>
        <v>-0.40262423872930847</v>
      </c>
      <c r="P359" s="33">
        <f t="shared" si="44"/>
        <v>-6.6625046350285988E-3</v>
      </c>
      <c r="Q359" s="33">
        <f t="shared" si="45"/>
        <v>0.50247281979780167</v>
      </c>
    </row>
    <row r="360" spans="1:17" x14ac:dyDescent="0.35">
      <c r="A360" s="13">
        <v>42886</v>
      </c>
      <c r="B360" s="14">
        <v>5283.63</v>
      </c>
      <c r="C360" s="2">
        <f t="shared" si="40"/>
        <v>-4.2047215008084171E-3</v>
      </c>
      <c r="D360" s="2">
        <f t="shared" si="41"/>
        <v>-1.5899393017388349E-2</v>
      </c>
      <c r="E360" s="3">
        <f t="shared" si="42"/>
        <v>1.1694671516579932E-2</v>
      </c>
      <c r="F360">
        <f t="shared" si="46"/>
        <v>8.8221072156800723E-2</v>
      </c>
      <c r="G360">
        <f t="shared" si="43"/>
        <v>0.13256097699418429</v>
      </c>
      <c r="H360">
        <f t="shared" si="47"/>
        <v>-0.40787614048988385</v>
      </c>
      <c r="P360" s="33">
        <f t="shared" si="44"/>
        <v>-5.8920457785165414E-3</v>
      </c>
      <c r="Q360" s="33">
        <f t="shared" si="45"/>
        <v>2.7813189326169323</v>
      </c>
    </row>
    <row r="361" spans="1:17" x14ac:dyDescent="0.35">
      <c r="A361" s="13">
        <v>42887</v>
      </c>
      <c r="B361" s="14">
        <v>5318.67</v>
      </c>
      <c r="C361" s="2">
        <f t="shared" si="40"/>
        <v>6.631804270927466E-3</v>
      </c>
      <c r="D361" s="2">
        <f t="shared" si="41"/>
        <v>-1.7162067205929516E-2</v>
      </c>
      <c r="E361" s="3">
        <f t="shared" si="42"/>
        <v>2.3793871476856982E-2</v>
      </c>
      <c r="F361">
        <f t="shared" si="46"/>
        <v>0.13496615300328257</v>
      </c>
      <c r="G361">
        <f t="shared" si="43"/>
        <v>0.17629510027064549</v>
      </c>
      <c r="H361">
        <f t="shared" si="47"/>
        <v>-0.41462991536877603</v>
      </c>
      <c r="P361" s="33">
        <f t="shared" si="44"/>
        <v>4.9444799932193417E-3</v>
      </c>
      <c r="Q361" s="33">
        <f t="shared" si="45"/>
        <v>3.587842841074889</v>
      </c>
    </row>
    <row r="362" spans="1:17" x14ac:dyDescent="0.35">
      <c r="A362" s="13">
        <v>42888</v>
      </c>
      <c r="B362" s="14">
        <v>5343.41</v>
      </c>
      <c r="C362" s="2">
        <f t="shared" si="40"/>
        <v>4.6515388245558231E-3</v>
      </c>
      <c r="D362" s="2">
        <f t="shared" si="41"/>
        <v>1.6664530652226985E-2</v>
      </c>
      <c r="E362" s="3">
        <f t="shared" si="42"/>
        <v>-1.2012991827671161E-2</v>
      </c>
      <c r="F362">
        <f t="shared" si="46"/>
        <v>0.17793027193381178</v>
      </c>
      <c r="G362">
        <f t="shared" si="43"/>
        <v>-6.751516589678383E-2</v>
      </c>
      <c r="H362">
        <f t="shared" si="47"/>
        <v>-0.40136908299209267</v>
      </c>
      <c r="P362" s="33">
        <f t="shared" si="44"/>
        <v>2.9642145468476988E-3</v>
      </c>
      <c r="Q362" s="33">
        <f t="shared" si="45"/>
        <v>2.582584448022593</v>
      </c>
    </row>
    <row r="363" spans="1:17" x14ac:dyDescent="0.35">
      <c r="A363" s="13">
        <v>42891</v>
      </c>
      <c r="B363" s="14">
        <v>5307.89</v>
      </c>
      <c r="C363" s="2">
        <f t="shared" si="40"/>
        <v>-6.6474404921200714E-3</v>
      </c>
      <c r="D363" s="2">
        <f t="shared" si="41"/>
        <v>1.9959523090223134E-2</v>
      </c>
      <c r="E363" s="3">
        <f t="shared" si="42"/>
        <v>-2.6606963582343206E-2</v>
      </c>
      <c r="F363">
        <f t="shared" si="46"/>
        <v>7.6479710065423409E-2</v>
      </c>
      <c r="G363">
        <f t="shared" si="43"/>
        <v>-0.3478957171723413</v>
      </c>
      <c r="H363">
        <f t="shared" si="47"/>
        <v>-0.45960564919248637</v>
      </c>
      <c r="P363" s="33">
        <f t="shared" si="44"/>
        <v>-8.3347647698281957E-3</v>
      </c>
      <c r="Q363" s="33">
        <f t="shared" si="45"/>
        <v>4.0025877048291463</v>
      </c>
    </row>
    <row r="364" spans="1:17" x14ac:dyDescent="0.35">
      <c r="A364" s="13">
        <v>42892</v>
      </c>
      <c r="B364" s="14">
        <v>5269.22</v>
      </c>
      <c r="C364" s="2">
        <f t="shared" si="40"/>
        <v>-7.2853808198738434E-3</v>
      </c>
      <c r="D364" s="2">
        <f t="shared" si="41"/>
        <v>-1.6326653095990296E-2</v>
      </c>
      <c r="E364" s="3">
        <f t="shared" si="42"/>
        <v>9.0412722761164521E-3</v>
      </c>
      <c r="F364">
        <f t="shared" si="46"/>
        <v>0.34607875559641055</v>
      </c>
      <c r="G364">
        <f t="shared" si="43"/>
        <v>2.6124898249056887E-2</v>
      </c>
      <c r="H364">
        <f t="shared" si="47"/>
        <v>-0.39943118933331934</v>
      </c>
      <c r="P364" s="33">
        <f t="shared" si="44"/>
        <v>-8.9727050975819678E-3</v>
      </c>
      <c r="Q364" s="33">
        <f t="shared" si="45"/>
        <v>1.2410157409277356</v>
      </c>
    </row>
    <row r="365" spans="1:17" x14ac:dyDescent="0.35">
      <c r="A365" s="13">
        <v>42893</v>
      </c>
      <c r="B365" s="14">
        <v>5265.53</v>
      </c>
      <c r="C365" s="2">
        <f t="shared" si="40"/>
        <v>-7.002934020595708E-4</v>
      </c>
      <c r="D365" s="2">
        <f t="shared" si="41"/>
        <v>-2.8032993604040247E-2</v>
      </c>
      <c r="E365" s="3">
        <f t="shared" si="42"/>
        <v>2.7332700201980677E-2</v>
      </c>
      <c r="F365">
        <f t="shared" si="46"/>
        <v>5.9699547721667474E-2</v>
      </c>
      <c r="G365">
        <f t="shared" si="43"/>
        <v>0.45783764274750932</v>
      </c>
      <c r="H365">
        <f t="shared" si="47"/>
        <v>-0.50389758773735549</v>
      </c>
      <c r="P365" s="33">
        <f t="shared" si="44"/>
        <v>-2.3876176797676951E-3</v>
      </c>
      <c r="Q365" s="33">
        <f t="shared" si="45"/>
        <v>39.030355164842192</v>
      </c>
    </row>
    <row r="366" spans="1:17" x14ac:dyDescent="0.35">
      <c r="A366" s="13">
        <v>42894</v>
      </c>
      <c r="B366" s="14">
        <v>5264.24</v>
      </c>
      <c r="C366" s="2">
        <f t="shared" si="40"/>
        <v>-2.4498958319485453E-4</v>
      </c>
      <c r="D366" s="2">
        <f t="shared" si="41"/>
        <v>-8.4323058053292627E-3</v>
      </c>
      <c r="E366" s="3">
        <f t="shared" si="42"/>
        <v>8.1873162221344081E-3</v>
      </c>
      <c r="F366">
        <f t="shared" si="46"/>
        <v>0.45465696290467045</v>
      </c>
      <c r="G366">
        <f t="shared" si="43"/>
        <v>1.800767807409797E-2</v>
      </c>
      <c r="H366">
        <f t="shared" si="47"/>
        <v>-0.39925207241386768</v>
      </c>
      <c r="P366" s="33">
        <f t="shared" si="44"/>
        <v>-1.9323138609029789E-3</v>
      </c>
      <c r="Q366" s="33">
        <f t="shared" si="45"/>
        <v>33.419038129562253</v>
      </c>
    </row>
    <row r="367" spans="1:17" x14ac:dyDescent="0.35">
      <c r="A367" s="13">
        <v>42895</v>
      </c>
      <c r="B367" s="14">
        <v>5299.71</v>
      </c>
      <c r="C367" s="2">
        <f t="shared" si="40"/>
        <v>6.7379146847408311E-3</v>
      </c>
      <c r="D367" s="2">
        <f t="shared" si="41"/>
        <v>-1.3542535670285464E-3</v>
      </c>
      <c r="E367" s="3">
        <f t="shared" si="42"/>
        <v>8.0921682517693782E-3</v>
      </c>
      <c r="F367">
        <f t="shared" si="46"/>
        <v>6.8649067038474731E-2</v>
      </c>
      <c r="G367">
        <f t="shared" si="43"/>
        <v>0.11787732304117228</v>
      </c>
      <c r="H367">
        <f t="shared" si="47"/>
        <v>-0.40603746582273398</v>
      </c>
      <c r="P367" s="33">
        <f t="shared" si="44"/>
        <v>5.0505904070327068E-3</v>
      </c>
      <c r="Q367" s="33">
        <f t="shared" si="45"/>
        <v>1.2009900140314165</v>
      </c>
    </row>
    <row r="368" spans="1:17" x14ac:dyDescent="0.35">
      <c r="A368" s="13">
        <v>42898</v>
      </c>
      <c r="B368" s="14">
        <v>5240.59</v>
      </c>
      <c r="C368" s="2">
        <f t="shared" si="40"/>
        <v>-1.1155327366969114E-2</v>
      </c>
      <c r="D368" s="2">
        <f t="shared" si="41"/>
        <v>2.0407588464819222E-2</v>
      </c>
      <c r="E368" s="3">
        <f t="shared" si="42"/>
        <v>-3.1562915831788337E-2</v>
      </c>
      <c r="F368">
        <f t="shared" si="46"/>
        <v>0.12063179857417319</v>
      </c>
      <c r="G368">
        <f t="shared" si="43"/>
        <v>-0.26164673166487823</v>
      </c>
      <c r="H368">
        <f t="shared" si="47"/>
        <v>-0.43331944027451391</v>
      </c>
      <c r="P368" s="33">
        <f t="shared" si="44"/>
        <v>-1.2842651644677239E-2</v>
      </c>
      <c r="Q368" s="33">
        <f t="shared" si="45"/>
        <v>2.8294029205495144</v>
      </c>
    </row>
    <row r="369" spans="1:17" x14ac:dyDescent="0.35">
      <c r="A369" s="13">
        <v>42899</v>
      </c>
      <c r="B369" s="14">
        <v>5261.74</v>
      </c>
      <c r="C369" s="2">
        <f t="shared" si="40"/>
        <v>4.0358051288118535E-3</v>
      </c>
      <c r="D369" s="2">
        <f t="shared" si="41"/>
        <v>-2.8320379201722985E-2</v>
      </c>
      <c r="E369" s="3">
        <f t="shared" si="42"/>
        <v>3.2356184330534839E-2</v>
      </c>
      <c r="F369">
        <f t="shared" si="46"/>
        <v>0.26134081628419592</v>
      </c>
      <c r="G369">
        <f t="shared" si="43"/>
        <v>0.12380838473906426</v>
      </c>
      <c r="H369">
        <f t="shared" si="47"/>
        <v>-0.40675419224490561</v>
      </c>
      <c r="P369" s="33">
        <f t="shared" si="44"/>
        <v>2.3484808511037292E-3</v>
      </c>
      <c r="Q369" s="33">
        <f t="shared" si="45"/>
        <v>8.0172811366788022</v>
      </c>
    </row>
    <row r="370" spans="1:17" x14ac:dyDescent="0.35">
      <c r="A370" s="13">
        <v>42900</v>
      </c>
      <c r="B370" s="14">
        <v>5243.29</v>
      </c>
      <c r="C370" s="2">
        <f t="shared" si="40"/>
        <v>-3.506444636184991E-3</v>
      </c>
      <c r="D370" s="2">
        <f t="shared" si="41"/>
        <v>2.7200694592804733E-3</v>
      </c>
      <c r="E370" s="3">
        <f t="shared" si="42"/>
        <v>-6.2265140954654644E-3</v>
      </c>
      <c r="F370">
        <f t="shared" si="46"/>
        <v>0.13060208554445951</v>
      </c>
      <c r="G370">
        <f t="shared" si="43"/>
        <v>-4.7675456862025657E-2</v>
      </c>
      <c r="H370">
        <f t="shared" si="47"/>
        <v>-0.40022640877255894</v>
      </c>
      <c r="P370" s="33">
        <f t="shared" si="44"/>
        <v>-5.1937689138931153E-3</v>
      </c>
      <c r="Q370" s="33">
        <f t="shared" si="45"/>
        <v>1.7757343239389933</v>
      </c>
    </row>
    <row r="371" spans="1:17" x14ac:dyDescent="0.35">
      <c r="A371" s="13">
        <v>42901</v>
      </c>
      <c r="B371" s="14">
        <v>5216.88</v>
      </c>
      <c r="C371" s="2">
        <f t="shared" si="40"/>
        <v>-5.0369138460775176E-3</v>
      </c>
      <c r="D371" s="2">
        <f t="shared" si="41"/>
        <v>-7.2462585013348697E-3</v>
      </c>
      <c r="E371" s="3">
        <f t="shared" si="42"/>
        <v>2.2093446552573521E-3</v>
      </c>
      <c r="F371">
        <f t="shared" si="46"/>
        <v>5.7906194779100868E-2</v>
      </c>
      <c r="G371">
        <f t="shared" si="43"/>
        <v>3.8153856658782466E-2</v>
      </c>
      <c r="H371">
        <f t="shared" si="47"/>
        <v>-0.39981779256802696</v>
      </c>
      <c r="P371" s="33">
        <f t="shared" si="44"/>
        <v>-6.7242381237856419E-3</v>
      </c>
      <c r="Q371" s="33">
        <f t="shared" si="45"/>
        <v>0.43863062239547196</v>
      </c>
    </row>
    <row r="372" spans="1:17" x14ac:dyDescent="0.35">
      <c r="A372" s="13">
        <v>42902</v>
      </c>
      <c r="B372" s="14">
        <v>5263.31</v>
      </c>
      <c r="C372" s="2">
        <f t="shared" si="40"/>
        <v>8.8999555289752674E-3</v>
      </c>
      <c r="D372" s="2">
        <f t="shared" si="41"/>
        <v>-1.8440782186379328E-2</v>
      </c>
      <c r="E372" s="3">
        <f t="shared" si="42"/>
        <v>2.7340737715354595E-2</v>
      </c>
      <c r="F372">
        <f t="shared" si="46"/>
        <v>4.8105930630191696E-2</v>
      </c>
      <c r="G372">
        <f t="shared" si="43"/>
        <v>0.56834442982785394</v>
      </c>
      <c r="H372">
        <f t="shared" si="47"/>
        <v>-0.5605976296372317</v>
      </c>
      <c r="P372" s="33">
        <f t="shared" si="44"/>
        <v>7.2126312512671431E-3</v>
      </c>
      <c r="Q372" s="33">
        <f t="shared" si="45"/>
        <v>3.0720083517656165</v>
      </c>
    </row>
    <row r="373" spans="1:17" x14ac:dyDescent="0.35">
      <c r="A373" s="13">
        <v>42905</v>
      </c>
      <c r="B373" s="14">
        <v>5310.72</v>
      </c>
      <c r="C373" s="2">
        <f t="shared" si="40"/>
        <v>9.0076396792131419E-3</v>
      </c>
      <c r="D373" s="2">
        <f t="shared" si="41"/>
        <v>2.2887019391750637E-2</v>
      </c>
      <c r="E373" s="3">
        <f t="shared" si="42"/>
        <v>-1.3879379712537495E-2</v>
      </c>
      <c r="F373">
        <f t="shared" si="46"/>
        <v>0.56395096185664972</v>
      </c>
      <c r="G373">
        <f t="shared" si="43"/>
        <v>-2.4610969129024173E-2</v>
      </c>
      <c r="H373">
        <f t="shared" si="47"/>
        <v>-0.3993927840797924</v>
      </c>
      <c r="P373" s="33">
        <f t="shared" si="44"/>
        <v>7.3203154015050176E-3</v>
      </c>
      <c r="Q373" s="33">
        <f t="shared" si="45"/>
        <v>1.5408453498164263</v>
      </c>
    </row>
    <row r="374" spans="1:17" x14ac:dyDescent="0.35">
      <c r="A374" s="13">
        <v>42906</v>
      </c>
      <c r="B374" s="14">
        <v>5293.65</v>
      </c>
      <c r="C374" s="2">
        <f t="shared" si="40"/>
        <v>-3.2142534345626084E-3</v>
      </c>
      <c r="D374" s="2">
        <f t="shared" si="41"/>
        <v>3.5247920611974445E-2</v>
      </c>
      <c r="E374" s="3">
        <f t="shared" si="42"/>
        <v>-3.8462174046537054E-2</v>
      </c>
      <c r="F374">
        <f t="shared" si="46"/>
        <v>8.3128048340757807E-2</v>
      </c>
      <c r="G374">
        <f t="shared" si="43"/>
        <v>-0.46268587816320705</v>
      </c>
      <c r="H374">
        <f t="shared" si="47"/>
        <v>-0.50612904510488654</v>
      </c>
      <c r="P374" s="33">
        <f t="shared" si="44"/>
        <v>-4.9015777122707327E-3</v>
      </c>
      <c r="Q374" s="33">
        <f t="shared" si="45"/>
        <v>11.96612987418988</v>
      </c>
    </row>
    <row r="375" spans="1:17" x14ac:dyDescent="0.35">
      <c r="A375" s="13">
        <v>42907</v>
      </c>
      <c r="B375" s="14">
        <v>5274.26</v>
      </c>
      <c r="C375" s="2">
        <f t="shared" si="40"/>
        <v>-3.6628791098768376E-3</v>
      </c>
      <c r="D375" s="2">
        <f t="shared" si="41"/>
        <v>-2.0600397745121147E-3</v>
      </c>
      <c r="E375" s="3">
        <f t="shared" si="42"/>
        <v>-1.602839335364723E-3</v>
      </c>
      <c r="F375">
        <f t="shared" si="46"/>
        <v>0.45951377240851338</v>
      </c>
      <c r="G375">
        <f t="shared" si="43"/>
        <v>-3.4881203385124641E-3</v>
      </c>
      <c r="H375">
        <f t="shared" si="47"/>
        <v>-0.39909601767080549</v>
      </c>
      <c r="P375" s="33">
        <f t="shared" si="44"/>
        <v>-5.3502033875849619E-3</v>
      </c>
      <c r="Q375" s="33">
        <f t="shared" si="45"/>
        <v>0.43759001792953456</v>
      </c>
    </row>
    <row r="376" spans="1:17" x14ac:dyDescent="0.35">
      <c r="A376" s="13">
        <v>42908</v>
      </c>
      <c r="B376" s="14">
        <v>5281.93</v>
      </c>
      <c r="C376" s="2">
        <f t="shared" si="40"/>
        <v>1.4542324420867558E-3</v>
      </c>
      <c r="D376" s="2">
        <f t="shared" si="41"/>
        <v>-1.3983777292310432E-2</v>
      </c>
      <c r="E376" s="3">
        <f t="shared" si="42"/>
        <v>1.5438009734397188E-2</v>
      </c>
      <c r="F376">
        <f t="shared" si="46"/>
        <v>6.6954103488646319E-2</v>
      </c>
      <c r="G376">
        <f t="shared" si="43"/>
        <v>0.23057600550226282</v>
      </c>
      <c r="H376">
        <f t="shared" si="47"/>
        <v>-0.42567258133574731</v>
      </c>
      <c r="P376" s="33">
        <f t="shared" si="44"/>
        <v>-2.3309183562136848E-4</v>
      </c>
      <c r="Q376" s="33">
        <f t="shared" si="45"/>
        <v>10.615916195793544</v>
      </c>
    </row>
    <row r="377" spans="1:17" x14ac:dyDescent="0.35">
      <c r="A377" s="13">
        <v>42909</v>
      </c>
      <c r="B377" s="14">
        <v>5266.12</v>
      </c>
      <c r="C377" s="2">
        <f t="shared" si="40"/>
        <v>-2.9932240677177369E-3</v>
      </c>
      <c r="D377" s="2">
        <f t="shared" si="41"/>
        <v>1.2881035823057835E-3</v>
      </c>
      <c r="E377" s="3">
        <f t="shared" si="42"/>
        <v>-4.2813276500235208E-3</v>
      </c>
      <c r="F377">
        <f t="shared" si="46"/>
        <v>0.23045197732804273</v>
      </c>
      <c r="G377">
        <f t="shared" si="43"/>
        <v>-1.8577960144508354E-2</v>
      </c>
      <c r="H377">
        <f t="shared" si="47"/>
        <v>-0.399262504480623</v>
      </c>
      <c r="P377" s="33">
        <f t="shared" si="44"/>
        <v>-4.6805483454258612E-3</v>
      </c>
      <c r="Q377" s="33">
        <f t="shared" si="45"/>
        <v>1.4303398453186742</v>
      </c>
    </row>
    <row r="378" spans="1:17" x14ac:dyDescent="0.35">
      <c r="A378" s="13">
        <v>42912</v>
      </c>
      <c r="B378" s="14">
        <v>5295.75</v>
      </c>
      <c r="C378" s="2">
        <f t="shared" si="40"/>
        <v>5.6265333870098022E-3</v>
      </c>
      <c r="D378" s="2">
        <f t="shared" si="41"/>
        <v>-7.9043334063658936E-3</v>
      </c>
      <c r="E378" s="3">
        <f t="shared" si="42"/>
        <v>1.3530866793375696E-2</v>
      </c>
      <c r="F378">
        <f t="shared" si="46"/>
        <v>4.5632639710521686E-2</v>
      </c>
      <c r="G378">
        <f t="shared" si="43"/>
        <v>0.29651729286780298</v>
      </c>
      <c r="H378">
        <f t="shared" si="47"/>
        <v>-0.44305118666388277</v>
      </c>
      <c r="P378" s="33">
        <f t="shared" si="44"/>
        <v>3.9392091093016779E-3</v>
      </c>
      <c r="Q378" s="33">
        <f t="shared" si="45"/>
        <v>2.4048318676318421</v>
      </c>
    </row>
    <row r="379" spans="1:17" x14ac:dyDescent="0.35">
      <c r="A379" s="13">
        <v>42913</v>
      </c>
      <c r="B379" s="14">
        <v>5258.58</v>
      </c>
      <c r="C379" s="2">
        <f t="shared" si="40"/>
        <v>-7.0188358589434729E-3</v>
      </c>
      <c r="D379" s="2">
        <f t="shared" si="41"/>
        <v>1.4634100282373934E-2</v>
      </c>
      <c r="E379" s="3">
        <f t="shared" si="42"/>
        <v>-2.1652936141317407E-2</v>
      </c>
      <c r="F379">
        <f t="shared" si="46"/>
        <v>0.29528855655694281</v>
      </c>
      <c r="G379">
        <f t="shared" si="43"/>
        <v>-7.3328057117384104E-2</v>
      </c>
      <c r="H379">
        <f t="shared" si="47"/>
        <v>-0.40177843615936271</v>
      </c>
      <c r="P379" s="33">
        <f t="shared" si="44"/>
        <v>-8.7061601366515973E-3</v>
      </c>
      <c r="Q379" s="33">
        <f t="shared" si="45"/>
        <v>3.084975425622329</v>
      </c>
    </row>
    <row r="380" spans="1:17" x14ac:dyDescent="0.35">
      <c r="A380" s="13">
        <v>42914</v>
      </c>
      <c r="B380" s="14">
        <v>5252.9</v>
      </c>
      <c r="C380" s="2">
        <f t="shared" si="40"/>
        <v>-1.0801395053418039E-3</v>
      </c>
      <c r="D380" s="2">
        <f t="shared" si="41"/>
        <v>-1.6621491708294116E-2</v>
      </c>
      <c r="E380" s="3">
        <f t="shared" si="42"/>
        <v>1.5541352202952313E-2</v>
      </c>
      <c r="F380">
        <f t="shared" si="46"/>
        <v>8.7243707351065361E-2</v>
      </c>
      <c r="G380">
        <f t="shared" si="43"/>
        <v>0.17813722817182107</v>
      </c>
      <c r="H380">
        <f t="shared" si="47"/>
        <v>-0.41495637020942727</v>
      </c>
      <c r="P380" s="33">
        <f t="shared" si="44"/>
        <v>-2.7674637830499282E-3</v>
      </c>
      <c r="Q380" s="33">
        <f t="shared" si="45"/>
        <v>14.38828237102053</v>
      </c>
    </row>
    <row r="381" spans="1:17" x14ac:dyDescent="0.35">
      <c r="A381" s="13">
        <v>42915</v>
      </c>
      <c r="B381" s="14">
        <v>5154.3500000000004</v>
      </c>
      <c r="C381" s="2">
        <f t="shared" si="40"/>
        <v>-1.8761065316301284E-2</v>
      </c>
      <c r="D381" s="2">
        <f t="shared" si="41"/>
        <v>-9.3645928418995966E-3</v>
      </c>
      <c r="E381" s="3">
        <f t="shared" si="42"/>
        <v>-9.3964724744016875E-3</v>
      </c>
      <c r="F381">
        <f t="shared" si="46"/>
        <v>0.17921294004811525</v>
      </c>
      <c r="G381">
        <f t="shared" si="43"/>
        <v>-5.2431886178971869E-2</v>
      </c>
      <c r="H381">
        <f t="shared" si="47"/>
        <v>-0.40046448552319985</v>
      </c>
      <c r="P381" s="33">
        <f t="shared" si="44"/>
        <v>-2.0448389594009408E-2</v>
      </c>
      <c r="Q381" s="33">
        <f t="shared" si="45"/>
        <v>0.50084962212871753</v>
      </c>
    </row>
    <row r="382" spans="1:17" x14ac:dyDescent="0.35">
      <c r="A382" s="13">
        <v>42916</v>
      </c>
      <c r="B382" s="14">
        <v>5120.68</v>
      </c>
      <c r="C382" s="2">
        <f t="shared" si="40"/>
        <v>-6.5323464646366292E-3</v>
      </c>
      <c r="D382" s="2">
        <f t="shared" si="41"/>
        <v>-5.8344279379781566E-2</v>
      </c>
      <c r="E382" s="3">
        <f t="shared" si="42"/>
        <v>5.1811932915144937E-2</v>
      </c>
      <c r="F382">
        <f t="shared" si="46"/>
        <v>6.3879379082928928E-2</v>
      </c>
      <c r="G382">
        <f t="shared" si="43"/>
        <v>0.81109011482221993</v>
      </c>
      <c r="H382">
        <f t="shared" si="47"/>
        <v>-0.72802352136021842</v>
      </c>
      <c r="P382" s="33">
        <f t="shared" si="44"/>
        <v>-8.2196707423447535E-3</v>
      </c>
      <c r="Q382" s="33">
        <f t="shared" si="45"/>
        <v>7.9315959733049839</v>
      </c>
    </row>
    <row r="383" spans="1:17" x14ac:dyDescent="0.35">
      <c r="A383" s="13">
        <v>42919</v>
      </c>
      <c r="B383" s="14">
        <v>5195.72</v>
      </c>
      <c r="C383" s="2">
        <f t="shared" si="40"/>
        <v>1.4654303725286422E-2</v>
      </c>
      <c r="D383" s="2">
        <f t="shared" si="41"/>
        <v>-3.6185996341644468E-2</v>
      </c>
      <c r="E383" s="3">
        <f t="shared" si="42"/>
        <v>5.0840300066930889E-2</v>
      </c>
      <c r="F383">
        <f t="shared" si="46"/>
        <v>0.80428063262630922</v>
      </c>
      <c r="G383">
        <f t="shared" si="43"/>
        <v>6.3212140146799586E-2</v>
      </c>
      <c r="H383">
        <f t="shared" si="47"/>
        <v>-0.40108782151002687</v>
      </c>
      <c r="P383" s="33">
        <f t="shared" si="44"/>
        <v>1.2966979447578297E-2</v>
      </c>
      <c r="Q383" s="33">
        <f t="shared" si="45"/>
        <v>3.4693084721046481</v>
      </c>
    </row>
    <row r="384" spans="1:17" x14ac:dyDescent="0.35">
      <c r="A384" s="13">
        <v>42920</v>
      </c>
      <c r="B384" s="14">
        <v>5174.8999999999996</v>
      </c>
      <c r="C384" s="2">
        <f t="shared" si="40"/>
        <v>-4.0071443418815411E-3</v>
      </c>
      <c r="D384" s="2">
        <f t="shared" si="41"/>
        <v>3.9205261203190969E-2</v>
      </c>
      <c r="E384" s="3">
        <f t="shared" si="42"/>
        <v>-4.321240554507251E-2</v>
      </c>
      <c r="F384">
        <f t="shared" si="46"/>
        <v>0.12614984080017758</v>
      </c>
      <c r="G384">
        <f t="shared" si="43"/>
        <v>-0.34254823685050328</v>
      </c>
      <c r="H384">
        <f t="shared" si="47"/>
        <v>-0.45775958146375179</v>
      </c>
      <c r="P384" s="33">
        <f t="shared" si="44"/>
        <v>-5.6944686195896654E-3</v>
      </c>
      <c r="Q384" s="33">
        <f t="shared" si="45"/>
        <v>10.783840525390776</v>
      </c>
    </row>
    <row r="385" spans="1:17" x14ac:dyDescent="0.35">
      <c r="A385" s="13">
        <v>42921</v>
      </c>
      <c r="B385" s="14">
        <v>5180.1000000000004</v>
      </c>
      <c r="C385" s="2">
        <f t="shared" si="40"/>
        <v>1.0048503352724225E-3</v>
      </c>
      <c r="D385" s="2">
        <f t="shared" si="41"/>
        <v>3.8822086266338159E-4</v>
      </c>
      <c r="E385" s="3">
        <f t="shared" si="42"/>
        <v>6.1662947260904093E-4</v>
      </c>
      <c r="F385">
        <f t="shared" si="46"/>
        <v>0.34105546605165049</v>
      </c>
      <c r="G385">
        <f t="shared" si="43"/>
        <v>1.8080034891323415E-3</v>
      </c>
      <c r="H385">
        <f t="shared" si="47"/>
        <v>-0.39909156861736589</v>
      </c>
      <c r="P385" s="33">
        <f t="shared" si="44"/>
        <v>-6.8247394243570181E-4</v>
      </c>
      <c r="Q385" s="33">
        <f t="shared" si="45"/>
        <v>0.61365304957764488</v>
      </c>
    </row>
    <row r="386" spans="1:17" x14ac:dyDescent="0.35">
      <c r="A386" s="13">
        <v>42922</v>
      </c>
      <c r="B386" s="14">
        <v>5152.3999999999996</v>
      </c>
      <c r="C386" s="2">
        <f t="shared" si="40"/>
        <v>-5.347387116078961E-3</v>
      </c>
      <c r="D386" s="2">
        <f t="shared" si="41"/>
        <v>-3.8427263589766716E-4</v>
      </c>
      <c r="E386" s="3">
        <f t="shared" si="42"/>
        <v>-4.9631144801812934E-3</v>
      </c>
      <c r="F386">
        <f t="shared" si="46"/>
        <v>5.326829119214193E-2</v>
      </c>
      <c r="G386">
        <f t="shared" si="43"/>
        <v>-9.3172023526698858E-2</v>
      </c>
      <c r="H386">
        <f t="shared" si="47"/>
        <v>-0.4034304471630874</v>
      </c>
      <c r="P386" s="33">
        <f t="shared" si="44"/>
        <v>-7.0347113937870853E-3</v>
      </c>
      <c r="Q386" s="33">
        <f t="shared" si="45"/>
        <v>0.92813824255547062</v>
      </c>
    </row>
    <row r="387" spans="1:17" x14ac:dyDescent="0.35">
      <c r="A387" s="13">
        <v>42923</v>
      </c>
      <c r="B387" s="14">
        <v>5145.16</v>
      </c>
      <c r="C387" s="2">
        <f t="shared" si="40"/>
        <v>-1.4051704060242809E-3</v>
      </c>
      <c r="D387" s="2">
        <f t="shared" si="41"/>
        <v>-1.5496384804622943E-2</v>
      </c>
      <c r="E387" s="3">
        <f t="shared" si="42"/>
        <v>1.4091214398598662E-2</v>
      </c>
      <c r="F387">
        <f t="shared" si="46"/>
        <v>9.6953213226627241E-2</v>
      </c>
      <c r="G387">
        <f t="shared" si="43"/>
        <v>0.1453403546890249</v>
      </c>
      <c r="H387">
        <f t="shared" si="47"/>
        <v>-0.40965184352962331</v>
      </c>
      <c r="P387" s="33">
        <f t="shared" si="44"/>
        <v>-3.0924946837324052E-3</v>
      </c>
      <c r="Q387" s="33">
        <f t="shared" si="45"/>
        <v>10.028117826981314</v>
      </c>
    </row>
    <row r="388" spans="1:17" x14ac:dyDescent="0.35">
      <c r="A388" s="13">
        <v>42926</v>
      </c>
      <c r="B388" s="14">
        <v>5165.6400000000003</v>
      </c>
      <c r="C388" s="2">
        <f t="shared" ref="C388:C451" si="48">(B388/B387)-1</f>
        <v>3.9804398697029786E-3</v>
      </c>
      <c r="D388" s="2">
        <f t="shared" si="41"/>
        <v>-8.9163163984439867E-3</v>
      </c>
      <c r="E388" s="3">
        <f t="shared" si="42"/>
        <v>1.2896756268146965E-2</v>
      </c>
      <c r="F388">
        <f t="shared" si="46"/>
        <v>0.1474142060054601</v>
      </c>
      <c r="G388">
        <f t="shared" si="43"/>
        <v>8.7486522619599369E-2</v>
      </c>
      <c r="H388">
        <f t="shared" si="47"/>
        <v>-0.40291687999909237</v>
      </c>
      <c r="P388" s="33">
        <f t="shared" si="44"/>
        <v>2.2931155919948543E-3</v>
      </c>
      <c r="Q388" s="33">
        <f t="shared" si="45"/>
        <v>3.2400329336238221</v>
      </c>
    </row>
    <row r="389" spans="1:17" x14ac:dyDescent="0.35">
      <c r="A389" s="13">
        <v>42927</v>
      </c>
      <c r="B389" s="14">
        <v>5140.6000000000004</v>
      </c>
      <c r="C389" s="2">
        <f t="shared" si="48"/>
        <v>-4.8474148411425944E-3</v>
      </c>
      <c r="D389" s="2">
        <f t="shared" si="41"/>
        <v>1.0967723644587259E-2</v>
      </c>
      <c r="E389" s="3">
        <f t="shared" si="42"/>
        <v>-1.5815138485729852E-2</v>
      </c>
      <c r="F389">
        <f t="shared" si="46"/>
        <v>9.3367129523178216E-2</v>
      </c>
      <c r="G389">
        <f t="shared" si="43"/>
        <v>-0.16938657712298816</v>
      </c>
      <c r="H389">
        <f t="shared" si="47"/>
        <v>-0.41343584043377851</v>
      </c>
      <c r="P389" s="33">
        <f t="shared" si="44"/>
        <v>-6.5347391188507187E-3</v>
      </c>
      <c r="Q389" s="33">
        <f t="shared" si="45"/>
        <v>3.2625923309674962</v>
      </c>
    </row>
    <row r="390" spans="1:17" x14ac:dyDescent="0.35">
      <c r="A390" s="13">
        <v>42928</v>
      </c>
      <c r="B390" s="14">
        <v>5222.13</v>
      </c>
      <c r="C390" s="2">
        <f t="shared" si="48"/>
        <v>1.5860016340504934E-2</v>
      </c>
      <c r="D390" s="2">
        <f t="shared" ref="D390:D453" si="49">C389*$K$10+C388*$K$9</f>
        <v>-1.1397634459847206E-2</v>
      </c>
      <c r="E390" s="3">
        <f t="shared" ref="E390:E453" si="50">C390-D390</f>
        <v>2.725765080035214E-2</v>
      </c>
      <c r="F390">
        <f t="shared" si="46"/>
        <v>0.17073459049623976</v>
      </c>
      <c r="G390">
        <f t="shared" ref="G390:G453" si="51">E390/F390</f>
        <v>0.15964925866005142</v>
      </c>
      <c r="H390">
        <f t="shared" si="47"/>
        <v>-0.41183387707440955</v>
      </c>
      <c r="P390" s="33">
        <f t="shared" ref="P390:P453" si="52" xml:space="preserve"> C390-$K$16</f>
        <v>1.417269206279681E-2</v>
      </c>
      <c r="Q390" s="33">
        <f t="shared" ref="Q390:Q453" si="53" xml:space="preserve"> ABS(E390)/ABS(C390)</f>
        <v>1.7186395155683893</v>
      </c>
    </row>
    <row r="391" spans="1:17" x14ac:dyDescent="0.35">
      <c r="A391" s="13">
        <v>42929</v>
      </c>
      <c r="B391" s="14">
        <v>5235.3999999999996</v>
      </c>
      <c r="C391" s="2">
        <f t="shared" si="48"/>
        <v>2.5411087046856018E-3</v>
      </c>
      <c r="D391" s="2">
        <f t="shared" si="49"/>
        <v>4.4349493813526028E-2</v>
      </c>
      <c r="E391" s="3">
        <f t="shared" si="50"/>
        <v>-4.1808385108840426E-2</v>
      </c>
      <c r="F391">
        <f t="shared" ref="F391:F454" si="54">($K$5+$K$6*G390^2+$K$7*F390^2)^(1/2)</f>
        <v>0.16234819515738538</v>
      </c>
      <c r="G391">
        <f t="shared" si="51"/>
        <v>-0.25752294362318029</v>
      </c>
      <c r="H391">
        <f t="shared" ref="H391:H454" si="55">- (G391^2)/2 - LOG(2*PI())/2</f>
        <v>-0.43224896742523139</v>
      </c>
      <c r="P391" s="33">
        <f t="shared" si="52"/>
        <v>8.5378442697747747E-4</v>
      </c>
      <c r="Q391" s="33">
        <f t="shared" si="53"/>
        <v>16.452812519098099</v>
      </c>
    </row>
    <row r="392" spans="1:17" x14ac:dyDescent="0.35">
      <c r="A392" s="13">
        <v>42930</v>
      </c>
      <c r="B392" s="14">
        <v>5235.3100000000004</v>
      </c>
      <c r="C392" s="2">
        <f t="shared" si="48"/>
        <v>-1.7190663559429886E-5</v>
      </c>
      <c r="D392" s="2">
        <f t="shared" si="49"/>
        <v>2.1467771788776235E-2</v>
      </c>
      <c r="E392" s="3">
        <f t="shared" si="50"/>
        <v>-2.1484962452335665E-2</v>
      </c>
      <c r="F392">
        <f t="shared" si="54"/>
        <v>0.25768298003588835</v>
      </c>
      <c r="G392">
        <f t="shared" si="51"/>
        <v>-8.3377499163287322E-2</v>
      </c>
      <c r="H392">
        <f t="shared" si="55"/>
        <v>-0.40256583786241951</v>
      </c>
      <c r="P392" s="33">
        <f t="shared" si="52"/>
        <v>-1.7045149412675542E-3</v>
      </c>
      <c r="Q392" s="33">
        <f t="shared" si="53"/>
        <v>1249.8041380462103</v>
      </c>
    </row>
    <row r="393" spans="1:17" x14ac:dyDescent="0.35">
      <c r="A393" s="13">
        <v>42933</v>
      </c>
      <c r="B393" s="14">
        <v>5230.17</v>
      </c>
      <c r="C393" s="2">
        <f t="shared" si="48"/>
        <v>-9.8179477433046891E-4</v>
      </c>
      <c r="D393" s="2">
        <f t="shared" si="49"/>
        <v>2.1410730872132226E-3</v>
      </c>
      <c r="E393" s="3">
        <f t="shared" si="50"/>
        <v>-3.1228678615436915E-3</v>
      </c>
      <c r="F393">
        <f t="shared" si="54"/>
        <v>9.3802563004511771E-2</v>
      </c>
      <c r="G393">
        <f t="shared" si="51"/>
        <v>-3.3291924671541073E-2</v>
      </c>
      <c r="H393">
        <f t="shared" si="55"/>
        <v>-0.39964411030322533</v>
      </c>
      <c r="P393" s="33">
        <f t="shared" si="52"/>
        <v>-2.6691190520385932E-3</v>
      </c>
      <c r="Q393" s="33">
        <f t="shared" si="53"/>
        <v>3.1807745805871894</v>
      </c>
    </row>
    <row r="394" spans="1:17" x14ac:dyDescent="0.35">
      <c r="A394" s="13">
        <v>42934</v>
      </c>
      <c r="B394" s="14">
        <v>5173.2700000000004</v>
      </c>
      <c r="C394" s="2">
        <f t="shared" si="48"/>
        <v>-1.0879187483389563E-2</v>
      </c>
      <c r="D394" s="2">
        <f t="shared" si="49"/>
        <v>-3.0192872337276842E-3</v>
      </c>
      <c r="E394" s="3">
        <f t="shared" si="50"/>
        <v>-7.8599002496618792E-3</v>
      </c>
      <c r="F394">
        <f t="shared" si="54"/>
        <v>4.5465140458147764E-2</v>
      </c>
      <c r="G394">
        <f t="shared" si="51"/>
        <v>-0.1728775094601806</v>
      </c>
      <c r="H394">
        <f t="shared" si="55"/>
        <v>-0.41403325081763492</v>
      </c>
      <c r="P394" s="33">
        <f t="shared" si="52"/>
        <v>-1.2566511761097687E-2</v>
      </c>
      <c r="Q394" s="33">
        <f t="shared" si="53"/>
        <v>0.72247125639322263</v>
      </c>
    </row>
    <row r="395" spans="1:17" x14ac:dyDescent="0.35">
      <c r="A395" s="13">
        <v>42935</v>
      </c>
      <c r="B395" s="14">
        <v>5216.07</v>
      </c>
      <c r="C395" s="2">
        <f t="shared" si="48"/>
        <v>8.2732971602099692E-3</v>
      </c>
      <c r="D395" s="2">
        <f t="shared" si="49"/>
        <v>-3.4139590742914436E-2</v>
      </c>
      <c r="E395" s="3">
        <f t="shared" si="50"/>
        <v>4.2412887903124405E-2</v>
      </c>
      <c r="F395">
        <f t="shared" si="54"/>
        <v>0.17380663059209964</v>
      </c>
      <c r="G395">
        <f t="shared" si="51"/>
        <v>0.24402341705053615</v>
      </c>
      <c r="H395">
        <f t="shared" si="55"/>
        <v>-0.42886364821356748</v>
      </c>
      <c r="P395" s="33">
        <f t="shared" si="52"/>
        <v>6.5859728825018449E-3</v>
      </c>
      <c r="Q395" s="33">
        <f t="shared" si="53"/>
        <v>5.1264794533317604</v>
      </c>
    </row>
    <row r="396" spans="1:17" x14ac:dyDescent="0.35">
      <c r="A396" s="13">
        <v>42936</v>
      </c>
      <c r="B396" s="14">
        <v>5199.22</v>
      </c>
      <c r="C396" s="2">
        <f t="shared" si="48"/>
        <v>-3.2304014324959773E-3</v>
      </c>
      <c r="D396" s="2">
        <f t="shared" si="49"/>
        <v>1.5925848813191562E-2</v>
      </c>
      <c r="E396" s="3">
        <f t="shared" si="50"/>
        <v>-1.9156250245687539E-2</v>
      </c>
      <c r="F396">
        <f t="shared" si="54"/>
        <v>0.24457881346034216</v>
      </c>
      <c r="G396">
        <f t="shared" si="51"/>
        <v>-7.8323424562666291E-2</v>
      </c>
      <c r="H396">
        <f t="shared" si="55"/>
        <v>-0.40215721359666934</v>
      </c>
      <c r="P396" s="33">
        <f t="shared" si="52"/>
        <v>-4.9177257102041017E-3</v>
      </c>
      <c r="Q396" s="33">
        <f t="shared" si="53"/>
        <v>5.9299906361440708</v>
      </c>
    </row>
    <row r="397" spans="1:17" x14ac:dyDescent="0.35">
      <c r="A397" s="13">
        <v>42937</v>
      </c>
      <c r="B397" s="14">
        <v>5117.66</v>
      </c>
      <c r="C397" s="2">
        <f t="shared" si="48"/>
        <v>-1.5686968429879933E-2</v>
      </c>
      <c r="D397" s="2">
        <f t="shared" si="49"/>
        <v>-2.7433957786947329E-3</v>
      </c>
      <c r="E397" s="3">
        <f t="shared" si="50"/>
        <v>-1.29435726511852E-2</v>
      </c>
      <c r="F397">
        <f t="shared" si="54"/>
        <v>8.8785513434240765E-2</v>
      </c>
      <c r="G397">
        <f t="shared" si="51"/>
        <v>-0.1457847361638776</v>
      </c>
      <c r="H397">
        <f t="shared" si="55"/>
        <v>-0.40971652882824322</v>
      </c>
      <c r="P397" s="33">
        <f t="shared" si="52"/>
        <v>-1.7374292707588057E-2</v>
      </c>
      <c r="Q397" s="33">
        <f t="shared" si="53"/>
        <v>0.8251162555112167</v>
      </c>
    </row>
    <row r="398" spans="1:17" x14ac:dyDescent="0.35">
      <c r="A398" s="13">
        <v>42940</v>
      </c>
      <c r="B398" s="14">
        <v>5127.7</v>
      </c>
      <c r="C398" s="2">
        <f t="shared" si="48"/>
        <v>1.9618341195000166E-3</v>
      </c>
      <c r="D398" s="2">
        <f t="shared" si="49"/>
        <v>-5.0793328229702894E-2</v>
      </c>
      <c r="E398" s="3">
        <f t="shared" si="50"/>
        <v>5.2755162349202911E-2</v>
      </c>
      <c r="F398">
        <f t="shared" si="54"/>
        <v>0.1477558744048601</v>
      </c>
      <c r="G398">
        <f t="shared" si="51"/>
        <v>0.35704274068082431</v>
      </c>
      <c r="H398">
        <f t="shared" si="55"/>
        <v>-0.46282969351549469</v>
      </c>
      <c r="P398" s="33">
        <f t="shared" si="52"/>
        <v>2.7450984179189231E-4</v>
      </c>
      <c r="Q398" s="33">
        <f t="shared" si="53"/>
        <v>26.890735472909316</v>
      </c>
    </row>
    <row r="399" spans="1:17" x14ac:dyDescent="0.35">
      <c r="A399" s="13">
        <v>42941</v>
      </c>
      <c r="B399" s="14">
        <v>5161.08</v>
      </c>
      <c r="C399" s="2">
        <f t="shared" si="48"/>
        <v>6.5097412095092011E-3</v>
      </c>
      <c r="D399" s="2">
        <f t="shared" si="49"/>
        <v>-7.5386679896624542E-3</v>
      </c>
      <c r="E399" s="3">
        <f t="shared" si="50"/>
        <v>1.4048409199171656E-2</v>
      </c>
      <c r="F399">
        <f t="shared" si="54"/>
        <v>0.35549656098497273</v>
      </c>
      <c r="G399">
        <f t="shared" si="51"/>
        <v>3.9517707738853484E-2</v>
      </c>
      <c r="H399">
        <f t="shared" si="55"/>
        <v>-0.39987075879152423</v>
      </c>
      <c r="P399" s="33">
        <f t="shared" si="52"/>
        <v>4.8224169318010768E-3</v>
      </c>
      <c r="Q399" s="33">
        <f t="shared" si="53"/>
        <v>2.158059552144751</v>
      </c>
    </row>
    <row r="400" spans="1:17" x14ac:dyDescent="0.35">
      <c r="A400" s="13">
        <v>42942</v>
      </c>
      <c r="B400" s="14">
        <v>5190.17</v>
      </c>
      <c r="C400" s="2">
        <f t="shared" si="48"/>
        <v>5.6364171840002086E-3</v>
      </c>
      <c r="D400" s="2">
        <f t="shared" si="49"/>
        <v>2.1614440494244502E-2</v>
      </c>
      <c r="E400" s="3">
        <f t="shared" si="50"/>
        <v>-1.5978023310244293E-2</v>
      </c>
      <c r="F400">
        <f t="shared" si="54"/>
        <v>6.7389182848766063E-2</v>
      </c>
      <c r="G400">
        <f t="shared" si="51"/>
        <v>-0.23710071312338016</v>
      </c>
      <c r="H400">
        <f t="shared" si="55"/>
        <v>-0.42719830826086524</v>
      </c>
      <c r="P400" s="33">
        <f t="shared" si="52"/>
        <v>3.9490929062920843E-3</v>
      </c>
      <c r="Q400" s="33">
        <f t="shared" si="53"/>
        <v>2.8347836557592365</v>
      </c>
    </row>
    <row r="401" spans="1:17" x14ac:dyDescent="0.35">
      <c r="A401" s="13">
        <v>42943</v>
      </c>
      <c r="B401" s="14">
        <v>5186.95</v>
      </c>
      <c r="C401" s="2">
        <f t="shared" si="48"/>
        <v>-6.2040357059600648E-4</v>
      </c>
      <c r="D401" s="2">
        <f t="shared" si="49"/>
        <v>2.2868032123551346E-2</v>
      </c>
      <c r="E401" s="3">
        <f t="shared" si="50"/>
        <v>-2.3488435694147353E-2</v>
      </c>
      <c r="F401">
        <f t="shared" si="54"/>
        <v>0.23686576888571359</v>
      </c>
      <c r="G401">
        <f t="shared" si="51"/>
        <v>-9.9163487424307362E-2</v>
      </c>
      <c r="H401">
        <f t="shared" si="55"/>
        <v>-0.40400663279813293</v>
      </c>
      <c r="P401" s="33">
        <f t="shared" si="52"/>
        <v>-2.3077278483041308E-3</v>
      </c>
      <c r="Q401" s="33">
        <f t="shared" si="53"/>
        <v>37.859929902696386</v>
      </c>
    </row>
    <row r="402" spans="1:17" x14ac:dyDescent="0.35">
      <c r="A402" s="13">
        <v>42944</v>
      </c>
      <c r="B402" s="14">
        <v>5131.3900000000003</v>
      </c>
      <c r="C402" s="2">
        <f t="shared" si="48"/>
        <v>-1.0711497122586344E-2</v>
      </c>
      <c r="D402" s="2">
        <f t="shared" si="49"/>
        <v>2.9672532320672981E-3</v>
      </c>
      <c r="E402" s="3">
        <f t="shared" si="50"/>
        <v>-1.3678750354653643E-2</v>
      </c>
      <c r="F402">
        <f t="shared" si="54"/>
        <v>0.10700808380167862</v>
      </c>
      <c r="G402">
        <f t="shared" si="51"/>
        <v>-0.12782913092813525</v>
      </c>
      <c r="H402">
        <f t="shared" si="55"/>
        <v>-0.4072600775359787</v>
      </c>
      <c r="P402" s="33">
        <f t="shared" si="52"/>
        <v>-1.2398821400294469E-2</v>
      </c>
      <c r="Q402" s="33">
        <f t="shared" si="53"/>
        <v>1.2770157334786121</v>
      </c>
    </row>
    <row r="403" spans="1:17" x14ac:dyDescent="0.35">
      <c r="A403" s="13">
        <v>42947</v>
      </c>
      <c r="B403" s="14">
        <v>5093.7700000000004</v>
      </c>
      <c r="C403" s="2">
        <f t="shared" si="48"/>
        <v>-7.3313468670281878E-3</v>
      </c>
      <c r="D403" s="2">
        <f t="shared" si="49"/>
        <v>-3.3314451271591251E-2</v>
      </c>
      <c r="E403" s="3">
        <f t="shared" si="50"/>
        <v>2.5983104404563064E-2</v>
      </c>
      <c r="F403">
        <f t="shared" si="54"/>
        <v>0.13064959115481317</v>
      </c>
      <c r="G403">
        <f t="shared" si="51"/>
        <v>0.19887627795003504</v>
      </c>
      <c r="H403">
        <f t="shared" si="55"/>
        <v>-0.41886582114468734</v>
      </c>
      <c r="P403" s="33">
        <f t="shared" si="52"/>
        <v>-9.0186711447363122E-3</v>
      </c>
      <c r="Q403" s="33">
        <f t="shared" si="53"/>
        <v>3.5441106355803207</v>
      </c>
    </row>
    <row r="404" spans="1:17" x14ac:dyDescent="0.35">
      <c r="A404" s="13">
        <v>42948</v>
      </c>
      <c r="B404" s="14">
        <v>5127.03</v>
      </c>
      <c r="C404" s="2">
        <f t="shared" si="48"/>
        <v>6.5295449146700602E-3</v>
      </c>
      <c r="D404" s="2">
        <f t="shared" si="49"/>
        <v>-3.1682061228554999E-2</v>
      </c>
      <c r="E404" s="3">
        <f t="shared" si="50"/>
        <v>3.8211606143225059E-2</v>
      </c>
      <c r="F404">
        <f t="shared" si="54"/>
        <v>0.19989496835699805</v>
      </c>
      <c r="G404">
        <f t="shared" si="51"/>
        <v>0.19115841913029985</v>
      </c>
      <c r="H404">
        <f t="shared" si="55"/>
        <v>-0.4173607047812552</v>
      </c>
      <c r="P404" s="33">
        <f t="shared" si="52"/>
        <v>4.8422206369619358E-3</v>
      </c>
      <c r="Q404" s="33">
        <f t="shared" si="53"/>
        <v>5.8521086297108198</v>
      </c>
    </row>
    <row r="405" spans="1:17" x14ac:dyDescent="0.35">
      <c r="A405" s="13">
        <v>42949</v>
      </c>
      <c r="B405" s="14">
        <v>5107.25</v>
      </c>
      <c r="C405" s="2">
        <f t="shared" si="48"/>
        <v>-3.8579840570466262E-3</v>
      </c>
      <c r="D405" s="2">
        <f t="shared" si="49"/>
        <v>1.3652458926275798E-2</v>
      </c>
      <c r="E405" s="3">
        <f t="shared" si="50"/>
        <v>-1.7510442983322425E-2</v>
      </c>
      <c r="F405">
        <f t="shared" si="54"/>
        <v>0.19338357412379517</v>
      </c>
      <c r="G405">
        <f t="shared" si="51"/>
        <v>-9.0547726520521607E-2</v>
      </c>
      <c r="H405">
        <f t="shared" si="55"/>
        <v>-0.4031893795680751</v>
      </c>
      <c r="P405" s="33">
        <f t="shared" si="52"/>
        <v>-5.5453083347547505E-3</v>
      </c>
      <c r="Q405" s="33">
        <f t="shared" si="53"/>
        <v>4.5387546253177273</v>
      </c>
    </row>
    <row r="406" spans="1:17" x14ac:dyDescent="0.35">
      <c r="A406" s="13">
        <v>42950</v>
      </c>
      <c r="B406" s="14">
        <v>5130.49</v>
      </c>
      <c r="C406" s="2">
        <f t="shared" si="48"/>
        <v>4.5503940476772087E-3</v>
      </c>
      <c r="D406" s="2">
        <f t="shared" si="49"/>
        <v>-6.1692378433208291E-3</v>
      </c>
      <c r="E406" s="3">
        <f t="shared" si="50"/>
        <v>1.0719631890998038E-2</v>
      </c>
      <c r="F406">
        <f t="shared" si="54"/>
        <v>9.7585476649383912E-2</v>
      </c>
      <c r="G406">
        <f t="shared" si="51"/>
        <v>0.10984863997244937</v>
      </c>
      <c r="H406">
        <f t="shared" si="55"/>
        <v>-0.40512329603095593</v>
      </c>
      <c r="P406" s="33">
        <f t="shared" si="52"/>
        <v>2.8630697699690844E-3</v>
      </c>
      <c r="Q406" s="33">
        <f t="shared" si="53"/>
        <v>2.3557590350818023</v>
      </c>
    </row>
    <row r="407" spans="1:17" x14ac:dyDescent="0.35">
      <c r="A407" s="13">
        <v>42951</v>
      </c>
      <c r="B407" s="14">
        <v>5203.4399999999996</v>
      </c>
      <c r="C407" s="2">
        <f t="shared" si="48"/>
        <v>1.4218914762527568E-2</v>
      </c>
      <c r="D407" s="2">
        <f t="shared" si="49"/>
        <v>1.0594417176996185E-2</v>
      </c>
      <c r="E407" s="3">
        <f t="shared" si="50"/>
        <v>3.6244975855313829E-3</v>
      </c>
      <c r="F407">
        <f t="shared" si="54"/>
        <v>0.11331270277262241</v>
      </c>
      <c r="G407">
        <f t="shared" si="51"/>
        <v>3.1986683724281449E-2</v>
      </c>
      <c r="H407">
        <f t="shared" si="55"/>
        <v>-0.39960150814689616</v>
      </c>
      <c r="P407" s="33">
        <f t="shared" si="52"/>
        <v>1.2531590484819444E-2</v>
      </c>
      <c r="Q407" s="33">
        <f t="shared" si="53"/>
        <v>0.25490676651943645</v>
      </c>
    </row>
    <row r="408" spans="1:17" x14ac:dyDescent="0.35">
      <c r="A408" s="13">
        <v>42954</v>
      </c>
      <c r="B408" s="14">
        <v>5207.8900000000003</v>
      </c>
      <c r="C408" s="2">
        <f t="shared" si="48"/>
        <v>8.5520348077450237E-4</v>
      </c>
      <c r="D408" s="2">
        <f t="shared" si="49"/>
        <v>4.7440370846819811E-2</v>
      </c>
      <c r="E408" s="3">
        <f t="shared" si="50"/>
        <v>-4.6585167366045309E-2</v>
      </c>
      <c r="F408">
        <f t="shared" si="54"/>
        <v>4.5311705965853766E-2</v>
      </c>
      <c r="G408">
        <f t="shared" si="51"/>
        <v>-1.0281044682173566</v>
      </c>
      <c r="H408">
        <f t="shared" si="55"/>
        <v>-0.92758933296330426</v>
      </c>
      <c r="P408" s="33">
        <f t="shared" si="52"/>
        <v>-8.3212079693362195E-4</v>
      </c>
      <c r="Q408" s="33">
        <f t="shared" si="53"/>
        <v>54.472611972832645</v>
      </c>
    </row>
    <row r="409" spans="1:17" x14ac:dyDescent="0.35">
      <c r="A409" s="13">
        <v>42955</v>
      </c>
      <c r="B409" s="14">
        <v>5218.8900000000003</v>
      </c>
      <c r="C409" s="2">
        <f t="shared" si="48"/>
        <v>2.1121797887435623E-3</v>
      </c>
      <c r="D409" s="2">
        <f t="shared" si="49"/>
        <v>1.4891911465078516E-2</v>
      </c>
      <c r="E409" s="3">
        <f t="shared" si="50"/>
        <v>-1.2779731676334954E-2</v>
      </c>
      <c r="F409">
        <f t="shared" si="54"/>
        <v>1.0191888369121518</v>
      </c>
      <c r="G409">
        <f t="shared" si="51"/>
        <v>-1.253912053732246E-2</v>
      </c>
      <c r="H409">
        <f t="shared" si="55"/>
        <v>-0.39916854895098225</v>
      </c>
      <c r="P409" s="33">
        <f t="shared" si="52"/>
        <v>4.2485551103543795E-4</v>
      </c>
      <c r="Q409" s="33">
        <f t="shared" si="53"/>
        <v>6.0504942545336178</v>
      </c>
    </row>
    <row r="410" spans="1:17" x14ac:dyDescent="0.35">
      <c r="A410" s="13">
        <v>42956</v>
      </c>
      <c r="B410" s="14">
        <v>5145.7</v>
      </c>
      <c r="C410" s="2">
        <f t="shared" si="48"/>
        <v>-1.4024054923556628E-2</v>
      </c>
      <c r="D410" s="2">
        <f t="shared" si="49"/>
        <v>7.2018804619187688E-3</v>
      </c>
      <c r="E410" s="3">
        <f t="shared" si="50"/>
        <v>-2.1225935385475396E-2</v>
      </c>
      <c r="F410">
        <f t="shared" si="54"/>
        <v>0.13750461618760484</v>
      </c>
      <c r="G410">
        <f t="shared" si="51"/>
        <v>-0.15436525677447605</v>
      </c>
      <c r="H410">
        <f t="shared" si="55"/>
        <v>-0.41100425042858246</v>
      </c>
      <c r="P410" s="33">
        <f t="shared" si="52"/>
        <v>-1.5711379201264752E-2</v>
      </c>
      <c r="Q410" s="33">
        <f t="shared" si="53"/>
        <v>1.5135376680407571</v>
      </c>
    </row>
    <row r="411" spans="1:17" x14ac:dyDescent="0.35">
      <c r="A411" s="13">
        <v>42957</v>
      </c>
      <c r="B411" s="14">
        <v>5115.2299999999996</v>
      </c>
      <c r="C411" s="2">
        <f t="shared" si="48"/>
        <v>-5.9214489768156797E-3</v>
      </c>
      <c r="D411" s="2">
        <f t="shared" si="49"/>
        <v>-4.109242608751932E-2</v>
      </c>
      <c r="E411" s="3">
        <f t="shared" si="50"/>
        <v>3.517097711070364E-2</v>
      </c>
      <c r="F411">
        <f t="shared" si="54"/>
        <v>0.1566873466012535</v>
      </c>
      <c r="G411">
        <f t="shared" si="51"/>
        <v>0.22446596916475112</v>
      </c>
      <c r="H411">
        <f t="shared" si="55"/>
        <v>-0.42428241983559301</v>
      </c>
      <c r="P411" s="33">
        <f t="shared" si="52"/>
        <v>-7.608773254523804E-3</v>
      </c>
      <c r="Q411" s="33">
        <f t="shared" si="53"/>
        <v>5.9395896592893038</v>
      </c>
    </row>
    <row r="412" spans="1:17" x14ac:dyDescent="0.35">
      <c r="A412" s="13">
        <v>42958</v>
      </c>
      <c r="B412" s="14">
        <v>5060.92</v>
      </c>
      <c r="C412" s="2">
        <f t="shared" si="48"/>
        <v>-1.0617313395487549E-2</v>
      </c>
      <c r="D412" s="2">
        <f t="shared" si="49"/>
        <v>-3.0227204244995816E-2</v>
      </c>
      <c r="E412" s="3">
        <f t="shared" si="50"/>
        <v>1.9609890849508267E-2</v>
      </c>
      <c r="F412">
        <f t="shared" si="54"/>
        <v>0.22522077463532952</v>
      </c>
      <c r="G412">
        <f t="shared" si="51"/>
        <v>8.7069635921730545E-2</v>
      </c>
      <c r="H412">
        <f t="shared" si="55"/>
        <v>-0.40288049492882888</v>
      </c>
      <c r="P412" s="33">
        <f t="shared" si="52"/>
        <v>-1.2304637673195673E-2</v>
      </c>
      <c r="Q412" s="33">
        <f t="shared" si="53"/>
        <v>1.8469729694371311</v>
      </c>
    </row>
    <row r="413" spans="1:17" x14ac:dyDescent="0.35">
      <c r="A413" s="13">
        <v>42961</v>
      </c>
      <c r="B413" s="14">
        <v>5121.67</v>
      </c>
      <c r="C413" s="2">
        <f t="shared" si="48"/>
        <v>1.200374635441781E-2</v>
      </c>
      <c r="D413" s="2">
        <f t="shared" si="49"/>
        <v>-3.7602501715253929E-2</v>
      </c>
      <c r="E413" s="3">
        <f t="shared" si="50"/>
        <v>4.9606248069671739E-2</v>
      </c>
      <c r="F413">
        <f t="shared" si="54"/>
        <v>9.5636408772429821E-2</v>
      </c>
      <c r="G413">
        <f t="shared" si="51"/>
        <v>0.51869626543288072</v>
      </c>
      <c r="H413">
        <f t="shared" si="55"/>
        <v>-0.53361284206606618</v>
      </c>
      <c r="P413" s="33">
        <f t="shared" si="52"/>
        <v>1.0316422076709686E-2</v>
      </c>
      <c r="Q413" s="33">
        <f t="shared" si="53"/>
        <v>4.1325638350742775</v>
      </c>
    </row>
    <row r="414" spans="1:17" x14ac:dyDescent="0.35">
      <c r="A414" s="13">
        <v>42962</v>
      </c>
      <c r="B414" s="14">
        <v>5140.25</v>
      </c>
      <c r="C414" s="2">
        <f t="shared" si="48"/>
        <v>3.6277229887906604E-3</v>
      </c>
      <c r="D414" s="2">
        <f t="shared" si="49"/>
        <v>2.7567681747583873E-2</v>
      </c>
      <c r="E414" s="3">
        <f t="shared" si="50"/>
        <v>-2.3939958758793213E-2</v>
      </c>
      <c r="F414">
        <f t="shared" si="54"/>
        <v>0.51494177308844991</v>
      </c>
      <c r="G414">
        <f t="shared" si="51"/>
        <v>-4.6490613133227242E-2</v>
      </c>
      <c r="H414">
        <f t="shared" si="55"/>
        <v>-0.40017062273380921</v>
      </c>
      <c r="P414" s="33">
        <f t="shared" si="52"/>
        <v>1.940398711082536E-3</v>
      </c>
      <c r="Q414" s="33">
        <f t="shared" si="53"/>
        <v>6.5991694605033366</v>
      </c>
    </row>
    <row r="415" spans="1:17" x14ac:dyDescent="0.35">
      <c r="A415" s="13">
        <v>42963</v>
      </c>
      <c r="B415" s="14">
        <v>5176.6099999999997</v>
      </c>
      <c r="C415" s="2">
        <f t="shared" si="48"/>
        <v>7.0735859150818925E-3</v>
      </c>
      <c r="D415" s="2">
        <f t="shared" si="49"/>
        <v>2.1463956012906751E-2</v>
      </c>
      <c r="E415" s="3">
        <f t="shared" si="50"/>
        <v>-1.4390370097824859E-2</v>
      </c>
      <c r="F415">
        <f t="shared" si="54"/>
        <v>8.6748554712739803E-2</v>
      </c>
      <c r="G415">
        <f t="shared" si="51"/>
        <v>-0.16588599251569439</v>
      </c>
      <c r="H415">
        <f t="shared" si="55"/>
        <v>-0.41284901543551605</v>
      </c>
      <c r="P415" s="33">
        <f t="shared" si="52"/>
        <v>5.3862616373737682E-3</v>
      </c>
      <c r="Q415" s="33">
        <f t="shared" si="53"/>
        <v>2.0343811852405072</v>
      </c>
    </row>
    <row r="416" spans="1:17" x14ac:dyDescent="0.35">
      <c r="A416" s="13">
        <v>42964</v>
      </c>
      <c r="B416" s="14">
        <v>5146.8500000000004</v>
      </c>
      <c r="C416" s="2">
        <f t="shared" si="48"/>
        <v>-5.7489360797895461E-3</v>
      </c>
      <c r="D416" s="2">
        <f t="shared" si="49"/>
        <v>2.4778016851938523E-2</v>
      </c>
      <c r="E416" s="3">
        <f t="shared" si="50"/>
        <v>-3.0526952931728069E-2</v>
      </c>
      <c r="F416">
        <f t="shared" si="54"/>
        <v>0.16726416936685393</v>
      </c>
      <c r="G416">
        <f t="shared" si="51"/>
        <v>-0.18250742551307866</v>
      </c>
      <c r="H416">
        <f t="shared" si="55"/>
        <v>-0.41574441436276349</v>
      </c>
      <c r="P416" s="33">
        <f t="shared" si="52"/>
        <v>-7.4362603574976704E-3</v>
      </c>
      <c r="Q416" s="33">
        <f t="shared" si="53"/>
        <v>5.3100178029541745</v>
      </c>
    </row>
    <row r="417" spans="1:17" x14ac:dyDescent="0.35">
      <c r="A417" s="13">
        <v>42965</v>
      </c>
      <c r="B417" s="14">
        <v>5114.1499999999996</v>
      </c>
      <c r="C417" s="2">
        <f t="shared" si="48"/>
        <v>-6.3534006236826146E-3</v>
      </c>
      <c r="D417" s="2">
        <f t="shared" si="49"/>
        <v>-1.1486191661775717E-2</v>
      </c>
      <c r="E417" s="3">
        <f t="shared" si="50"/>
        <v>5.1327910380931027E-3</v>
      </c>
      <c r="F417">
        <f t="shared" si="54"/>
        <v>0.18443515920778689</v>
      </c>
      <c r="G417">
        <f t="shared" si="51"/>
        <v>2.7829786143489257E-2</v>
      </c>
      <c r="H417">
        <f t="shared" si="55"/>
        <v>-0.39947718267745369</v>
      </c>
      <c r="P417" s="33">
        <f t="shared" si="52"/>
        <v>-8.0407249013907389E-3</v>
      </c>
      <c r="Q417" s="33">
        <f t="shared" si="53"/>
        <v>0.80788090380455002</v>
      </c>
    </row>
    <row r="418" spans="1:17" x14ac:dyDescent="0.35">
      <c r="A418" s="13">
        <v>42968</v>
      </c>
      <c r="B418" s="14">
        <v>5087.59</v>
      </c>
      <c r="C418" s="2">
        <f t="shared" si="48"/>
        <v>-5.1934339039721999E-3</v>
      </c>
      <c r="D418" s="2">
        <f t="shared" si="49"/>
        <v>-2.440532946060911E-2</v>
      </c>
      <c r="E418" s="3">
        <f t="shared" si="50"/>
        <v>1.921189555663691E-2</v>
      </c>
      <c r="F418">
        <f t="shared" si="54"/>
        <v>4.6631020151898642E-2</v>
      </c>
      <c r="G418">
        <f t="shared" si="51"/>
        <v>0.41199818262724996</v>
      </c>
      <c r="H418">
        <f t="shared" si="55"/>
        <v>-0.48396118542313593</v>
      </c>
      <c r="P418" s="33">
        <f t="shared" si="52"/>
        <v>-6.8807581816803243E-3</v>
      </c>
      <c r="Q418" s="33">
        <f t="shared" si="53"/>
        <v>3.6992664028982221</v>
      </c>
    </row>
    <row r="419" spans="1:17" x14ac:dyDescent="0.35">
      <c r="A419" s="13">
        <v>42969</v>
      </c>
      <c r="B419" s="14">
        <v>5131.8599999999997</v>
      </c>
      <c r="C419" s="2">
        <f t="shared" si="48"/>
        <v>8.7015659673832513E-3</v>
      </c>
      <c r="D419" s="2">
        <f t="shared" si="49"/>
        <v>-2.1377468241219395E-2</v>
      </c>
      <c r="E419" s="3">
        <f t="shared" si="50"/>
        <v>3.0079034208602647E-2</v>
      </c>
      <c r="F419">
        <f t="shared" si="54"/>
        <v>0.40931314073804775</v>
      </c>
      <c r="G419">
        <f t="shared" si="51"/>
        <v>7.3486607721330477E-2</v>
      </c>
      <c r="H419">
        <f t="shared" si="55"/>
        <v>-0.40179007493625191</v>
      </c>
      <c r="P419" s="33">
        <f t="shared" si="52"/>
        <v>7.014241689675127E-3</v>
      </c>
      <c r="Q419" s="33">
        <f t="shared" si="53"/>
        <v>3.4567380539721473</v>
      </c>
    </row>
    <row r="420" spans="1:17" x14ac:dyDescent="0.35">
      <c r="A420" s="13">
        <v>42970</v>
      </c>
      <c r="B420" s="14">
        <v>5115.3900000000003</v>
      </c>
      <c r="C420" s="2">
        <f t="shared" si="48"/>
        <v>-3.2093626872127246E-3</v>
      </c>
      <c r="D420" s="2">
        <f t="shared" si="49"/>
        <v>2.2144795951347614E-2</v>
      </c>
      <c r="E420" s="3">
        <f t="shared" si="50"/>
        <v>-2.5354158638560338E-2</v>
      </c>
      <c r="F420">
        <f t="shared" si="54"/>
        <v>9.4978027969068304E-2</v>
      </c>
      <c r="G420">
        <f t="shared" si="51"/>
        <v>-0.2669476212626512</v>
      </c>
      <c r="H420">
        <f t="shared" si="55"/>
        <v>-0.43472045042795149</v>
      </c>
      <c r="P420" s="33">
        <f t="shared" si="52"/>
        <v>-4.8966869649208489E-3</v>
      </c>
      <c r="Q420" s="33">
        <f t="shared" si="53"/>
        <v>7.9000602641703868</v>
      </c>
    </row>
    <row r="421" spans="1:17" x14ac:dyDescent="0.35">
      <c r="A421" s="13">
        <v>42971</v>
      </c>
      <c r="B421" s="14">
        <v>5113.13</v>
      </c>
      <c r="C421" s="2">
        <f t="shared" si="48"/>
        <v>-4.4180404622129466E-4</v>
      </c>
      <c r="D421" s="2">
        <f t="shared" si="49"/>
        <v>-2.3092995346587165E-3</v>
      </c>
      <c r="E421" s="3">
        <f t="shared" si="50"/>
        <v>1.8674954884374219E-3</v>
      </c>
      <c r="F421">
        <f t="shared" si="54"/>
        <v>0.26637363691641025</v>
      </c>
      <c r="G421">
        <f t="shared" si="51"/>
        <v>7.0108119934686099E-3</v>
      </c>
      <c r="H421">
        <f t="shared" si="55"/>
        <v>-0.39911450992146141</v>
      </c>
      <c r="P421" s="33">
        <f t="shared" si="52"/>
        <v>-2.129128323929419E-3</v>
      </c>
      <c r="Q421" s="33">
        <f t="shared" si="53"/>
        <v>4.2269768790257176</v>
      </c>
    </row>
    <row r="422" spans="1:17" x14ac:dyDescent="0.35">
      <c r="A422" s="13">
        <v>42972</v>
      </c>
      <c r="B422" s="14">
        <v>5104.33</v>
      </c>
      <c r="C422" s="2">
        <f t="shared" si="48"/>
        <v>-1.721059312006612E-3</v>
      </c>
      <c r="D422" s="2">
        <f t="shared" si="49"/>
        <v>-4.1225572366992303E-3</v>
      </c>
      <c r="E422" s="3">
        <f t="shared" si="50"/>
        <v>2.4014979246926183E-3</v>
      </c>
      <c r="F422">
        <f t="shared" si="54"/>
        <v>4.5822413443784397E-2</v>
      </c>
      <c r="G422">
        <f t="shared" si="51"/>
        <v>5.2408804866614256E-2</v>
      </c>
      <c r="H422">
        <f t="shared" si="55"/>
        <v>-0.40046327559283096</v>
      </c>
      <c r="P422" s="33">
        <f t="shared" si="52"/>
        <v>-3.4083835897147363E-3</v>
      </c>
      <c r="Q422" s="33">
        <f t="shared" si="53"/>
        <v>1.3953603504185288</v>
      </c>
    </row>
    <row r="423" spans="1:17" x14ac:dyDescent="0.35">
      <c r="A423" s="13">
        <v>42975</v>
      </c>
      <c r="B423" s="14">
        <v>5079.75</v>
      </c>
      <c r="C423" s="2">
        <f t="shared" si="48"/>
        <v>-4.8155193727678069E-3</v>
      </c>
      <c r="D423" s="2">
        <f t="shared" si="49"/>
        <v>-5.6481120985752732E-3</v>
      </c>
      <c r="E423" s="3">
        <f t="shared" si="50"/>
        <v>8.3259272580746627E-4</v>
      </c>
      <c r="F423">
        <f t="shared" si="54"/>
        <v>5.9667151520976729E-2</v>
      </c>
      <c r="G423">
        <f t="shared" si="51"/>
        <v>1.3953954639761176E-2</v>
      </c>
      <c r="H423">
        <f t="shared" si="55"/>
        <v>-0.3991872906041018</v>
      </c>
      <c r="P423" s="33">
        <f t="shared" si="52"/>
        <v>-6.5028436504759313E-3</v>
      </c>
      <c r="Q423" s="33">
        <f t="shared" si="53"/>
        <v>0.17289780423599843</v>
      </c>
    </row>
    <row r="424" spans="1:17" x14ac:dyDescent="0.35">
      <c r="A424" s="13">
        <v>42976</v>
      </c>
      <c r="B424" s="14">
        <v>5031.92</v>
      </c>
      <c r="C424" s="2">
        <f t="shared" si="48"/>
        <v>-9.415817707564389E-3</v>
      </c>
      <c r="D424" s="2">
        <f t="shared" si="49"/>
        <v>-1.6221999106925421E-2</v>
      </c>
      <c r="E424" s="3">
        <f t="shared" si="50"/>
        <v>6.8061813993610318E-3</v>
      </c>
      <c r="F424">
        <f t="shared" si="54"/>
        <v>3.2856570996332192E-2</v>
      </c>
      <c r="G424">
        <f t="shared" si="51"/>
        <v>0.20714825658833394</v>
      </c>
      <c r="H424">
        <f t="shared" si="55"/>
        <v>-0.42054513428285062</v>
      </c>
      <c r="P424" s="33">
        <f t="shared" si="52"/>
        <v>-1.1103141985272513E-2</v>
      </c>
      <c r="Q424" s="33">
        <f t="shared" si="53"/>
        <v>0.72284549369441886</v>
      </c>
    </row>
    <row r="425" spans="1:17" x14ac:dyDescent="0.35">
      <c r="A425" s="13">
        <v>42977</v>
      </c>
      <c r="B425" s="14">
        <v>5056.34</v>
      </c>
      <c r="C425" s="2">
        <f t="shared" si="48"/>
        <v>4.8530183309751784E-3</v>
      </c>
      <c r="D425" s="2">
        <f t="shared" si="49"/>
        <v>-3.2971012359549717E-2</v>
      </c>
      <c r="E425" s="3">
        <f t="shared" si="50"/>
        <v>3.7824030690524896E-2</v>
      </c>
      <c r="F425">
        <f t="shared" si="54"/>
        <v>0.20731604263004211</v>
      </c>
      <c r="G425">
        <f t="shared" si="51"/>
        <v>0.18244623141886959</v>
      </c>
      <c r="H425">
        <f t="shared" si="55"/>
        <v>-0.41573324785853139</v>
      </c>
      <c r="P425" s="33">
        <f t="shared" si="52"/>
        <v>3.1656940532670541E-3</v>
      </c>
      <c r="Q425" s="33">
        <f t="shared" si="53"/>
        <v>7.7939187760958726</v>
      </c>
    </row>
    <row r="426" spans="1:17" x14ac:dyDescent="0.35">
      <c r="A426" s="13">
        <v>42978</v>
      </c>
      <c r="B426" s="14">
        <v>5085.59</v>
      </c>
      <c r="C426" s="2">
        <f t="shared" si="48"/>
        <v>5.7848166855867245E-3</v>
      </c>
      <c r="D426" s="2">
        <f t="shared" si="49"/>
        <v>6.722548491016854E-3</v>
      </c>
      <c r="E426" s="3">
        <f t="shared" si="50"/>
        <v>-9.3773180543012952E-4</v>
      </c>
      <c r="F426">
        <f t="shared" si="54"/>
        <v>0.18507649132248799</v>
      </c>
      <c r="G426">
        <f t="shared" si="51"/>
        <v>-5.0667256480250175E-3</v>
      </c>
      <c r="H426">
        <f t="shared" si="55"/>
        <v>-0.39910277003345368</v>
      </c>
      <c r="P426" s="33">
        <f t="shared" si="52"/>
        <v>4.0974924078786001E-3</v>
      </c>
      <c r="Q426" s="33">
        <f t="shared" si="53"/>
        <v>0.16210225083995383</v>
      </c>
    </row>
    <row r="427" spans="1:17" x14ac:dyDescent="0.35">
      <c r="A427" s="13">
        <v>42979</v>
      </c>
      <c r="B427" s="14">
        <v>5123.26</v>
      </c>
      <c r="C427" s="2">
        <f t="shared" si="48"/>
        <v>7.4072034906471629E-3</v>
      </c>
      <c r="D427" s="2">
        <f t="shared" si="49"/>
        <v>2.1891948217441531E-2</v>
      </c>
      <c r="E427" s="3">
        <f t="shared" si="50"/>
        <v>-1.4484744726794369E-2</v>
      </c>
      <c r="F427">
        <f t="shared" si="54"/>
        <v>3.7990242868068562E-2</v>
      </c>
      <c r="G427">
        <f t="shared" si="51"/>
        <v>-0.38127539160769724</v>
      </c>
      <c r="H427">
        <f t="shared" si="55"/>
        <v>-0.47177539630185894</v>
      </c>
      <c r="P427" s="33">
        <f t="shared" si="52"/>
        <v>5.7198792129390386E-3</v>
      </c>
      <c r="Q427" s="33">
        <f t="shared" si="53"/>
        <v>1.9554943704575942</v>
      </c>
    </row>
    <row r="428" spans="1:17" x14ac:dyDescent="0.35">
      <c r="A428" s="13">
        <v>42982</v>
      </c>
      <c r="B428" s="14">
        <v>5103.97</v>
      </c>
      <c r="C428" s="2">
        <f t="shared" si="48"/>
        <v>-3.7651807638104939E-3</v>
      </c>
      <c r="D428" s="2">
        <f t="shared" si="49"/>
        <v>2.7661107407321771E-2</v>
      </c>
      <c r="E428" s="3">
        <f t="shared" si="50"/>
        <v>-3.1426288171132265E-2</v>
      </c>
      <c r="F428">
        <f t="shared" si="54"/>
        <v>0.37893772246637047</v>
      </c>
      <c r="G428">
        <f t="shared" si="51"/>
        <v>-8.2932593690038997E-2</v>
      </c>
      <c r="H428">
        <f t="shared" si="55"/>
        <v>-0.4025288417271361</v>
      </c>
      <c r="P428" s="33">
        <f t="shared" si="52"/>
        <v>-5.4525050415186183E-3</v>
      </c>
      <c r="Q428" s="33">
        <f t="shared" si="53"/>
        <v>8.3465549577831606</v>
      </c>
    </row>
    <row r="429" spans="1:17" x14ac:dyDescent="0.35">
      <c r="A429" s="13">
        <v>42983</v>
      </c>
      <c r="B429" s="14">
        <v>5086.5600000000004</v>
      </c>
      <c r="C429" s="2">
        <f t="shared" si="48"/>
        <v>-3.4110702061336262E-3</v>
      </c>
      <c r="D429" s="2">
        <f t="shared" si="49"/>
        <v>-5.1275831662321259E-3</v>
      </c>
      <c r="E429" s="3">
        <f t="shared" si="50"/>
        <v>1.7165129600984997E-3</v>
      </c>
      <c r="F429">
        <f t="shared" si="54"/>
        <v>0.10029174267332587</v>
      </c>
      <c r="G429">
        <f t="shared" si="51"/>
        <v>1.711519726693345E-2</v>
      </c>
      <c r="H429">
        <f t="shared" si="55"/>
        <v>-0.39923639916780057</v>
      </c>
      <c r="P429" s="33">
        <f t="shared" si="52"/>
        <v>-5.0983944838417505E-3</v>
      </c>
      <c r="Q429" s="33">
        <f t="shared" si="53"/>
        <v>0.50321830286927161</v>
      </c>
    </row>
    <row r="430" spans="1:17" x14ac:dyDescent="0.35">
      <c r="A430" s="13">
        <v>42984</v>
      </c>
      <c r="B430" s="14">
        <v>5101.41</v>
      </c>
      <c r="C430" s="2">
        <f t="shared" si="48"/>
        <v>2.9194583372651461E-3</v>
      </c>
      <c r="D430" s="2">
        <f t="shared" si="49"/>
        <v>-1.3688804884324349E-2</v>
      </c>
      <c r="E430" s="3">
        <f t="shared" si="50"/>
        <v>1.6608263221589495E-2</v>
      </c>
      <c r="F430">
        <f t="shared" si="54"/>
        <v>3.5890657785624655E-2</v>
      </c>
      <c r="G430">
        <f t="shared" si="51"/>
        <v>0.46274613635645401</v>
      </c>
      <c r="H430">
        <f t="shared" si="55"/>
        <v>-0.50615692753547048</v>
      </c>
      <c r="P430" s="33">
        <f t="shared" si="52"/>
        <v>1.2321340595570218E-3</v>
      </c>
      <c r="Q430" s="33">
        <f t="shared" si="53"/>
        <v>5.6888166580748596</v>
      </c>
    </row>
    <row r="431" spans="1:17" x14ac:dyDescent="0.35">
      <c r="A431" s="13">
        <v>42985</v>
      </c>
      <c r="B431" s="14">
        <v>5114.62</v>
      </c>
      <c r="C431" s="2">
        <f t="shared" si="48"/>
        <v>2.5894801633274955E-3</v>
      </c>
      <c r="D431" s="2">
        <f t="shared" si="49"/>
        <v>5.9893067274221961E-3</v>
      </c>
      <c r="E431" s="3">
        <f t="shared" si="50"/>
        <v>-3.3998265640947005E-3</v>
      </c>
      <c r="F431">
        <f t="shared" si="54"/>
        <v>0.45946777815786838</v>
      </c>
      <c r="G431">
        <f t="shared" si="51"/>
        <v>-7.3994885511352556E-3</v>
      </c>
      <c r="H431">
        <f t="shared" si="55"/>
        <v>-0.39911731039446674</v>
      </c>
      <c r="P431" s="33">
        <f t="shared" si="52"/>
        <v>9.0215588561937121E-4</v>
      </c>
      <c r="Q431" s="33">
        <f t="shared" si="53"/>
        <v>1.3129378677015644</v>
      </c>
    </row>
    <row r="432" spans="1:17" x14ac:dyDescent="0.35">
      <c r="A432" s="13">
        <v>42986</v>
      </c>
      <c r="B432" s="14">
        <v>5113.49</v>
      </c>
      <c r="C432" s="2">
        <f t="shared" si="48"/>
        <v>-2.2093527964939241E-4</v>
      </c>
      <c r="D432" s="2">
        <f t="shared" si="49"/>
        <v>1.0444517473935993E-2</v>
      </c>
      <c r="E432" s="3">
        <f t="shared" si="50"/>
        <v>-1.0665452753585386E-2</v>
      </c>
      <c r="F432">
        <f t="shared" si="54"/>
        <v>6.7260224843269975E-2</v>
      </c>
      <c r="G432">
        <f t="shared" si="51"/>
        <v>-0.15856998364840533</v>
      </c>
      <c r="H432">
        <f t="shared" si="55"/>
        <v>-0.41166215403618528</v>
      </c>
      <c r="P432" s="33">
        <f t="shared" si="52"/>
        <v>-1.9082595573575167E-3</v>
      </c>
      <c r="Q432" s="33">
        <f t="shared" si="53"/>
        <v>48.274104391614834</v>
      </c>
    </row>
    <row r="433" spans="1:17" x14ac:dyDescent="0.35">
      <c r="A433" s="13">
        <v>42989</v>
      </c>
      <c r="B433" s="14">
        <v>5176.71</v>
      </c>
      <c r="C433" s="2">
        <f t="shared" si="48"/>
        <v>1.2363376089520095E-2</v>
      </c>
      <c r="D433" s="2">
        <f t="shared" si="49"/>
        <v>1.5593403502942504E-3</v>
      </c>
      <c r="E433" s="3">
        <f t="shared" si="50"/>
        <v>1.0804035739225844E-2</v>
      </c>
      <c r="F433">
        <f t="shared" si="54"/>
        <v>0.15998347014596465</v>
      </c>
      <c r="G433">
        <f t="shared" si="51"/>
        <v>6.7532200228989467E-2</v>
      </c>
      <c r="H433">
        <f t="shared" si="55"/>
        <v>-0.40137023321294168</v>
      </c>
      <c r="P433" s="33">
        <f t="shared" si="52"/>
        <v>1.0676051811811971E-2</v>
      </c>
      <c r="Q433" s="33">
        <f t="shared" si="53"/>
        <v>0.87387422828493933</v>
      </c>
    </row>
    <row r="434" spans="1:17" x14ac:dyDescent="0.35">
      <c r="A434" s="13">
        <v>42990</v>
      </c>
      <c r="B434" s="14">
        <v>5209.01</v>
      </c>
      <c r="C434" s="2">
        <f t="shared" si="48"/>
        <v>6.2394841511308474E-3</v>
      </c>
      <c r="D434" s="2">
        <f t="shared" si="49"/>
        <v>3.7643153588859467E-2</v>
      </c>
      <c r="E434" s="3">
        <f t="shared" si="50"/>
        <v>-3.1403669437728619E-2</v>
      </c>
      <c r="F434">
        <f t="shared" si="54"/>
        <v>7.5807301576264988E-2</v>
      </c>
      <c r="G434">
        <f t="shared" si="51"/>
        <v>-0.41425652654494438</v>
      </c>
      <c r="H434">
        <f t="shared" si="55"/>
        <v>-0.48489416907159866</v>
      </c>
      <c r="P434" s="33">
        <f t="shared" si="52"/>
        <v>4.5521598734227231E-3</v>
      </c>
      <c r="Q434" s="33">
        <f t="shared" si="53"/>
        <v>5.0330554060365715</v>
      </c>
    </row>
    <row r="435" spans="1:17" x14ac:dyDescent="0.35">
      <c r="A435" s="13">
        <v>42991</v>
      </c>
      <c r="B435" s="14">
        <v>5217.59</v>
      </c>
      <c r="C435" s="2">
        <f t="shared" si="48"/>
        <v>1.6471460027913665E-3</v>
      </c>
      <c r="D435" s="2">
        <f t="shared" si="49"/>
        <v>2.9766817183270615E-2</v>
      </c>
      <c r="E435" s="3">
        <f t="shared" si="50"/>
        <v>-2.8119671180479248E-2</v>
      </c>
      <c r="F435">
        <f t="shared" si="54"/>
        <v>0.4116201143086704</v>
      </c>
      <c r="G435">
        <f t="shared" si="51"/>
        <v>-6.8314618754011E-2</v>
      </c>
      <c r="H435">
        <f t="shared" si="55"/>
        <v>-0.40142337774681047</v>
      </c>
      <c r="P435" s="33">
        <f t="shared" si="52"/>
        <v>-4.017827491675785E-5</v>
      </c>
      <c r="Q435" s="33">
        <f t="shared" si="53"/>
        <v>17.07175388995616</v>
      </c>
    </row>
    <row r="436" spans="1:17" x14ac:dyDescent="0.35">
      <c r="A436" s="13">
        <v>42992</v>
      </c>
      <c r="B436" s="14">
        <v>5225.2</v>
      </c>
      <c r="C436" s="2">
        <f t="shared" si="48"/>
        <v>1.4585277877332548E-3</v>
      </c>
      <c r="D436" s="2">
        <f t="shared" si="49"/>
        <v>1.0426926245400564E-2</v>
      </c>
      <c r="E436" s="3">
        <f t="shared" si="50"/>
        <v>-8.9683984576673093E-3</v>
      </c>
      <c r="F436">
        <f t="shared" si="54"/>
        <v>9.1287337847924699E-2</v>
      </c>
      <c r="G436">
        <f t="shared" si="51"/>
        <v>-9.8243619203878391E-2</v>
      </c>
      <c r="H436">
        <f t="shared" si="55"/>
        <v>-0.40391583853619584</v>
      </c>
      <c r="P436" s="33">
        <f t="shared" si="52"/>
        <v>-2.2879648997486957E-4</v>
      </c>
      <c r="Q436" s="33">
        <f t="shared" si="53"/>
        <v>6.1489390418850967</v>
      </c>
    </row>
    <row r="437" spans="1:17" x14ac:dyDescent="0.35">
      <c r="A437" s="13">
        <v>42993</v>
      </c>
      <c r="B437" s="14">
        <v>5213.91</v>
      </c>
      <c r="C437" s="2">
        <f t="shared" si="48"/>
        <v>-2.1606828446757431E-3</v>
      </c>
      <c r="D437" s="2">
        <f t="shared" si="49"/>
        <v>5.8852674976740153E-3</v>
      </c>
      <c r="E437" s="3">
        <f t="shared" si="50"/>
        <v>-8.0459503423497593E-3</v>
      </c>
      <c r="F437">
        <f t="shared" si="54"/>
        <v>0.10221544607405426</v>
      </c>
      <c r="G437">
        <f t="shared" si="51"/>
        <v>-7.8715601715620684E-2</v>
      </c>
      <c r="H437">
        <f t="shared" si="55"/>
        <v>-0.40218800715578362</v>
      </c>
      <c r="P437" s="33">
        <f t="shared" si="52"/>
        <v>-3.8480071223838674E-3</v>
      </c>
      <c r="Q437" s="33">
        <f t="shared" si="53"/>
        <v>3.723799798834996</v>
      </c>
    </row>
    <row r="438" spans="1:17" x14ac:dyDescent="0.35">
      <c r="A438" s="13">
        <v>42996</v>
      </c>
      <c r="B438" s="14">
        <v>5229.32</v>
      </c>
      <c r="C438" s="2">
        <f t="shared" si="48"/>
        <v>2.9555554276923246E-3</v>
      </c>
      <c r="D438" s="2">
        <f t="shared" si="49"/>
        <v>-5.3529178160843967E-3</v>
      </c>
      <c r="E438" s="3">
        <f t="shared" si="50"/>
        <v>8.3084732437767213E-3</v>
      </c>
      <c r="F438">
        <f t="shared" si="54"/>
        <v>8.4209985463352385E-2</v>
      </c>
      <c r="G438">
        <f t="shared" si="51"/>
        <v>9.8663753449910199E-2</v>
      </c>
      <c r="H438">
        <f t="shared" si="55"/>
        <v>-0.40395720230146986</v>
      </c>
      <c r="P438" s="33">
        <f t="shared" si="52"/>
        <v>1.2682311499842003E-3</v>
      </c>
      <c r="Q438" s="33">
        <f t="shared" si="53"/>
        <v>2.8111376852992787</v>
      </c>
    </row>
    <row r="439" spans="1:17" x14ac:dyDescent="0.35">
      <c r="A439" s="13">
        <v>42997</v>
      </c>
      <c r="B439" s="14">
        <v>5237.4399999999996</v>
      </c>
      <c r="C439" s="2">
        <f t="shared" si="48"/>
        <v>1.552783153450088E-3</v>
      </c>
      <c r="D439" s="2">
        <f t="shared" si="49"/>
        <v>7.1791994478282092E-3</v>
      </c>
      <c r="E439" s="3">
        <f t="shared" si="50"/>
        <v>-5.6264162943781212E-3</v>
      </c>
      <c r="F439">
        <f t="shared" si="54"/>
        <v>0.10250753148269372</v>
      </c>
      <c r="G439">
        <f t="shared" si="51"/>
        <v>-5.4887833244994542E-2</v>
      </c>
      <c r="H439">
        <f t="shared" si="55"/>
        <v>-0.40059627129822267</v>
      </c>
      <c r="P439" s="33">
        <f t="shared" si="52"/>
        <v>-1.3454112425803633E-4</v>
      </c>
      <c r="Q439" s="33">
        <f t="shared" si="53"/>
        <v>3.6234398099161078</v>
      </c>
    </row>
    <row r="440" spans="1:17" x14ac:dyDescent="0.35">
      <c r="A440" s="13">
        <v>42998</v>
      </c>
      <c r="B440" s="14">
        <v>5241.66</v>
      </c>
      <c r="C440" s="2">
        <f t="shared" si="48"/>
        <v>8.0573715402953994E-4</v>
      </c>
      <c r="D440" s="2">
        <f t="shared" si="49"/>
        <v>7.3032227973170759E-3</v>
      </c>
      <c r="E440" s="3">
        <f t="shared" si="50"/>
        <v>-6.497485643287536E-3</v>
      </c>
      <c r="F440">
        <f t="shared" si="54"/>
        <v>6.2979784785564583E-2</v>
      </c>
      <c r="G440">
        <f t="shared" si="51"/>
        <v>-0.10316779686387252</v>
      </c>
      <c r="H440">
        <f t="shared" si="55"/>
        <v>-0.40441173133393016</v>
      </c>
      <c r="P440" s="33">
        <f t="shared" si="52"/>
        <v>-8.8158712367858438E-4</v>
      </c>
      <c r="Q440" s="33">
        <f t="shared" si="53"/>
        <v>8.0640263525061737</v>
      </c>
    </row>
    <row r="441" spans="1:17" x14ac:dyDescent="0.35">
      <c r="A441" s="13">
        <v>42999</v>
      </c>
      <c r="B441" s="14">
        <v>5267.29</v>
      </c>
      <c r="C441" s="2">
        <f t="shared" si="48"/>
        <v>4.8896723557041444E-3</v>
      </c>
      <c r="D441" s="2">
        <f t="shared" si="49"/>
        <v>3.8061639235481811E-3</v>
      </c>
      <c r="E441" s="3">
        <f t="shared" si="50"/>
        <v>1.0835084321559633E-3</v>
      </c>
      <c r="F441">
        <f t="shared" si="54"/>
        <v>0.10651987918813731</v>
      </c>
      <c r="G441">
        <f t="shared" si="51"/>
        <v>1.0171889420210958E-2</v>
      </c>
      <c r="H441">
        <f t="shared" si="55"/>
        <v>-0.39914166784624605</v>
      </c>
      <c r="P441" s="33">
        <f t="shared" si="52"/>
        <v>3.2023480779960201E-3</v>
      </c>
      <c r="Q441" s="33">
        <f t="shared" si="53"/>
        <v>0.2215912137532027</v>
      </c>
    </row>
    <row r="442" spans="1:17" x14ac:dyDescent="0.35">
      <c r="A442" s="13">
        <v>43000</v>
      </c>
      <c r="B442" s="14">
        <v>5281.29</v>
      </c>
      <c r="C442" s="2">
        <f t="shared" si="48"/>
        <v>2.6579132722899246E-3</v>
      </c>
      <c r="D442" s="2">
        <f t="shared" si="49"/>
        <v>1.5658742898747659E-2</v>
      </c>
      <c r="E442" s="3">
        <f t="shared" si="50"/>
        <v>-1.3000829626457735E-2</v>
      </c>
      <c r="F442">
        <f t="shared" si="54"/>
        <v>3.3531054441750134E-2</v>
      </c>
      <c r="G442">
        <f t="shared" si="51"/>
        <v>-0.38772504601794339</v>
      </c>
      <c r="H442">
        <f t="shared" si="55"/>
        <v>-0.47425528983386567</v>
      </c>
      <c r="P442" s="33">
        <f t="shared" si="52"/>
        <v>9.7058899458180026E-4</v>
      </c>
      <c r="Q442" s="33">
        <f t="shared" si="53"/>
        <v>4.8913671345103271</v>
      </c>
    </row>
    <row r="443" spans="1:17" x14ac:dyDescent="0.35">
      <c r="A443" s="13">
        <v>43003</v>
      </c>
      <c r="B443" s="14">
        <v>5267.13</v>
      </c>
      <c r="C443" s="2">
        <f t="shared" si="48"/>
        <v>-2.6811631249182843E-3</v>
      </c>
      <c r="D443" s="2">
        <f t="shared" si="49"/>
        <v>1.2354772894649466E-2</v>
      </c>
      <c r="E443" s="3">
        <f t="shared" si="50"/>
        <v>-1.503593601956775E-2</v>
      </c>
      <c r="F443">
        <f t="shared" si="54"/>
        <v>0.38530297887839504</v>
      </c>
      <c r="G443">
        <f t="shared" si="51"/>
        <v>-3.9023669277971559E-2</v>
      </c>
      <c r="H443">
        <f t="shared" si="55"/>
        <v>-0.39985135756101575</v>
      </c>
      <c r="P443" s="33">
        <f t="shared" si="52"/>
        <v>-4.3684874026264087E-3</v>
      </c>
      <c r="Q443" s="33">
        <f t="shared" si="53"/>
        <v>5.6079900099424238</v>
      </c>
    </row>
    <row r="444" spans="1:17" x14ac:dyDescent="0.35">
      <c r="A444" s="13">
        <v>43004</v>
      </c>
      <c r="B444" s="14">
        <v>5268.76</v>
      </c>
      <c r="C444" s="2">
        <f t="shared" si="48"/>
        <v>3.094664456735341E-4</v>
      </c>
      <c r="D444" s="2">
        <f t="shared" si="49"/>
        <v>-5.9102683970776396E-3</v>
      </c>
      <c r="E444" s="3">
        <f t="shared" si="50"/>
        <v>6.2197348427511737E-3</v>
      </c>
      <c r="F444">
        <f t="shared" si="54"/>
        <v>6.9887466549365979E-2</v>
      </c>
      <c r="G444">
        <f t="shared" si="51"/>
        <v>8.8996427397432951E-2</v>
      </c>
      <c r="H444">
        <f t="shared" si="55"/>
        <v>-0.40305011622381082</v>
      </c>
      <c r="P444" s="33">
        <f t="shared" si="52"/>
        <v>-1.3778578320345902E-3</v>
      </c>
      <c r="Q444" s="33">
        <f t="shared" si="53"/>
        <v>20.09825274987185</v>
      </c>
    </row>
    <row r="445" spans="1:17" x14ac:dyDescent="0.35">
      <c r="A445" s="13">
        <v>43005</v>
      </c>
      <c r="B445" s="14">
        <v>5281.96</v>
      </c>
      <c r="C445" s="2">
        <f t="shared" si="48"/>
        <v>2.5053333232107899E-3</v>
      </c>
      <c r="D445" s="2">
        <f t="shared" si="49"/>
        <v>-1.3675687508524252E-3</v>
      </c>
      <c r="E445" s="3">
        <f t="shared" si="50"/>
        <v>3.8729020740632149E-3</v>
      </c>
      <c r="F445">
        <f t="shared" si="54"/>
        <v>9.3211274480763634E-2</v>
      </c>
      <c r="G445">
        <f t="shared" si="51"/>
        <v>4.1549716980454766E-2</v>
      </c>
      <c r="H445">
        <f t="shared" si="55"/>
        <v>-0.39995312366963548</v>
      </c>
      <c r="P445" s="33">
        <f t="shared" si="52"/>
        <v>8.1800904550266562E-4</v>
      </c>
      <c r="Q445" s="33">
        <f t="shared" si="53"/>
        <v>1.5458629948288771</v>
      </c>
    </row>
    <row r="446" spans="1:17" x14ac:dyDescent="0.35">
      <c r="A446" s="13">
        <v>43006</v>
      </c>
      <c r="B446" s="14">
        <v>5293.77</v>
      </c>
      <c r="C446" s="2">
        <f t="shared" si="48"/>
        <v>2.2359124264479391E-3</v>
      </c>
      <c r="D446" s="2">
        <f t="shared" si="49"/>
        <v>7.9338704030277596E-3</v>
      </c>
      <c r="E446" s="3">
        <f t="shared" si="50"/>
        <v>-5.6979579765798205E-3</v>
      </c>
      <c r="F446">
        <f t="shared" si="54"/>
        <v>5.1691592314957055E-2</v>
      </c>
      <c r="G446">
        <f t="shared" si="51"/>
        <v>-0.11022987920089872</v>
      </c>
      <c r="H446">
        <f t="shared" si="55"/>
        <v>-0.40516524731337988</v>
      </c>
      <c r="P446" s="33">
        <f t="shared" si="52"/>
        <v>5.4858814873981476E-4</v>
      </c>
      <c r="Q446" s="33">
        <f t="shared" si="53"/>
        <v>2.5483815507174521</v>
      </c>
    </row>
    <row r="447" spans="1:17" x14ac:dyDescent="0.35">
      <c r="A447" s="13">
        <v>43007</v>
      </c>
      <c r="B447" s="14">
        <v>5329.81</v>
      </c>
      <c r="C447" s="2">
        <f t="shared" si="48"/>
        <v>6.8080026143939598E-3</v>
      </c>
      <c r="D447" s="2">
        <f t="shared" si="49"/>
        <v>9.0050400447997114E-3</v>
      </c>
      <c r="E447" s="3">
        <f t="shared" si="50"/>
        <v>-2.1970374304057516E-3</v>
      </c>
      <c r="F447">
        <f t="shared" si="54"/>
        <v>0.11315442547190556</v>
      </c>
      <c r="G447">
        <f t="shared" si="51"/>
        <v>-1.9416274893740156E-2</v>
      </c>
      <c r="H447">
        <f t="shared" si="55"/>
        <v>-0.39927843004443214</v>
      </c>
      <c r="P447" s="33">
        <f t="shared" si="52"/>
        <v>5.1206783366858355E-3</v>
      </c>
      <c r="Q447" s="33">
        <f t="shared" si="53"/>
        <v>0.32271395221861693</v>
      </c>
    </row>
    <row r="448" spans="1:17" x14ac:dyDescent="0.35">
      <c r="A448" s="13">
        <v>43010</v>
      </c>
      <c r="B448" s="14">
        <v>5350.44</v>
      </c>
      <c r="C448" s="2">
        <f t="shared" si="48"/>
        <v>3.8706820693419353E-3</v>
      </c>
      <c r="D448" s="2">
        <f t="shared" si="49"/>
        <v>2.2763772799774349E-2</v>
      </c>
      <c r="E448" s="3">
        <f t="shared" si="50"/>
        <v>-1.8893090730432414E-2</v>
      </c>
      <c r="F448">
        <f t="shared" si="54"/>
        <v>3.7657154668471131E-2</v>
      </c>
      <c r="G448">
        <f t="shared" si="51"/>
        <v>-0.50171317766211532</v>
      </c>
      <c r="H448">
        <f t="shared" si="55"/>
        <v>-0.52494799049896623</v>
      </c>
      <c r="P448" s="33">
        <f t="shared" si="52"/>
        <v>2.1833577916338109E-3</v>
      </c>
      <c r="Q448" s="33">
        <f t="shared" si="53"/>
        <v>4.8810753226354437</v>
      </c>
    </row>
    <row r="449" spans="1:17" x14ac:dyDescent="0.35">
      <c r="A449" s="13">
        <v>43011</v>
      </c>
      <c r="B449" s="14">
        <v>5367.41</v>
      </c>
      <c r="C449" s="2">
        <f t="shared" si="48"/>
        <v>3.1717017665837677E-3</v>
      </c>
      <c r="D449" s="2">
        <f t="shared" si="49"/>
        <v>1.7722086073564895E-2</v>
      </c>
      <c r="E449" s="3">
        <f t="shared" si="50"/>
        <v>-1.4550384306981128E-2</v>
      </c>
      <c r="F449">
        <f t="shared" si="54"/>
        <v>0.49801139970833819</v>
      </c>
      <c r="G449">
        <f t="shared" si="51"/>
        <v>-2.9216970365543042E-2</v>
      </c>
      <c r="H449">
        <f t="shared" si="55"/>
        <v>-0.39951674985772806</v>
      </c>
      <c r="P449" s="33">
        <f t="shared" si="52"/>
        <v>1.4843774888756434E-3</v>
      </c>
      <c r="Q449" s="33">
        <f t="shared" si="53"/>
        <v>4.5875638309629947</v>
      </c>
    </row>
    <row r="450" spans="1:17" x14ac:dyDescent="0.35">
      <c r="A450" s="13">
        <v>43013</v>
      </c>
      <c r="B450" s="14">
        <v>5379.21</v>
      </c>
      <c r="C450" s="2">
        <f t="shared" si="48"/>
        <v>2.1984532577166149E-3</v>
      </c>
      <c r="D450" s="2">
        <f t="shared" si="49"/>
        <v>1.3047376475897795E-2</v>
      </c>
      <c r="E450" s="3">
        <f t="shared" si="50"/>
        <v>-1.084892321818118E-2</v>
      </c>
      <c r="F450">
        <f t="shared" si="54"/>
        <v>7.7105476346077867E-2</v>
      </c>
      <c r="G450">
        <f t="shared" si="51"/>
        <v>-0.1407023694333617</v>
      </c>
      <c r="H450">
        <f t="shared" si="55"/>
        <v>-0.40898851256113861</v>
      </c>
      <c r="P450" s="33">
        <f t="shared" si="52"/>
        <v>5.1112898000849061E-4</v>
      </c>
      <c r="Q450" s="33">
        <f t="shared" si="53"/>
        <v>4.9347982178384928</v>
      </c>
    </row>
    <row r="451" spans="1:17" x14ac:dyDescent="0.35">
      <c r="A451" s="13">
        <v>43014</v>
      </c>
      <c r="B451" s="14">
        <v>5359.9</v>
      </c>
      <c r="C451" s="2">
        <f t="shared" si="48"/>
        <v>-3.5897464497575138E-3</v>
      </c>
      <c r="D451" s="2">
        <f t="shared" si="49"/>
        <v>9.4656692428419717E-3</v>
      </c>
      <c r="E451" s="3">
        <f t="shared" si="50"/>
        <v>-1.3055415692599485E-2</v>
      </c>
      <c r="F451">
        <f t="shared" si="54"/>
        <v>0.14271881100767461</v>
      </c>
      <c r="G451">
        <f t="shared" si="51"/>
        <v>-9.1476488631182892E-2</v>
      </c>
      <c r="H451">
        <f t="shared" si="55"/>
        <v>-0.40327390816520298</v>
      </c>
      <c r="P451" s="33">
        <f t="shared" si="52"/>
        <v>-5.2770707274656381E-3</v>
      </c>
      <c r="Q451" s="33">
        <f t="shared" si="53"/>
        <v>3.6368629025265489</v>
      </c>
    </row>
    <row r="452" spans="1:17" x14ac:dyDescent="0.35">
      <c r="A452" s="13">
        <v>43017</v>
      </c>
      <c r="B452" s="14">
        <v>5365.83</v>
      </c>
      <c r="C452" s="2">
        <f t="shared" ref="C452:C515" si="56">(B452/B451)-1</f>
        <v>1.1063639247002044E-3</v>
      </c>
      <c r="D452" s="2">
        <f t="shared" si="49"/>
        <v>-9.0873177453000328E-3</v>
      </c>
      <c r="E452" s="3">
        <f t="shared" si="50"/>
        <v>1.0193681670000237E-2</v>
      </c>
      <c r="F452">
        <f t="shared" si="54"/>
        <v>9.6928087260036017E-2</v>
      </c>
      <c r="G452">
        <f t="shared" si="51"/>
        <v>0.10516746959684563</v>
      </c>
      <c r="H452">
        <f t="shared" si="55"/>
        <v>-0.40462003250975925</v>
      </c>
      <c r="P452" s="33">
        <f t="shared" si="52"/>
        <v>-5.8096035300791993E-4</v>
      </c>
      <c r="Q452" s="33">
        <f t="shared" si="53"/>
        <v>9.2136786480655157</v>
      </c>
    </row>
    <row r="453" spans="1:17" x14ac:dyDescent="0.35">
      <c r="A453" s="13">
        <v>43018</v>
      </c>
      <c r="B453" s="14">
        <v>5363.65</v>
      </c>
      <c r="C453" s="2">
        <f t="shared" si="56"/>
        <v>-4.0627451857411234E-4</v>
      </c>
      <c r="D453" s="2">
        <f t="shared" si="49"/>
        <v>2.8670472571122076E-4</v>
      </c>
      <c r="E453" s="3">
        <f t="shared" si="50"/>
        <v>-6.929792442853331E-4</v>
      </c>
      <c r="F453">
        <f t="shared" si="54"/>
        <v>0.10885420220010852</v>
      </c>
      <c r="G453">
        <f t="shared" si="51"/>
        <v>-6.3661230368618899E-3</v>
      </c>
      <c r="H453">
        <f t="shared" si="55"/>
        <v>-0.39911019794031777</v>
      </c>
      <c r="P453" s="33">
        <f t="shared" si="52"/>
        <v>-2.0935987962822367E-3</v>
      </c>
      <c r="Q453" s="33">
        <f t="shared" si="53"/>
        <v>1.7056921185149845</v>
      </c>
    </row>
    <row r="454" spans="1:17" x14ac:dyDescent="0.35">
      <c r="A454" s="13">
        <v>43019</v>
      </c>
      <c r="B454" s="14">
        <v>5362.41</v>
      </c>
      <c r="C454" s="2">
        <f t="shared" si="56"/>
        <v>-2.3118585291725946E-4</v>
      </c>
      <c r="D454" s="2">
        <f t="shared" ref="D454:D517" si="57">C453*$K$10+C452*$K$9</f>
        <v>-2.8816624768374913E-4</v>
      </c>
      <c r="E454" s="3">
        <f t="shared" ref="E454:E517" si="58">C454-D454</f>
        <v>5.6980394766489666E-5</v>
      </c>
      <c r="F454">
        <f t="shared" si="54"/>
        <v>3.2729288315194428E-2</v>
      </c>
      <c r="G454">
        <f t="shared" ref="G454:G517" si="59">E454/F454</f>
        <v>1.740960396625452E-3</v>
      </c>
      <c r="H454">
        <f t="shared" si="55"/>
        <v>-0.39909144965060883</v>
      </c>
      <c r="P454" s="33">
        <f t="shared" ref="P454:P517" si="60" xml:space="preserve"> C454-$K$16</f>
        <v>-1.9185101306253838E-3</v>
      </c>
      <c r="Q454" s="33">
        <f t="shared" ref="Q454:Q517" si="61" xml:space="preserve"> ABS(E454)/ABS(C454)</f>
        <v>0.24647007612045679</v>
      </c>
    </row>
    <row r="455" spans="1:17" x14ac:dyDescent="0.35">
      <c r="A455" s="13">
        <v>43020</v>
      </c>
      <c r="B455" s="14">
        <v>5360.81</v>
      </c>
      <c r="C455" s="2">
        <f t="shared" si="56"/>
        <v>-2.9837330603210699E-4</v>
      </c>
      <c r="D455" s="2">
        <f t="shared" si="57"/>
        <v>-1.0581924043858077E-3</v>
      </c>
      <c r="E455" s="3">
        <f t="shared" si="58"/>
        <v>7.5981909835370074E-4</v>
      </c>
      <c r="F455">
        <f t="shared" ref="F455:F518" si="62">($K$5+$K$6*G454^2+$K$7*F454^2)^(1/2)</f>
        <v>2.9127056430396172E-2</v>
      </c>
      <c r="G455">
        <f t="shared" si="59"/>
        <v>2.6086367504021966E-2</v>
      </c>
      <c r="H455">
        <f t="shared" ref="H455:H518" si="63">- (G455^2)/2 - LOG(2*PI())/2</f>
        <v>-0.39943018346383496</v>
      </c>
      <c r="P455" s="33">
        <f t="shared" si="60"/>
        <v>-1.9856975837402313E-3</v>
      </c>
      <c r="Q455" s="33">
        <f t="shared" si="61"/>
        <v>2.5465384570023804</v>
      </c>
    </row>
    <row r="456" spans="1:17" x14ac:dyDescent="0.35">
      <c r="A456" s="13">
        <v>43021</v>
      </c>
      <c r="B456" s="14">
        <v>5351.74</v>
      </c>
      <c r="C456" s="2">
        <f t="shared" si="56"/>
        <v>-1.6919084989023281E-3</v>
      </c>
      <c r="D456" s="2">
        <f t="shared" si="57"/>
        <v>-1.1126466964536084E-3</v>
      </c>
      <c r="E456" s="3">
        <f t="shared" si="58"/>
        <v>-5.7926180244871964E-4</v>
      </c>
      <c r="F456">
        <f t="shared" si="62"/>
        <v>3.8855579442816368E-2</v>
      </c>
      <c r="G456">
        <f t="shared" si="59"/>
        <v>-1.4908072682360003E-2</v>
      </c>
      <c r="H456">
        <f t="shared" si="63"/>
        <v>-0.39920105949460877</v>
      </c>
      <c r="P456" s="33">
        <f t="shared" si="60"/>
        <v>-3.3792327766104524E-3</v>
      </c>
      <c r="Q456" s="33">
        <f t="shared" si="61"/>
        <v>0.34237182615048722</v>
      </c>
    </row>
    <row r="457" spans="1:17" x14ac:dyDescent="0.35">
      <c r="A457" s="13">
        <v>43024</v>
      </c>
      <c r="B457" s="14">
        <v>5362.88</v>
      </c>
      <c r="C457" s="2">
        <f t="shared" si="56"/>
        <v>2.0815659953585808E-3</v>
      </c>
      <c r="D457" s="2">
        <f t="shared" si="57"/>
        <v>-5.4350856342106121E-3</v>
      </c>
      <c r="E457" s="3">
        <f t="shared" si="58"/>
        <v>7.5166516295691928E-3</v>
      </c>
      <c r="F457">
        <f t="shared" si="62"/>
        <v>3.2729328226538325E-2</v>
      </c>
      <c r="G457">
        <f t="shared" si="59"/>
        <v>0.22966104215589656</v>
      </c>
      <c r="H457">
        <f t="shared" si="63"/>
        <v>-0.42546203132112376</v>
      </c>
      <c r="P457" s="33">
        <f t="shared" si="60"/>
        <v>3.9424171765045646E-4</v>
      </c>
      <c r="Q457" s="33">
        <f t="shared" si="61"/>
        <v>3.6110561213670946</v>
      </c>
    </row>
    <row r="458" spans="1:17" x14ac:dyDescent="0.35">
      <c r="A458" s="13">
        <v>43025</v>
      </c>
      <c r="B458" s="14">
        <v>5361.37</v>
      </c>
      <c r="C458" s="2">
        <f t="shared" si="56"/>
        <v>-2.8156512918431353E-4</v>
      </c>
      <c r="D458" s="2">
        <f t="shared" si="57"/>
        <v>4.9093357070344804E-3</v>
      </c>
      <c r="E458" s="3">
        <f t="shared" si="58"/>
        <v>-5.1909008362187939E-3</v>
      </c>
      <c r="F458">
        <f t="shared" si="62"/>
        <v>0.22942482993936017</v>
      </c>
      <c r="G458">
        <f t="shared" si="59"/>
        <v>-2.2625715087555315E-2</v>
      </c>
      <c r="H458">
        <f t="shared" si="63"/>
        <v>-0.39934589567066914</v>
      </c>
      <c r="P458" s="33">
        <f t="shared" si="60"/>
        <v>-1.9688894068924379E-3</v>
      </c>
      <c r="Q458" s="33">
        <f t="shared" si="61"/>
        <v>18.435879653338791</v>
      </c>
    </row>
    <row r="459" spans="1:17" x14ac:dyDescent="0.35">
      <c r="A459" s="13">
        <v>43027</v>
      </c>
      <c r="B459" s="14">
        <v>5368.29</v>
      </c>
      <c r="C459" s="2">
        <f t="shared" si="56"/>
        <v>1.2907148732506091E-3</v>
      </c>
      <c r="D459" s="2">
        <f t="shared" si="57"/>
        <v>9.3533311757503499E-4</v>
      </c>
      <c r="E459" s="3">
        <f t="shared" si="58"/>
        <v>3.5538175567557408E-4</v>
      </c>
      <c r="F459">
        <f t="shared" si="62"/>
        <v>4.7306999658160029E-2</v>
      </c>
      <c r="G459">
        <f t="shared" si="59"/>
        <v>7.5122446623873754E-3</v>
      </c>
      <c r="H459">
        <f t="shared" si="63"/>
        <v>-0.39911815108899129</v>
      </c>
      <c r="P459" s="33">
        <f t="shared" si="60"/>
        <v>-3.9660940445751525E-4</v>
      </c>
      <c r="Q459" s="33">
        <f t="shared" si="61"/>
        <v>0.2753371507841702</v>
      </c>
    </row>
    <row r="460" spans="1:17" x14ac:dyDescent="0.35">
      <c r="A460" s="13">
        <v>43028</v>
      </c>
      <c r="B460" s="14">
        <v>5372.38</v>
      </c>
      <c r="C460" s="2">
        <f t="shared" si="56"/>
        <v>7.6188134396626417E-4</v>
      </c>
      <c r="D460" s="2">
        <f t="shared" si="57"/>
        <v>3.7067226530068482E-3</v>
      </c>
      <c r="E460" s="3">
        <f t="shared" si="58"/>
        <v>-2.944841309040584E-3</v>
      </c>
      <c r="F460">
        <f t="shared" si="62"/>
        <v>3.0347285009517472E-2</v>
      </c>
      <c r="G460">
        <f t="shared" si="59"/>
        <v>-9.7038048316909639E-2</v>
      </c>
      <c r="H460">
        <f t="shared" si="63"/>
        <v>-0.40379812558963496</v>
      </c>
      <c r="P460" s="33">
        <f t="shared" si="60"/>
        <v>-9.2544293374186015E-4</v>
      </c>
      <c r="Q460" s="33">
        <f t="shared" si="61"/>
        <v>3.8652230197816482</v>
      </c>
    </row>
    <row r="461" spans="1:17" x14ac:dyDescent="0.35">
      <c r="A461" s="13">
        <v>43031</v>
      </c>
      <c r="B461" s="14">
        <v>5386.81</v>
      </c>
      <c r="C461" s="2">
        <f t="shared" si="56"/>
        <v>2.6859604123312675E-3</v>
      </c>
      <c r="D461" s="2">
        <f t="shared" si="57"/>
        <v>3.4457208569502983E-3</v>
      </c>
      <c r="E461" s="3">
        <f t="shared" si="58"/>
        <v>-7.5976044461903078E-4</v>
      </c>
      <c r="F461">
        <f t="shared" si="62"/>
        <v>0.1004435605292138</v>
      </c>
      <c r="G461">
        <f t="shared" si="59"/>
        <v>-7.5640532913810446E-3</v>
      </c>
      <c r="H461">
        <f t="shared" si="63"/>
        <v>-0.39911854163015498</v>
      </c>
      <c r="P461" s="33">
        <f t="shared" si="60"/>
        <v>9.9863613462314316E-4</v>
      </c>
      <c r="Q461" s="33">
        <f t="shared" si="61"/>
        <v>0.28286360481374334</v>
      </c>
    </row>
    <row r="462" spans="1:17" x14ac:dyDescent="0.35">
      <c r="A462" s="13">
        <v>43032</v>
      </c>
      <c r="B462" s="14">
        <v>5394.8</v>
      </c>
      <c r="C462" s="2">
        <f t="shared" si="56"/>
        <v>1.4832526114714195E-3</v>
      </c>
      <c r="D462" s="2">
        <f t="shared" si="57"/>
        <v>8.8771769138042533E-3</v>
      </c>
      <c r="E462" s="3">
        <f t="shared" si="58"/>
        <v>-7.3939243023328338E-3</v>
      </c>
      <c r="F462">
        <f t="shared" si="62"/>
        <v>3.2514811264815834E-2</v>
      </c>
      <c r="G462">
        <f t="shared" si="59"/>
        <v>-0.22740172908011846</v>
      </c>
      <c r="H462">
        <f t="shared" si="63"/>
        <v>-0.42494570737337134</v>
      </c>
      <c r="P462" s="33">
        <f t="shared" si="60"/>
        <v>-2.0407166623670481E-4</v>
      </c>
      <c r="Q462" s="33">
        <f t="shared" si="61"/>
        <v>4.9849393455629221</v>
      </c>
    </row>
    <row r="463" spans="1:17" x14ac:dyDescent="0.35">
      <c r="A463" s="13">
        <v>43033</v>
      </c>
      <c r="B463" s="14">
        <v>5374.89</v>
      </c>
      <c r="C463" s="2">
        <f t="shared" si="56"/>
        <v>-3.690590939423144E-3</v>
      </c>
      <c r="D463" s="2">
        <f t="shared" si="57"/>
        <v>6.8577133465197223E-3</v>
      </c>
      <c r="E463" s="3">
        <f t="shared" si="58"/>
        <v>-1.0548304285942866E-2</v>
      </c>
      <c r="F463">
        <f t="shared" si="62"/>
        <v>0.22720373688654966</v>
      </c>
      <c r="G463">
        <f t="shared" si="59"/>
        <v>-4.642663201974527E-2</v>
      </c>
      <c r="H463">
        <f t="shared" si="63"/>
        <v>-0.40016765025940593</v>
      </c>
      <c r="P463" s="33">
        <f t="shared" si="60"/>
        <v>-5.3779152171312683E-3</v>
      </c>
      <c r="Q463" s="33">
        <f t="shared" si="61"/>
        <v>2.8581613240484502</v>
      </c>
    </row>
    <row r="464" spans="1:17" x14ac:dyDescent="0.35">
      <c r="A464" s="13">
        <v>43034</v>
      </c>
      <c r="B464" s="14">
        <v>5455.4</v>
      </c>
      <c r="C464" s="2">
        <f t="shared" si="56"/>
        <v>1.4978911196322109E-2</v>
      </c>
      <c r="D464" s="2">
        <f t="shared" si="57"/>
        <v>-1.0013333652083747E-2</v>
      </c>
      <c r="E464" s="3">
        <f t="shared" si="58"/>
        <v>2.4992244848405856E-2</v>
      </c>
      <c r="F464">
        <f t="shared" si="62"/>
        <v>6.1921212320908178E-2</v>
      </c>
      <c r="G464">
        <f t="shared" si="59"/>
        <v>0.40361362304864035</v>
      </c>
      <c r="H464">
        <f t="shared" si="63"/>
        <v>-0.48054191253428247</v>
      </c>
      <c r="P464" s="33">
        <f t="shared" si="60"/>
        <v>1.3291586918613985E-2</v>
      </c>
      <c r="Q464" s="33">
        <f t="shared" si="61"/>
        <v>1.6684954280617139</v>
      </c>
    </row>
    <row r="465" spans="1:17" x14ac:dyDescent="0.35">
      <c r="A465" s="13">
        <v>43035</v>
      </c>
      <c r="B465" s="14">
        <v>5494.13</v>
      </c>
      <c r="C465" s="2">
        <f t="shared" si="56"/>
        <v>7.0993877625840085E-3</v>
      </c>
      <c r="D465" s="2">
        <f t="shared" si="57"/>
        <v>4.2651831830396524E-2</v>
      </c>
      <c r="E465" s="3">
        <f t="shared" si="58"/>
        <v>-3.5552444067812515E-2</v>
      </c>
      <c r="F465">
        <f t="shared" si="62"/>
        <v>0.4010623601439412</v>
      </c>
      <c r="G465">
        <f t="shared" si="59"/>
        <v>-8.8645676086513706E-2</v>
      </c>
      <c r="H465">
        <f t="shared" si="63"/>
        <v>-0.4030189621234751</v>
      </c>
      <c r="P465" s="33">
        <f t="shared" si="60"/>
        <v>5.4120634848758842E-3</v>
      </c>
      <c r="Q465" s="33">
        <f t="shared" si="61"/>
        <v>5.0078183157123775</v>
      </c>
    </row>
    <row r="466" spans="1:17" x14ac:dyDescent="0.35">
      <c r="A466" s="13">
        <v>43039</v>
      </c>
      <c r="B466" s="14">
        <v>5503.29</v>
      </c>
      <c r="C466" s="2">
        <f t="shared" si="56"/>
        <v>1.6672339387673318E-3</v>
      </c>
      <c r="D466" s="2">
        <f t="shared" si="57"/>
        <v>3.465618771788069E-2</v>
      </c>
      <c r="E466" s="3">
        <f t="shared" si="58"/>
        <v>-3.2988953779113359E-2</v>
      </c>
      <c r="F466">
        <f t="shared" si="62"/>
        <v>0.1063896829986007</v>
      </c>
      <c r="G466">
        <f t="shared" si="59"/>
        <v>-0.3100766244368568</v>
      </c>
      <c r="H466">
        <f t="shared" si="63"/>
        <v>-0.44716369069013528</v>
      </c>
      <c r="P466" s="33">
        <f t="shared" si="60"/>
        <v>-2.0090338940792485E-5</v>
      </c>
      <c r="Q466" s="33">
        <f t="shared" si="61"/>
        <v>19.786637622974325</v>
      </c>
    </row>
    <row r="467" spans="1:17" x14ac:dyDescent="0.35">
      <c r="A467" s="13">
        <v>43040</v>
      </c>
      <c r="B467" s="14">
        <v>5514.29</v>
      </c>
      <c r="C467" s="2">
        <f t="shared" si="56"/>
        <v>1.9988043515788423E-3</v>
      </c>
      <c r="D467" s="2">
        <f t="shared" si="57"/>
        <v>1.1230733012355686E-2</v>
      </c>
      <c r="E467" s="3">
        <f t="shared" si="58"/>
        <v>-9.2319286607768433E-3</v>
      </c>
      <c r="F467">
        <f t="shared" si="62"/>
        <v>0.30891907168425492</v>
      </c>
      <c r="G467">
        <f t="shared" si="59"/>
        <v>-2.98846186816616E-2</v>
      </c>
      <c r="H467">
        <f t="shared" si="63"/>
        <v>-0.39953647939593168</v>
      </c>
      <c r="P467" s="33">
        <f t="shared" si="60"/>
        <v>3.1148007387071797E-4</v>
      </c>
      <c r="Q467" s="33">
        <f t="shared" si="61"/>
        <v>4.6187255163240986</v>
      </c>
    </row>
    <row r="468" spans="1:17" x14ac:dyDescent="0.35">
      <c r="A468" s="13">
        <v>43041</v>
      </c>
      <c r="B468" s="14">
        <v>5510.5</v>
      </c>
      <c r="C468" s="2">
        <f t="shared" si="56"/>
        <v>-6.8730516530690622E-4</v>
      </c>
      <c r="D468" s="2">
        <f t="shared" si="57"/>
        <v>7.555940481570907E-3</v>
      </c>
      <c r="E468" s="3">
        <f t="shared" si="58"/>
        <v>-8.2432456468778132E-3</v>
      </c>
      <c r="F468">
        <f t="shared" si="62"/>
        <v>5.7885814415132242E-2</v>
      </c>
      <c r="G468">
        <f t="shared" si="59"/>
        <v>-0.14240528064027552</v>
      </c>
      <c r="H468">
        <f t="shared" si="63"/>
        <v>-0.40922956615617534</v>
      </c>
      <c r="P468" s="33">
        <f t="shared" si="60"/>
        <v>-2.3746294430150305E-3</v>
      </c>
      <c r="Q468" s="33">
        <f t="shared" si="61"/>
        <v>11.993574416390295</v>
      </c>
    </row>
    <row r="469" spans="1:17" x14ac:dyDescent="0.35">
      <c r="A469" s="13">
        <v>43042</v>
      </c>
      <c r="B469" s="14">
        <v>5517.97</v>
      </c>
      <c r="C469" s="2">
        <f t="shared" si="56"/>
        <v>1.355593866255278E-3</v>
      </c>
      <c r="D469" s="2">
        <f t="shared" si="57"/>
        <v>-3.7774159550333242E-4</v>
      </c>
      <c r="E469" s="3">
        <f t="shared" si="58"/>
        <v>1.7333354617586104E-3</v>
      </c>
      <c r="F469">
        <f t="shared" si="62"/>
        <v>0.14421259673937353</v>
      </c>
      <c r="G469">
        <f t="shared" si="59"/>
        <v>1.2019306918737203E-2</v>
      </c>
      <c r="H469">
        <f t="shared" si="63"/>
        <v>-0.39916216604846094</v>
      </c>
      <c r="P469" s="33">
        <f t="shared" si="60"/>
        <v>-3.3173041145284632E-4</v>
      </c>
      <c r="Q469" s="33">
        <f t="shared" si="61"/>
        <v>1.2786539574325562</v>
      </c>
    </row>
    <row r="470" spans="1:17" x14ac:dyDescent="0.35">
      <c r="A470" s="13">
        <v>43045</v>
      </c>
      <c r="B470" s="14">
        <v>5507.25</v>
      </c>
      <c r="C470" s="2">
        <f t="shared" si="56"/>
        <v>-1.9427434364449603E-3</v>
      </c>
      <c r="D470" s="2">
        <f t="shared" si="57"/>
        <v>3.5549968030367408E-3</v>
      </c>
      <c r="E470" s="3">
        <f t="shared" si="58"/>
        <v>-5.4977402394817011E-3</v>
      </c>
      <c r="F470">
        <f t="shared" si="62"/>
        <v>3.6437399523349019E-2</v>
      </c>
      <c r="G470">
        <f t="shared" si="59"/>
        <v>-0.15088179484265224</v>
      </c>
      <c r="H470">
        <f t="shared" si="63"/>
        <v>-0.41047259218652765</v>
      </c>
      <c r="P470" s="33">
        <f t="shared" si="60"/>
        <v>-3.6300677141530846E-3</v>
      </c>
      <c r="Q470" s="33">
        <f t="shared" si="61"/>
        <v>2.829884860937713</v>
      </c>
    </row>
    <row r="471" spans="1:17" x14ac:dyDescent="0.35">
      <c r="A471" s="13">
        <v>43046</v>
      </c>
      <c r="B471" s="14">
        <v>5480.64</v>
      </c>
      <c r="C471" s="2">
        <f t="shared" si="56"/>
        <v>-4.8318126106495773E-3</v>
      </c>
      <c r="D471" s="2">
        <f t="shared" si="57"/>
        <v>-4.7748492629311043E-3</v>
      </c>
      <c r="E471" s="3">
        <f t="shared" si="58"/>
        <v>-5.6963347718473091E-5</v>
      </c>
      <c r="F471">
        <f t="shared" si="62"/>
        <v>0.15232679576638944</v>
      </c>
      <c r="G471">
        <f t="shared" si="59"/>
        <v>-3.739548740054435E-4</v>
      </c>
      <c r="H471">
        <f t="shared" si="63"/>
        <v>-0.39909000410018142</v>
      </c>
      <c r="P471" s="33">
        <f t="shared" si="60"/>
        <v>-6.5191368883577017E-3</v>
      </c>
      <c r="Q471" s="33">
        <f t="shared" si="61"/>
        <v>1.178922948976183E-2</v>
      </c>
    </row>
    <row r="472" spans="1:17" x14ac:dyDescent="0.35">
      <c r="A472" s="13">
        <v>43047</v>
      </c>
      <c r="B472" s="14">
        <v>5471.43</v>
      </c>
      <c r="C472" s="2">
        <f t="shared" si="56"/>
        <v>-1.6804606761253726E-3</v>
      </c>
      <c r="D472" s="2">
        <f t="shared" si="57"/>
        <v>-1.6463233663712884E-2</v>
      </c>
      <c r="E472" s="3">
        <f t="shared" si="58"/>
        <v>1.4782772987587511E-2</v>
      </c>
      <c r="F472">
        <f t="shared" si="62"/>
        <v>3.5035624414628007E-2</v>
      </c>
      <c r="G472">
        <f t="shared" si="59"/>
        <v>0.42193547951768307</v>
      </c>
      <c r="H472">
        <f t="shared" si="63"/>
        <v>-0.48810470861696609</v>
      </c>
      <c r="P472" s="33">
        <f t="shared" si="60"/>
        <v>-3.367784953833497E-3</v>
      </c>
      <c r="Q472" s="33">
        <f t="shared" si="61"/>
        <v>8.7968574317799906</v>
      </c>
    </row>
    <row r="473" spans="1:17" x14ac:dyDescent="0.35">
      <c r="A473" s="13">
        <v>43048</v>
      </c>
      <c r="B473" s="14">
        <v>5407.75</v>
      </c>
      <c r="C473" s="2">
        <f t="shared" si="56"/>
        <v>-1.163863925884101E-2</v>
      </c>
      <c r="D473" s="2">
        <f t="shared" si="57"/>
        <v>-9.3136647521581788E-3</v>
      </c>
      <c r="E473" s="3">
        <f t="shared" si="58"/>
        <v>-2.3249745066828316E-3</v>
      </c>
      <c r="F473">
        <f t="shared" si="62"/>
        <v>0.41911583665076674</v>
      </c>
      <c r="G473">
        <f t="shared" si="59"/>
        <v>-5.5473315569799005E-3</v>
      </c>
      <c r="H473">
        <f t="shared" si="63"/>
        <v>-0.39910532062275905</v>
      </c>
      <c r="P473" s="33">
        <f t="shared" si="60"/>
        <v>-1.3325963536549135E-2</v>
      </c>
      <c r="Q473" s="33">
        <f t="shared" si="61"/>
        <v>0.19976343067053315</v>
      </c>
    </row>
    <row r="474" spans="1:17" x14ac:dyDescent="0.35">
      <c r="A474" s="13">
        <v>43049</v>
      </c>
      <c r="B474" s="14">
        <v>5380.72</v>
      </c>
      <c r="C474" s="2">
        <f t="shared" si="56"/>
        <v>-4.9983819518283346E-3</v>
      </c>
      <c r="D474" s="2">
        <f t="shared" si="57"/>
        <v>-3.706677481910365E-2</v>
      </c>
      <c r="E474" s="3">
        <f t="shared" si="58"/>
        <v>3.2068392867275315E-2</v>
      </c>
      <c r="F474">
        <f t="shared" si="62"/>
        <v>6.2358380975786436E-2</v>
      </c>
      <c r="G474">
        <f t="shared" si="59"/>
        <v>0.51425954884440273</v>
      </c>
      <c r="H474">
        <f t="shared" si="63"/>
        <v>-0.53132137596788187</v>
      </c>
      <c r="P474" s="33">
        <f t="shared" si="60"/>
        <v>-6.6857062295364589E-3</v>
      </c>
      <c r="Q474" s="33">
        <f t="shared" si="61"/>
        <v>6.4157547735112894</v>
      </c>
    </row>
    <row r="475" spans="1:17" x14ac:dyDescent="0.35">
      <c r="A475" s="13">
        <v>43052</v>
      </c>
      <c r="B475" s="14">
        <v>5341.63</v>
      </c>
      <c r="C475" s="2">
        <f t="shared" si="56"/>
        <v>-7.264827011998376E-3</v>
      </c>
      <c r="D475" s="2">
        <f t="shared" si="57"/>
        <v>-2.5343200386213315E-2</v>
      </c>
      <c r="E475" s="3">
        <f t="shared" si="58"/>
        <v>1.8078373374214939E-2</v>
      </c>
      <c r="F475">
        <f t="shared" si="62"/>
        <v>0.51046473082610233</v>
      </c>
      <c r="G475">
        <f t="shared" si="59"/>
        <v>3.5415519001593107E-2</v>
      </c>
      <c r="H475">
        <f t="shared" si="63"/>
        <v>-0.39971706367213361</v>
      </c>
      <c r="P475" s="33">
        <f t="shared" si="60"/>
        <v>-8.9521512897065003E-3</v>
      </c>
      <c r="Q475" s="33">
        <f t="shared" si="61"/>
        <v>2.4884795390664123</v>
      </c>
    </row>
    <row r="476" spans="1:17" x14ac:dyDescent="0.35">
      <c r="A476" s="13">
        <v>43053</v>
      </c>
      <c r="B476" s="14">
        <v>5315.58</v>
      </c>
      <c r="C476" s="2">
        <f t="shared" si="56"/>
        <v>-4.8767885458184113E-3</v>
      </c>
      <c r="D476" s="2">
        <f t="shared" si="57"/>
        <v>-2.6546502352203422E-2</v>
      </c>
      <c r="E476" s="3">
        <f t="shared" si="58"/>
        <v>2.1669713806385011E-2</v>
      </c>
      <c r="F476">
        <f t="shared" si="62"/>
        <v>8.0965255583492324E-2</v>
      </c>
      <c r="G476">
        <f t="shared" si="59"/>
        <v>0.26764213427374345</v>
      </c>
      <c r="H476">
        <f t="shared" si="63"/>
        <v>-0.4349060901983598</v>
      </c>
      <c r="P476" s="33">
        <f t="shared" si="60"/>
        <v>-6.5641128235265356E-3</v>
      </c>
      <c r="Q476" s="33">
        <f t="shared" si="61"/>
        <v>4.443439284437634</v>
      </c>
    </row>
    <row r="477" spans="1:17" x14ac:dyDescent="0.35">
      <c r="A477" s="13">
        <v>43054</v>
      </c>
      <c r="B477" s="14">
        <v>5301.25</v>
      </c>
      <c r="C477" s="2">
        <f t="shared" si="56"/>
        <v>-2.6958488067153619E-3</v>
      </c>
      <c r="D477" s="2">
        <f t="shared" si="57"/>
        <v>-2.1195296389215496E-2</v>
      </c>
      <c r="E477" s="3">
        <f t="shared" si="58"/>
        <v>1.8499447582500134E-2</v>
      </c>
      <c r="F477">
        <f t="shared" si="62"/>
        <v>0.26697739961400846</v>
      </c>
      <c r="G477">
        <f t="shared" si="59"/>
        <v>6.9292185815152632E-2</v>
      </c>
      <c r="H477">
        <f t="shared" si="63"/>
        <v>-0.40149063768657833</v>
      </c>
      <c r="P477" s="33">
        <f t="shared" si="60"/>
        <v>-4.3831730844234862E-3</v>
      </c>
      <c r="Q477" s="33">
        <f t="shared" si="61"/>
        <v>6.8621977376542755</v>
      </c>
    </row>
    <row r="478" spans="1:17" x14ac:dyDescent="0.35">
      <c r="A478" s="13">
        <v>43055</v>
      </c>
      <c r="B478" s="14">
        <v>5336.39</v>
      </c>
      <c r="C478" s="2">
        <f t="shared" si="56"/>
        <v>6.628625324216042E-3</v>
      </c>
      <c r="D478" s="2">
        <f t="shared" si="57"/>
        <v>-1.2459739327016883E-2</v>
      </c>
      <c r="E478" s="3">
        <f t="shared" si="58"/>
        <v>1.9088364651232925E-2</v>
      </c>
      <c r="F478">
        <f t="shared" si="62"/>
        <v>8.2289515092754062E-2</v>
      </c>
      <c r="G478">
        <f t="shared" si="59"/>
        <v>0.23196593915661237</v>
      </c>
      <c r="H478">
        <f t="shared" si="63"/>
        <v>-0.42599403264346214</v>
      </c>
      <c r="P478" s="33">
        <f t="shared" si="60"/>
        <v>4.9413010465079177E-3</v>
      </c>
      <c r="Q478" s="33">
        <f t="shared" si="61"/>
        <v>2.8796867702717046</v>
      </c>
    </row>
    <row r="479" spans="1:17" x14ac:dyDescent="0.35">
      <c r="A479" s="13">
        <v>43056</v>
      </c>
      <c r="B479" s="14">
        <v>5319.17</v>
      </c>
      <c r="C479" s="2">
        <f t="shared" si="56"/>
        <v>-3.2269005826036645E-3</v>
      </c>
      <c r="D479" s="2">
        <f t="shared" si="57"/>
        <v>1.7957376794219798E-2</v>
      </c>
      <c r="E479" s="3">
        <f t="shared" si="58"/>
        <v>-2.1184277376823463E-2</v>
      </c>
      <c r="F479">
        <f t="shared" si="62"/>
        <v>0.23190275437010005</v>
      </c>
      <c r="G479">
        <f t="shared" si="59"/>
        <v>-9.1349830813198904E-2</v>
      </c>
      <c r="H479">
        <f t="shared" si="63"/>
        <v>-0.40326232997385758</v>
      </c>
      <c r="P479" s="33">
        <f t="shared" si="60"/>
        <v>-4.9142248603117888E-3</v>
      </c>
      <c r="Q479" s="33">
        <f t="shared" si="61"/>
        <v>6.5648993002848162</v>
      </c>
    </row>
    <row r="480" spans="1:17" x14ac:dyDescent="0.35">
      <c r="A480" s="13">
        <v>43059</v>
      </c>
      <c r="B480" s="14">
        <v>5340.45</v>
      </c>
      <c r="C480" s="2">
        <f t="shared" si="56"/>
        <v>4.0006241575283319E-3</v>
      </c>
      <c r="D480" s="2">
        <f t="shared" si="57"/>
        <v>-4.1524890434846348E-3</v>
      </c>
      <c r="E480" s="3">
        <f t="shared" si="58"/>
        <v>8.1531132010129667E-3</v>
      </c>
      <c r="F480">
        <f t="shared" si="62"/>
        <v>9.9744148808878219E-2</v>
      </c>
      <c r="G480">
        <f t="shared" si="59"/>
        <v>8.1740265452917057E-2</v>
      </c>
      <c r="H480">
        <f t="shared" si="63"/>
        <v>-0.40243066967721419</v>
      </c>
      <c r="P480" s="33">
        <f t="shared" si="60"/>
        <v>2.3132998798202076E-3</v>
      </c>
      <c r="Q480" s="33">
        <f t="shared" si="61"/>
        <v>2.037960298187603</v>
      </c>
    </row>
    <row r="481" spans="1:17" x14ac:dyDescent="0.35">
      <c r="A481" s="13">
        <v>43060</v>
      </c>
      <c r="B481" s="14">
        <v>5366.15</v>
      </c>
      <c r="C481" s="2">
        <f t="shared" si="56"/>
        <v>4.812328549092193E-3</v>
      </c>
      <c r="D481" s="2">
        <f t="shared" si="57"/>
        <v>9.4568340418201557E-3</v>
      </c>
      <c r="E481" s="3">
        <f t="shared" si="58"/>
        <v>-4.6445054927279628E-3</v>
      </c>
      <c r="F481">
        <f t="shared" si="62"/>
        <v>8.6943985212400696E-2</v>
      </c>
      <c r="G481">
        <f t="shared" si="59"/>
        <v>-5.3419514660866078E-2</v>
      </c>
      <c r="H481">
        <f t="shared" si="63"/>
        <v>-0.40051675645235879</v>
      </c>
      <c r="P481" s="33">
        <f t="shared" si="60"/>
        <v>3.1250042713840687E-3</v>
      </c>
      <c r="Q481" s="33">
        <f t="shared" si="61"/>
        <v>0.96512643418831234</v>
      </c>
    </row>
    <row r="482" spans="1:17" x14ac:dyDescent="0.35">
      <c r="A482" s="13">
        <v>43061</v>
      </c>
      <c r="B482" s="14">
        <v>5352.76</v>
      </c>
      <c r="C482" s="2">
        <f t="shared" si="56"/>
        <v>-2.495271283881273E-3</v>
      </c>
      <c r="D482" s="2">
        <f t="shared" si="57"/>
        <v>1.8180129266464853E-2</v>
      </c>
      <c r="E482" s="3">
        <f t="shared" si="58"/>
        <v>-2.0675400550346126E-2</v>
      </c>
      <c r="F482">
        <f t="shared" si="62"/>
        <v>6.1314068792487367E-2</v>
      </c>
      <c r="G482">
        <f t="shared" si="59"/>
        <v>-0.33720483663089446</v>
      </c>
      <c r="H482">
        <f t="shared" si="63"/>
        <v>-0.45594348510269161</v>
      </c>
      <c r="P482" s="33">
        <f t="shared" si="60"/>
        <v>-4.1825955615893973E-3</v>
      </c>
      <c r="Q482" s="33">
        <f t="shared" si="61"/>
        <v>8.2858327605111324</v>
      </c>
    </row>
    <row r="483" spans="1:17" x14ac:dyDescent="0.35">
      <c r="A483" s="13">
        <v>43062</v>
      </c>
      <c r="B483" s="14">
        <v>5379.54</v>
      </c>
      <c r="C483" s="2">
        <f t="shared" si="56"/>
        <v>5.0030264760609899E-3</v>
      </c>
      <c r="D483" s="2">
        <f t="shared" si="57"/>
        <v>-3.4815541176815542E-3</v>
      </c>
      <c r="E483" s="3">
        <f t="shared" si="58"/>
        <v>8.4845805937425432E-3</v>
      </c>
      <c r="F483">
        <f t="shared" si="62"/>
        <v>0.33547365005237362</v>
      </c>
      <c r="G483">
        <f t="shared" si="59"/>
        <v>2.5291347300802743E-2</v>
      </c>
      <c r="H483">
        <f t="shared" si="63"/>
        <v>-0.39940976030320241</v>
      </c>
      <c r="P483" s="33">
        <f t="shared" si="60"/>
        <v>3.3157021983528656E-3</v>
      </c>
      <c r="Q483" s="33">
        <f t="shared" si="61"/>
        <v>1.6958896048902523</v>
      </c>
    </row>
    <row r="484" spans="1:17" x14ac:dyDescent="0.35">
      <c r="A484" s="13">
        <v>43063</v>
      </c>
      <c r="B484" s="14">
        <v>5390.46</v>
      </c>
      <c r="C484" s="2">
        <f t="shared" si="56"/>
        <v>2.029913338315259E-3</v>
      </c>
      <c r="D484" s="2">
        <f t="shared" si="57"/>
        <v>1.3155941641415923E-2</v>
      </c>
      <c r="E484" s="3">
        <f t="shared" si="58"/>
        <v>-1.1126028303100664E-2</v>
      </c>
      <c r="F484">
        <f t="shared" si="62"/>
        <v>5.828564609432809E-2</v>
      </c>
      <c r="G484">
        <f t="shared" si="59"/>
        <v>-0.19088796382379578</v>
      </c>
      <c r="H484">
        <f t="shared" si="63"/>
        <v>-0.4173090415454549</v>
      </c>
      <c r="P484" s="33">
        <f t="shared" si="60"/>
        <v>3.4258906060713468E-4</v>
      </c>
      <c r="Q484" s="33">
        <f t="shared" si="61"/>
        <v>5.4810361078442842</v>
      </c>
    </row>
    <row r="485" spans="1:17" x14ac:dyDescent="0.35">
      <c r="A485" s="13">
        <v>43066</v>
      </c>
      <c r="B485" s="14">
        <v>5360.09</v>
      </c>
      <c r="C485" s="2">
        <f t="shared" si="56"/>
        <v>-5.6340275226974823E-3</v>
      </c>
      <c r="D485" s="2">
        <f t="shared" si="57"/>
        <v>1.0530849936115819E-2</v>
      </c>
      <c r="E485" s="3">
        <f t="shared" si="58"/>
        <v>-1.6164877458813301E-2</v>
      </c>
      <c r="F485">
        <f t="shared" si="62"/>
        <v>0.19148054549831062</v>
      </c>
      <c r="G485">
        <f t="shared" si="59"/>
        <v>-8.4420469018122363E-2</v>
      </c>
      <c r="H485">
        <f t="shared" si="63"/>
        <v>-0.40265334197367741</v>
      </c>
      <c r="P485" s="33">
        <f t="shared" si="60"/>
        <v>-7.3213518004056066E-3</v>
      </c>
      <c r="Q485" s="33">
        <f t="shared" si="61"/>
        <v>2.8691513120393521</v>
      </c>
    </row>
    <row r="486" spans="1:17" x14ac:dyDescent="0.35">
      <c r="A486" s="13">
        <v>43067</v>
      </c>
      <c r="B486" s="14">
        <v>5390.48</v>
      </c>
      <c r="C486" s="2">
        <f t="shared" si="56"/>
        <v>5.6696809195366793E-3</v>
      </c>
      <c r="D486" s="2">
        <f t="shared" si="57"/>
        <v>-1.5488636959903003E-2</v>
      </c>
      <c r="E486" s="3">
        <f t="shared" si="58"/>
        <v>2.1158317879439684E-2</v>
      </c>
      <c r="F486">
        <f t="shared" si="62"/>
        <v>9.1965202230406204E-2</v>
      </c>
      <c r="G486">
        <f t="shared" si="59"/>
        <v>0.23006873650351378</v>
      </c>
      <c r="H486">
        <f t="shared" si="63"/>
        <v>-0.42555574593721918</v>
      </c>
      <c r="P486" s="33">
        <f t="shared" si="60"/>
        <v>3.982356641828555E-3</v>
      </c>
      <c r="Q486" s="33">
        <f t="shared" si="61"/>
        <v>3.7318357381509788</v>
      </c>
    </row>
    <row r="487" spans="1:17" x14ac:dyDescent="0.35">
      <c r="A487" s="13">
        <v>43068</v>
      </c>
      <c r="B487" s="14">
        <v>5398.05</v>
      </c>
      <c r="C487" s="2">
        <f t="shared" si="56"/>
        <v>1.4043276294506413E-3</v>
      </c>
      <c r="D487" s="2">
        <f t="shared" si="57"/>
        <v>1.2486395182938127E-2</v>
      </c>
      <c r="E487" s="3">
        <f t="shared" si="58"/>
        <v>-1.1082067553487486E-2</v>
      </c>
      <c r="F487">
        <f t="shared" si="62"/>
        <v>0.23010272328195891</v>
      </c>
      <c r="G487">
        <f t="shared" si="59"/>
        <v>-4.816139242258316E-2</v>
      </c>
      <c r="H487">
        <f t="shared" si="63"/>
        <v>-0.40024969403909855</v>
      </c>
      <c r="P487" s="33">
        <f t="shared" si="60"/>
        <v>-2.8299664825748305E-4</v>
      </c>
      <c r="Q487" s="33">
        <f t="shared" si="61"/>
        <v>7.8913690232119684</v>
      </c>
    </row>
    <row r="488" spans="1:17" x14ac:dyDescent="0.35">
      <c r="A488" s="13">
        <v>43069</v>
      </c>
      <c r="B488" s="14">
        <v>5372.79</v>
      </c>
      <c r="C488" s="2">
        <f t="shared" si="56"/>
        <v>-4.679467585517072E-3</v>
      </c>
      <c r="D488" s="2">
        <f t="shared" si="57"/>
        <v>9.1919660106107356E-3</v>
      </c>
      <c r="E488" s="3">
        <f t="shared" si="58"/>
        <v>-1.3871433596127808E-2</v>
      </c>
      <c r="F488">
        <f t="shared" si="62"/>
        <v>6.3389552989931694E-2</v>
      </c>
      <c r="G488">
        <f t="shared" si="59"/>
        <v>-0.21882838641141764</v>
      </c>
      <c r="H488">
        <f t="shared" si="63"/>
        <v>-0.4230328655287699</v>
      </c>
      <c r="P488" s="33">
        <f t="shared" si="60"/>
        <v>-6.3667918632251963E-3</v>
      </c>
      <c r="Q488" s="33">
        <f t="shared" si="61"/>
        <v>2.9643187697377846</v>
      </c>
    </row>
    <row r="489" spans="1:17" x14ac:dyDescent="0.35">
      <c r="A489" s="13">
        <v>43070</v>
      </c>
      <c r="B489" s="14">
        <v>5316.89</v>
      </c>
      <c r="C489" s="2">
        <f t="shared" si="56"/>
        <v>-1.0404277851916666E-2</v>
      </c>
      <c r="D489" s="2">
        <f t="shared" si="57"/>
        <v>-1.3107586312499758E-2</v>
      </c>
      <c r="E489" s="3">
        <f t="shared" si="58"/>
        <v>2.7033084605830923E-3</v>
      </c>
      <c r="F489">
        <f t="shared" si="62"/>
        <v>0.21889755558609425</v>
      </c>
      <c r="G489">
        <f t="shared" si="59"/>
        <v>1.2349651202568401E-2</v>
      </c>
      <c r="H489">
        <f t="shared" si="63"/>
        <v>-0.39916619112147006</v>
      </c>
      <c r="P489" s="33">
        <f t="shared" si="60"/>
        <v>-1.209160212962479E-2</v>
      </c>
      <c r="Q489" s="33">
        <f t="shared" si="61"/>
        <v>0.25982663083964941</v>
      </c>
    </row>
    <row r="490" spans="1:17" x14ac:dyDescent="0.35">
      <c r="A490" s="13">
        <v>43073</v>
      </c>
      <c r="B490" s="14">
        <v>5389.29</v>
      </c>
      <c r="C490" s="2">
        <f t="shared" si="56"/>
        <v>1.3616982860281013E-2</v>
      </c>
      <c r="D490" s="2">
        <f t="shared" si="57"/>
        <v>-3.5878406082726293E-2</v>
      </c>
      <c r="E490" s="3">
        <f t="shared" si="58"/>
        <v>4.9495388943007305E-2</v>
      </c>
      <c r="F490">
        <f t="shared" si="62"/>
        <v>4.246874007357871E-2</v>
      </c>
      <c r="G490">
        <f t="shared" si="59"/>
        <v>1.1654546110210631</v>
      </c>
      <c r="H490">
        <f t="shared" si="63"/>
        <v>-1.0782321593541861</v>
      </c>
      <c r="P490" s="33">
        <f t="shared" si="60"/>
        <v>1.1929658582572888E-2</v>
      </c>
      <c r="Q490" s="33">
        <f t="shared" si="61"/>
        <v>3.6348278800716556</v>
      </c>
    </row>
    <row r="491" spans="1:17" x14ac:dyDescent="0.35">
      <c r="A491" s="13">
        <v>43074</v>
      </c>
      <c r="B491" s="14">
        <v>5375.53</v>
      </c>
      <c r="C491" s="2">
        <f t="shared" si="56"/>
        <v>-2.5532120186518847E-3</v>
      </c>
      <c r="D491" s="2">
        <f t="shared" si="57"/>
        <v>3.26883485902143E-2</v>
      </c>
      <c r="E491" s="3">
        <f t="shared" si="58"/>
        <v>-3.5241560608866185E-2</v>
      </c>
      <c r="F491">
        <f t="shared" si="62"/>
        <v>1.1552396455725678</v>
      </c>
      <c r="G491">
        <f t="shared" si="59"/>
        <v>-3.0505844171751499E-2</v>
      </c>
      <c r="H491">
        <f t="shared" si="63"/>
        <v>-0.39955523744337312</v>
      </c>
      <c r="P491" s="33">
        <f t="shared" si="60"/>
        <v>-4.2405362963600091E-3</v>
      </c>
      <c r="Q491" s="33">
        <f t="shared" si="61"/>
        <v>13.802833588208626</v>
      </c>
    </row>
    <row r="492" spans="1:17" x14ac:dyDescent="0.35">
      <c r="A492" s="13">
        <v>43075</v>
      </c>
      <c r="B492" s="14">
        <v>5374.35</v>
      </c>
      <c r="C492" s="2">
        <f t="shared" si="56"/>
        <v>-2.1951323869451311E-4</v>
      </c>
      <c r="D492" s="2">
        <f t="shared" si="57"/>
        <v>3.9419885612322729E-3</v>
      </c>
      <c r="E492" s="3">
        <f t="shared" si="58"/>
        <v>-4.161501799926786E-3</v>
      </c>
      <c r="F492">
        <f t="shared" si="62"/>
        <v>0.15739205594463362</v>
      </c>
      <c r="G492">
        <f t="shared" si="59"/>
        <v>-2.6440354787605626E-2</v>
      </c>
      <c r="H492">
        <f t="shared" si="63"/>
        <v>-0.39943948035970478</v>
      </c>
      <c r="P492" s="33">
        <f t="shared" si="60"/>
        <v>-1.9068375164026374E-3</v>
      </c>
      <c r="Q492" s="33">
        <f t="shared" si="61"/>
        <v>18.957862517431874</v>
      </c>
    </row>
    <row r="493" spans="1:17" x14ac:dyDescent="0.35">
      <c r="A493" s="13">
        <v>43076</v>
      </c>
      <c r="B493" s="14">
        <v>5383.86</v>
      </c>
      <c r="C493" s="2">
        <f t="shared" si="56"/>
        <v>1.769516313600672E-3</v>
      </c>
      <c r="D493" s="2">
        <f t="shared" si="57"/>
        <v>-2.8758728861714056E-3</v>
      </c>
      <c r="E493" s="3">
        <f t="shared" si="58"/>
        <v>4.6453891997720771E-3</v>
      </c>
      <c r="F493">
        <f t="shared" si="62"/>
        <v>4.4055431767445467E-2</v>
      </c>
      <c r="G493">
        <f t="shared" si="59"/>
        <v>0.10544418732050115</v>
      </c>
      <c r="H493">
        <f t="shared" si="63"/>
        <v>-0.40464917249889798</v>
      </c>
      <c r="P493" s="33">
        <f t="shared" si="60"/>
        <v>8.2192035892547644E-5</v>
      </c>
      <c r="Q493" s="33">
        <f t="shared" si="61"/>
        <v>2.625231066855485</v>
      </c>
    </row>
    <row r="494" spans="1:17" x14ac:dyDescent="0.35">
      <c r="A494" s="13">
        <v>43077</v>
      </c>
      <c r="B494" s="14">
        <v>5399.09</v>
      </c>
      <c r="C494" s="2">
        <f t="shared" si="56"/>
        <v>2.8288254152226688E-3</v>
      </c>
      <c r="D494" s="2">
        <f t="shared" si="57"/>
        <v>5.2254985505791191E-3</v>
      </c>
      <c r="E494" s="3">
        <f t="shared" si="58"/>
        <v>-2.3966731353564502E-3</v>
      </c>
      <c r="F494">
        <f t="shared" si="62"/>
        <v>0.10852567704590234</v>
      </c>
      <c r="G494">
        <f t="shared" si="59"/>
        <v>-2.2083927053896623E-2</v>
      </c>
      <c r="H494">
        <f t="shared" si="63"/>
        <v>-0.39933378409611842</v>
      </c>
      <c r="P494" s="33">
        <f t="shared" si="60"/>
        <v>1.1415011375145445E-3</v>
      </c>
      <c r="Q494" s="33">
        <f t="shared" si="61"/>
        <v>0.84723260843857973</v>
      </c>
    </row>
    <row r="495" spans="1:17" x14ac:dyDescent="0.35">
      <c r="A495" s="13">
        <v>43080</v>
      </c>
      <c r="B495" s="14">
        <v>5386.83</v>
      </c>
      <c r="C495" s="2">
        <f t="shared" si="56"/>
        <v>-2.2707530343076821E-3</v>
      </c>
      <c r="D495" s="2">
        <f t="shared" si="57"/>
        <v>1.0184233878362953E-2</v>
      </c>
      <c r="E495" s="3">
        <f t="shared" si="58"/>
        <v>-1.2454986912670635E-2</v>
      </c>
      <c r="F495">
        <f t="shared" si="62"/>
        <v>3.8846612532010244E-2</v>
      </c>
      <c r="G495">
        <f t="shared" si="59"/>
        <v>-0.32061963967662616</v>
      </c>
      <c r="H495">
        <f t="shared" si="63"/>
        <v>-0.45048841085224234</v>
      </c>
      <c r="P495" s="33">
        <f t="shared" si="60"/>
        <v>-3.9580773120158064E-3</v>
      </c>
      <c r="Q495" s="33">
        <f t="shared" si="61"/>
        <v>5.4849588328164316</v>
      </c>
    </row>
    <row r="496" spans="1:17" x14ac:dyDescent="0.35">
      <c r="A496" s="13">
        <v>43081</v>
      </c>
      <c r="B496" s="14">
        <v>5427.19</v>
      </c>
      <c r="C496" s="2">
        <f t="shared" si="56"/>
        <v>7.4923470761096844E-3</v>
      </c>
      <c r="D496" s="2">
        <f t="shared" si="57"/>
        <v>-4.5068043328150087E-3</v>
      </c>
      <c r="E496" s="3">
        <f t="shared" si="58"/>
        <v>1.1999151408924692E-2</v>
      </c>
      <c r="F496">
        <f t="shared" si="62"/>
        <v>0.31904684616612455</v>
      </c>
      <c r="G496">
        <f t="shared" si="59"/>
        <v>3.7609371642798976E-2</v>
      </c>
      <c r="H496">
        <f t="shared" si="63"/>
        <v>-0.39979716659674064</v>
      </c>
      <c r="P496" s="33">
        <f t="shared" si="60"/>
        <v>5.8050227984015601E-3</v>
      </c>
      <c r="Q496" s="33">
        <f t="shared" si="61"/>
        <v>1.6015210303304734</v>
      </c>
    </row>
    <row r="497" spans="1:17" x14ac:dyDescent="0.35">
      <c r="A497" s="13">
        <v>43082</v>
      </c>
      <c r="B497" s="14">
        <v>5399.45</v>
      </c>
      <c r="C497" s="2">
        <f t="shared" si="56"/>
        <v>-5.1113006915179948E-3</v>
      </c>
      <c r="D497" s="2">
        <f t="shared" si="57"/>
        <v>2.0967476809936082E-2</v>
      </c>
      <c r="E497" s="3">
        <f t="shared" si="58"/>
        <v>-2.6078777501454077E-2</v>
      </c>
      <c r="F497">
        <f t="shared" si="62"/>
        <v>6.302752876849832E-2</v>
      </c>
      <c r="G497">
        <f t="shared" si="59"/>
        <v>-0.41376804724872007</v>
      </c>
      <c r="H497">
        <f t="shared" si="63"/>
        <v>-0.48469193264106702</v>
      </c>
      <c r="P497" s="33">
        <f t="shared" si="60"/>
        <v>-6.7986249692261191E-3</v>
      </c>
      <c r="Q497" s="33">
        <f t="shared" si="61"/>
        <v>5.102180262008611</v>
      </c>
    </row>
    <row r="498" spans="1:17" x14ac:dyDescent="0.35">
      <c r="A498" s="13">
        <v>43083</v>
      </c>
      <c r="B498" s="14">
        <v>5357.14</v>
      </c>
      <c r="C498" s="2">
        <f t="shared" si="56"/>
        <v>-7.8359832945946728E-3</v>
      </c>
      <c r="D498" s="2">
        <f t="shared" si="57"/>
        <v>-9.1734201164009356E-3</v>
      </c>
      <c r="E498" s="3">
        <f t="shared" si="58"/>
        <v>1.3374368218062628E-3</v>
      </c>
      <c r="F498">
        <f t="shared" si="62"/>
        <v>0.41110015888447976</v>
      </c>
      <c r="G498">
        <f t="shared" si="59"/>
        <v>3.2533113716992899E-3</v>
      </c>
      <c r="H498">
        <f t="shared" si="63"/>
        <v>-0.39909522619649812</v>
      </c>
      <c r="P498" s="33">
        <f t="shared" si="60"/>
        <v>-9.5233075723027971E-3</v>
      </c>
      <c r="Q498" s="33">
        <f t="shared" si="61"/>
        <v>0.17067887609316854</v>
      </c>
    </row>
    <row r="499" spans="1:17" x14ac:dyDescent="0.35">
      <c r="A499" s="13">
        <v>43084</v>
      </c>
      <c r="B499" s="14">
        <v>5349.3</v>
      </c>
      <c r="C499" s="2">
        <f t="shared" si="56"/>
        <v>-1.4634674471826203E-3</v>
      </c>
      <c r="D499" s="2">
        <f t="shared" si="57"/>
        <v>-2.8391810792455969E-2</v>
      </c>
      <c r="E499" s="3">
        <f t="shared" si="58"/>
        <v>2.6928343345273349E-2</v>
      </c>
      <c r="F499">
        <f t="shared" si="62"/>
        <v>6.1269073321446585E-2</v>
      </c>
      <c r="G499">
        <f t="shared" si="59"/>
        <v>0.43950955817455412</v>
      </c>
      <c r="H499">
        <f t="shared" si="63"/>
        <v>-0.49567426004245341</v>
      </c>
      <c r="P499" s="33">
        <f t="shared" si="60"/>
        <v>-3.1507917248907447E-3</v>
      </c>
      <c r="Q499" s="33">
        <f t="shared" si="61"/>
        <v>18.400370569987174</v>
      </c>
    </row>
    <row r="500" spans="1:17" x14ac:dyDescent="0.35">
      <c r="A500" s="13">
        <v>43087</v>
      </c>
      <c r="B500" s="14">
        <v>5420.58</v>
      </c>
      <c r="C500" s="2">
        <f t="shared" si="56"/>
        <v>1.332510795805053E-2</v>
      </c>
      <c r="D500" s="2">
        <f t="shared" si="57"/>
        <v>-1.1243060948547143E-2</v>
      </c>
      <c r="E500" s="3">
        <f t="shared" si="58"/>
        <v>2.4568168906597673E-2</v>
      </c>
      <c r="F500">
        <f t="shared" si="62"/>
        <v>0.43653980828792455</v>
      </c>
      <c r="G500">
        <f t="shared" si="59"/>
        <v>5.6279332239944246E-2</v>
      </c>
      <c r="H500">
        <f t="shared" si="63"/>
        <v>-0.40067361579774452</v>
      </c>
      <c r="P500" s="33">
        <f t="shared" si="60"/>
        <v>1.1637783680342406E-2</v>
      </c>
      <c r="Q500" s="33">
        <f t="shared" si="61"/>
        <v>1.8437500832219904</v>
      </c>
    </row>
    <row r="501" spans="1:17" x14ac:dyDescent="0.35">
      <c r="A501" s="13">
        <v>43088</v>
      </c>
      <c r="B501" s="14">
        <v>5382.91</v>
      </c>
      <c r="C501" s="2">
        <f t="shared" si="56"/>
        <v>-6.9494408347445802E-3</v>
      </c>
      <c r="D501" s="2">
        <f t="shared" si="57"/>
        <v>3.9513556146552102E-2</v>
      </c>
      <c r="E501" s="3">
        <f t="shared" si="58"/>
        <v>-4.6462996981296682E-2</v>
      </c>
      <c r="F501">
        <f t="shared" si="62"/>
        <v>8.5004269819848127E-2</v>
      </c>
      <c r="G501">
        <f t="shared" si="59"/>
        <v>-0.54659603664341783</v>
      </c>
      <c r="H501">
        <f t="shared" si="63"/>
        <v>-0.54847354781620383</v>
      </c>
      <c r="P501" s="33">
        <f t="shared" si="60"/>
        <v>-8.6367651124527045E-3</v>
      </c>
      <c r="Q501" s="33">
        <f t="shared" si="61"/>
        <v>6.6858612205170873</v>
      </c>
    </row>
    <row r="502" spans="1:17" x14ac:dyDescent="0.35">
      <c r="A502" s="13">
        <v>43089</v>
      </c>
      <c r="B502" s="14">
        <v>5352.77</v>
      </c>
      <c r="C502" s="2">
        <f t="shared" si="56"/>
        <v>-5.599201918664698E-3</v>
      </c>
      <c r="D502" s="2">
        <f t="shared" si="57"/>
        <v>-9.7631340735189597E-3</v>
      </c>
      <c r="E502" s="3">
        <f t="shared" si="58"/>
        <v>4.1639321548542618E-3</v>
      </c>
      <c r="F502">
        <f t="shared" si="62"/>
        <v>0.54250880202384588</v>
      </c>
      <c r="G502">
        <f t="shared" si="59"/>
        <v>7.6753264450651936E-3</v>
      </c>
      <c r="H502">
        <f t="shared" si="63"/>
        <v>-0.3991193894970767</v>
      </c>
      <c r="P502" s="33">
        <f t="shared" si="60"/>
        <v>-7.2865261963728223E-3</v>
      </c>
      <c r="Q502" s="33">
        <f t="shared" si="61"/>
        <v>0.74366529647269441</v>
      </c>
    </row>
    <row r="503" spans="1:17" x14ac:dyDescent="0.35">
      <c r="A503" s="13">
        <v>43090</v>
      </c>
      <c r="B503" s="14">
        <v>5385.97</v>
      </c>
      <c r="C503" s="2">
        <f t="shared" si="56"/>
        <v>6.2023961425579088E-3</v>
      </c>
      <c r="D503" s="2">
        <f t="shared" si="57"/>
        <v>-2.3133729858177753E-2</v>
      </c>
      <c r="E503" s="3">
        <f t="shared" si="58"/>
        <v>2.9336126000735662E-2</v>
      </c>
      <c r="F503">
        <f t="shared" si="62"/>
        <v>7.7226538136830961E-2</v>
      </c>
      <c r="G503">
        <f t="shared" si="59"/>
        <v>0.37987104832742263</v>
      </c>
      <c r="H503">
        <f t="shared" si="63"/>
        <v>-0.47124094085774504</v>
      </c>
      <c r="P503" s="33">
        <f t="shared" si="60"/>
        <v>4.5150718648497845E-3</v>
      </c>
      <c r="Q503" s="33">
        <f t="shared" si="61"/>
        <v>4.7298052762939538</v>
      </c>
    </row>
    <row r="504" spans="1:17" x14ac:dyDescent="0.35">
      <c r="A504" s="13">
        <v>43091</v>
      </c>
      <c r="B504" s="14">
        <v>5364.72</v>
      </c>
      <c r="C504" s="2">
        <f t="shared" si="56"/>
        <v>-3.9454360124545618E-3</v>
      </c>
      <c r="D504" s="2">
        <f t="shared" si="57"/>
        <v>1.414665195206178E-2</v>
      </c>
      <c r="E504" s="3">
        <f t="shared" si="58"/>
        <v>-1.8092087964516342E-2</v>
      </c>
      <c r="F504">
        <f t="shared" si="62"/>
        <v>0.37765358885121819</v>
      </c>
      <c r="G504">
        <f t="shared" si="59"/>
        <v>-4.7906569667590181E-2</v>
      </c>
      <c r="H504">
        <f t="shared" si="63"/>
        <v>-0.40023745388771537</v>
      </c>
      <c r="P504" s="33">
        <f t="shared" si="60"/>
        <v>-5.6327602901626861E-3</v>
      </c>
      <c r="Q504" s="33">
        <f t="shared" si="61"/>
        <v>4.5855737889057204</v>
      </c>
    </row>
    <row r="505" spans="1:17" x14ac:dyDescent="0.35">
      <c r="A505" s="13">
        <v>43096</v>
      </c>
      <c r="B505" s="14">
        <v>5368.84</v>
      </c>
      <c r="C505" s="2">
        <f t="shared" si="56"/>
        <v>7.679804351392594E-4</v>
      </c>
      <c r="D505" s="2">
        <f t="shared" si="57"/>
        <v>-6.7192744484564308E-3</v>
      </c>
      <c r="E505" s="3">
        <f t="shared" si="58"/>
        <v>7.4872548835956901E-3</v>
      </c>
      <c r="F505">
        <f t="shared" si="62"/>
        <v>7.4443053651085139E-2</v>
      </c>
      <c r="G505">
        <f t="shared" si="59"/>
        <v>0.10057694460907636</v>
      </c>
      <c r="H505">
        <f t="shared" si="63"/>
        <v>-0.40414779507250614</v>
      </c>
      <c r="P505" s="33">
        <f t="shared" si="60"/>
        <v>-9.1934384256886492E-4</v>
      </c>
      <c r="Q505" s="33">
        <f t="shared" si="61"/>
        <v>9.7492781599807437</v>
      </c>
    </row>
    <row r="506" spans="1:17" x14ac:dyDescent="0.35">
      <c r="A506" s="13">
        <v>43097</v>
      </c>
      <c r="B506" s="14">
        <v>5339.42</v>
      </c>
      <c r="C506" s="2">
        <f t="shared" si="56"/>
        <v>-5.4797684416000303E-3</v>
      </c>
      <c r="D506" s="2">
        <f t="shared" si="57"/>
        <v>-1.0558605631523646E-3</v>
      </c>
      <c r="E506" s="3">
        <f t="shared" si="58"/>
        <v>-4.4239078784476657E-3</v>
      </c>
      <c r="F506">
        <f t="shared" si="62"/>
        <v>0.10418898461453177</v>
      </c>
      <c r="G506">
        <f t="shared" si="59"/>
        <v>-4.2460418390819411E-2</v>
      </c>
      <c r="H506">
        <f t="shared" si="63"/>
        <v>-0.39999137774401922</v>
      </c>
      <c r="P506" s="33">
        <f t="shared" si="60"/>
        <v>-7.1670927193081546E-3</v>
      </c>
      <c r="Q506" s="33">
        <f t="shared" si="61"/>
        <v>0.80731657287984504</v>
      </c>
    </row>
    <row r="507" spans="1:17" x14ac:dyDescent="0.35">
      <c r="A507" s="13">
        <v>43098</v>
      </c>
      <c r="B507" s="14">
        <v>5312.56</v>
      </c>
      <c r="C507" s="2">
        <f t="shared" si="56"/>
        <v>-5.0305089316816654E-3</v>
      </c>
      <c r="D507" s="2">
        <f t="shared" si="57"/>
        <v>-1.6105976750693054E-2</v>
      </c>
      <c r="E507" s="3">
        <f t="shared" si="58"/>
        <v>1.1075467819011389E-2</v>
      </c>
      <c r="F507">
        <f t="shared" si="62"/>
        <v>5.2768763655209633E-2</v>
      </c>
      <c r="G507">
        <f t="shared" si="59"/>
        <v>0.20988681659055614</v>
      </c>
      <c r="H507">
        <f t="shared" si="63"/>
        <v>-0.42111617206831642</v>
      </c>
      <c r="P507" s="33">
        <f t="shared" si="60"/>
        <v>-6.7178332093897897E-3</v>
      </c>
      <c r="Q507" s="33">
        <f t="shared" si="61"/>
        <v>2.2016595078997172</v>
      </c>
    </row>
    <row r="508" spans="1:17" x14ac:dyDescent="0.35">
      <c r="A508" s="13">
        <v>43102</v>
      </c>
      <c r="B508" s="14">
        <v>5288.6</v>
      </c>
      <c r="C508" s="2">
        <f t="shared" si="56"/>
        <v>-4.5100667098347813E-3</v>
      </c>
      <c r="D508" s="2">
        <f t="shared" si="57"/>
        <v>-2.0124706051757153E-2</v>
      </c>
      <c r="E508" s="3">
        <f t="shared" si="58"/>
        <v>1.5614639341922372E-2</v>
      </c>
      <c r="F508">
        <f t="shared" si="62"/>
        <v>0.21007329003753775</v>
      </c>
      <c r="G508">
        <f t="shared" si="59"/>
        <v>7.4329484434371498E-2</v>
      </c>
      <c r="H508">
        <f t="shared" si="63"/>
        <v>-0.40185237030719728</v>
      </c>
      <c r="P508" s="33">
        <f t="shared" si="60"/>
        <v>-6.1973909875429056E-3</v>
      </c>
      <c r="Q508" s="33">
        <f t="shared" si="61"/>
        <v>3.4621748072756087</v>
      </c>
    </row>
    <row r="509" spans="1:17" x14ac:dyDescent="0.35">
      <c r="A509" s="13">
        <v>43103</v>
      </c>
      <c r="B509" s="14">
        <v>5331.28</v>
      </c>
      <c r="C509" s="2">
        <f t="shared" si="56"/>
        <v>8.0701887077865297E-3</v>
      </c>
      <c r="D509" s="2">
        <f t="shared" si="57"/>
        <v>-1.8144235583519294E-2</v>
      </c>
      <c r="E509" s="3">
        <f t="shared" si="58"/>
        <v>2.6214424291305823E-2</v>
      </c>
      <c r="F509">
        <f t="shared" si="62"/>
        <v>8.3746462973178851E-2</v>
      </c>
      <c r="G509">
        <f t="shared" si="59"/>
        <v>0.31302127111566985</v>
      </c>
      <c r="H509">
        <f t="shared" si="63"/>
        <v>-0.44808109226449239</v>
      </c>
      <c r="P509" s="33">
        <f t="shared" si="60"/>
        <v>6.3828644300784054E-3</v>
      </c>
      <c r="Q509" s="33">
        <f t="shared" si="61"/>
        <v>3.2483037560215675</v>
      </c>
    </row>
    <row r="510" spans="1:17" x14ac:dyDescent="0.35">
      <c r="A510" s="13">
        <v>43104</v>
      </c>
      <c r="B510" s="14">
        <v>5413.69</v>
      </c>
      <c r="C510" s="2">
        <f t="shared" si="56"/>
        <v>1.5457826263111318E-2</v>
      </c>
      <c r="D510" s="2">
        <f t="shared" si="57"/>
        <v>2.0802616690273307E-2</v>
      </c>
      <c r="E510" s="3">
        <f t="shared" si="58"/>
        <v>-5.3447904271619884E-3</v>
      </c>
      <c r="F510">
        <f t="shared" si="62"/>
        <v>0.3117022869763294</v>
      </c>
      <c r="G510">
        <f t="shared" si="59"/>
        <v>-1.7147100456044683E-2</v>
      </c>
      <c r="H510">
        <f t="shared" si="63"/>
        <v>-0.39923694570608237</v>
      </c>
      <c r="P510" s="33">
        <f t="shared" si="60"/>
        <v>1.3770501985403194E-2</v>
      </c>
      <c r="Q510" s="33">
        <f t="shared" si="61"/>
        <v>0.34576597874675558</v>
      </c>
    </row>
    <row r="511" spans="1:17" x14ac:dyDescent="0.35">
      <c r="A511" s="13">
        <v>43105</v>
      </c>
      <c r="B511" s="14">
        <v>5470.75</v>
      </c>
      <c r="C511" s="2">
        <f t="shared" si="56"/>
        <v>1.0539945951836938E-2</v>
      </c>
      <c r="D511" s="2">
        <f t="shared" si="57"/>
        <v>5.4270191282309706E-2</v>
      </c>
      <c r="E511" s="3">
        <f t="shared" si="58"/>
        <v>-4.3730245330472768E-2</v>
      </c>
      <c r="F511">
        <f t="shared" si="62"/>
        <v>5.2842627795031127E-2</v>
      </c>
      <c r="G511">
        <f t="shared" si="59"/>
        <v>-0.82755622033211584</v>
      </c>
      <c r="H511">
        <f t="shared" si="63"/>
        <v>-0.74151458308424623</v>
      </c>
      <c r="P511" s="33">
        <f t="shared" si="60"/>
        <v>8.8526216741288133E-3</v>
      </c>
      <c r="Q511" s="33">
        <f t="shared" si="61"/>
        <v>4.1490009085721464</v>
      </c>
    </row>
    <row r="512" spans="1:17" x14ac:dyDescent="0.35">
      <c r="A512" s="13">
        <v>43108</v>
      </c>
      <c r="B512" s="14">
        <v>5487.42</v>
      </c>
      <c r="C512" s="2">
        <f t="shared" si="56"/>
        <v>3.0471141982360006E-3</v>
      </c>
      <c r="D512" s="2">
        <f t="shared" si="57"/>
        <v>4.559827479123893E-2</v>
      </c>
      <c r="E512" s="3">
        <f t="shared" si="58"/>
        <v>-4.2551160593002929E-2</v>
      </c>
      <c r="F512">
        <f t="shared" si="62"/>
        <v>0.82057252587672669</v>
      </c>
      <c r="G512">
        <f t="shared" si="59"/>
        <v>-5.1855453663330817E-2</v>
      </c>
      <c r="H512">
        <f t="shared" si="63"/>
        <v>-0.40043442821637243</v>
      </c>
      <c r="P512" s="33">
        <f t="shared" si="60"/>
        <v>1.3597899205278763E-3</v>
      </c>
      <c r="Q512" s="33">
        <f t="shared" si="61"/>
        <v>13.964412826285324</v>
      </c>
    </row>
    <row r="513" spans="1:17" x14ac:dyDescent="0.35">
      <c r="A513" s="13">
        <v>43109</v>
      </c>
      <c r="B513" s="14">
        <v>5523.94</v>
      </c>
      <c r="C513" s="2">
        <f t="shared" si="56"/>
        <v>6.6552223084801465E-3</v>
      </c>
      <c r="D513" s="2">
        <f t="shared" si="57"/>
        <v>1.8423537118216132E-2</v>
      </c>
      <c r="E513" s="3">
        <f t="shared" si="58"/>
        <v>-1.1768314809735985E-2</v>
      </c>
      <c r="F513">
        <f t="shared" si="62"/>
        <v>0.12283105901543825</v>
      </c>
      <c r="G513">
        <f t="shared" si="59"/>
        <v>-9.5808950147184366E-2</v>
      </c>
      <c r="H513">
        <f t="shared" si="63"/>
        <v>-0.40367961164321037</v>
      </c>
      <c r="P513" s="33">
        <f t="shared" si="60"/>
        <v>4.9678980307720222E-3</v>
      </c>
      <c r="Q513" s="33">
        <f t="shared" si="61"/>
        <v>1.7682827506363969</v>
      </c>
    </row>
    <row r="514" spans="1:17" x14ac:dyDescent="0.35">
      <c r="A514" s="13">
        <v>43110</v>
      </c>
      <c r="B514" s="14">
        <v>5504.68</v>
      </c>
      <c r="C514" s="2">
        <f t="shared" si="56"/>
        <v>-3.486641781047406E-3</v>
      </c>
      <c r="D514" s="2">
        <f t="shared" si="57"/>
        <v>2.2996532317602552E-2</v>
      </c>
      <c r="E514" s="3">
        <f t="shared" si="58"/>
        <v>-2.6483174098649958E-2</v>
      </c>
      <c r="F514">
        <f t="shared" si="62"/>
        <v>0.10050197401468798</v>
      </c>
      <c r="G514">
        <f t="shared" si="59"/>
        <v>-0.26350899430870428</v>
      </c>
      <c r="H514">
        <f t="shared" si="63"/>
        <v>-0.43380842921984991</v>
      </c>
      <c r="P514" s="33">
        <f t="shared" si="60"/>
        <v>-5.1739660587555303E-3</v>
      </c>
      <c r="Q514" s="33">
        <f t="shared" si="61"/>
        <v>7.5956108375131874</v>
      </c>
    </row>
    <row r="515" spans="1:17" x14ac:dyDescent="0.35">
      <c r="A515" s="13">
        <v>43111</v>
      </c>
      <c r="B515" s="14">
        <v>5488.55</v>
      </c>
      <c r="C515" s="2">
        <f t="shared" si="56"/>
        <v>-2.9302339100547581E-3</v>
      </c>
      <c r="D515" s="2">
        <f t="shared" si="57"/>
        <v>-4.9243775491425749E-3</v>
      </c>
      <c r="E515" s="3">
        <f t="shared" si="58"/>
        <v>1.9941436390878168E-3</v>
      </c>
      <c r="F515">
        <f t="shared" si="62"/>
        <v>0.26302565263113742</v>
      </c>
      <c r="G515">
        <f t="shared" si="59"/>
        <v>7.5815557119227796E-3</v>
      </c>
      <c r="H515">
        <f t="shared" si="63"/>
        <v>-0.39911867417256403</v>
      </c>
      <c r="P515" s="33">
        <f t="shared" si="60"/>
        <v>-4.6175581877628824E-3</v>
      </c>
      <c r="Q515" s="33">
        <f t="shared" si="61"/>
        <v>0.68054076920110163</v>
      </c>
    </row>
    <row r="516" spans="1:17" x14ac:dyDescent="0.35">
      <c r="A516" s="13">
        <v>43112</v>
      </c>
      <c r="B516" s="14">
        <v>5517.06</v>
      </c>
      <c r="C516" s="2">
        <f t="shared" ref="C516:C579" si="64">(B516/B515)-1</f>
        <v>5.1944502646419366E-3</v>
      </c>
      <c r="D516" s="2">
        <f t="shared" si="57"/>
        <v>-1.197691380469452E-2</v>
      </c>
      <c r="E516" s="3">
        <f t="shared" si="58"/>
        <v>1.7171364069336455E-2</v>
      </c>
      <c r="F516">
        <f t="shared" si="62"/>
        <v>4.5577229200642076E-2</v>
      </c>
      <c r="G516">
        <f t="shared" si="59"/>
        <v>0.37675313682944445</v>
      </c>
      <c r="H516">
        <f t="shared" si="63"/>
        <v>-0.4700613972344706</v>
      </c>
      <c r="P516" s="33">
        <f t="shared" si="60"/>
        <v>3.5071259869338123E-3</v>
      </c>
      <c r="Q516" s="33">
        <f t="shared" si="61"/>
        <v>3.3057134430990862</v>
      </c>
    </row>
    <row r="517" spans="1:17" x14ac:dyDescent="0.35">
      <c r="A517" s="13">
        <v>43116</v>
      </c>
      <c r="B517" s="14">
        <v>5513.82</v>
      </c>
      <c r="C517" s="2">
        <f t="shared" si="64"/>
        <v>-5.8726930647856612E-4</v>
      </c>
      <c r="D517" s="2">
        <f t="shared" si="57"/>
        <v>1.3366235662024288E-2</v>
      </c>
      <c r="E517" s="3">
        <f t="shared" si="58"/>
        <v>-1.3953504968502855E-2</v>
      </c>
      <c r="F517">
        <f t="shared" si="62"/>
        <v>0.37448462537306604</v>
      </c>
      <c r="G517">
        <f t="shared" si="59"/>
        <v>-3.7260554968317344E-2</v>
      </c>
      <c r="H517">
        <f t="shared" si="63"/>
        <v>-0.39978410865733105</v>
      </c>
      <c r="P517" s="33">
        <f t="shared" si="60"/>
        <v>-2.2745935841866904E-3</v>
      </c>
      <c r="Q517" s="33">
        <f t="shared" si="61"/>
        <v>23.75997658071395</v>
      </c>
    </row>
    <row r="518" spans="1:17" x14ac:dyDescent="0.35">
      <c r="A518" s="13">
        <v>43117</v>
      </c>
      <c r="B518" s="14">
        <v>5493.99</v>
      </c>
      <c r="C518" s="2">
        <f t="shared" si="64"/>
        <v>-3.5964177285439103E-3</v>
      </c>
      <c r="D518" s="2">
        <f t="shared" ref="D518:D581" si="65">C517*$K$10+C516*$K$9</f>
        <v>2.6871096881630986E-3</v>
      </c>
      <c r="E518" s="3">
        <f t="shared" ref="E518:E581" si="66">C518-D518</f>
        <v>-6.2835274167070089E-3</v>
      </c>
      <c r="F518">
        <f t="shared" si="62"/>
        <v>6.7899495197769513E-2</v>
      </c>
      <c r="G518">
        <f t="shared" ref="G518:G581" si="67">E518/F518</f>
        <v>-9.2541592517074001E-2</v>
      </c>
      <c r="H518">
        <f t="shared" si="63"/>
        <v>-0.40337190735185563</v>
      </c>
      <c r="P518" s="33">
        <f t="shared" ref="P518:P581" si="68" xml:space="preserve"> C518-$K$16</f>
        <v>-5.2837420062520346E-3</v>
      </c>
      <c r="Q518" s="33">
        <f t="shared" ref="Q518:Q581" si="69" xml:space="preserve"> ABS(E518)/ABS(C518)</f>
        <v>1.747162841189484</v>
      </c>
    </row>
    <row r="519" spans="1:17" x14ac:dyDescent="0.35">
      <c r="A519" s="13">
        <v>43118</v>
      </c>
      <c r="B519" s="14">
        <v>5494.83</v>
      </c>
      <c r="C519" s="2">
        <f t="shared" si="64"/>
        <v>1.5289434454746065E-4</v>
      </c>
      <c r="D519" s="2">
        <f t="shared" si="65"/>
        <v>-1.151258151897099E-2</v>
      </c>
      <c r="E519" s="3">
        <f t="shared" si="66"/>
        <v>1.1665475863518451E-2</v>
      </c>
      <c r="F519">
        <f t="shared" ref="F519:F582" si="70">($K$5+$K$6*G518^2+$K$7*F518^2)^(1/2)</f>
        <v>9.6517138224572835E-2</v>
      </c>
      <c r="G519">
        <f t="shared" si="67"/>
        <v>0.12086429496464776</v>
      </c>
      <c r="H519">
        <f t="shared" ref="H519:H582" si="71">- (G519^2)/2 - LOG(2*PI())/2</f>
        <v>-0.40639402307770822</v>
      </c>
      <c r="P519" s="33">
        <f t="shared" si="68"/>
        <v>-1.5344299331606637E-3</v>
      </c>
      <c r="Q519" s="33">
        <f t="shared" si="69"/>
        <v>76.297628261176897</v>
      </c>
    </row>
    <row r="520" spans="1:17" x14ac:dyDescent="0.35">
      <c r="A520" s="13">
        <v>43123</v>
      </c>
      <c r="B520" s="14">
        <v>5535.26</v>
      </c>
      <c r="C520" s="2">
        <f t="shared" si="64"/>
        <v>7.3578254468291693E-3</v>
      </c>
      <c r="D520" s="2">
        <f t="shared" si="65"/>
        <v>-2.6368218071956663E-3</v>
      </c>
      <c r="E520" s="3">
        <f t="shared" si="66"/>
        <v>9.9946472540248348E-3</v>
      </c>
      <c r="F520">
        <f t="shared" si="70"/>
        <v>0.12382117424151028</v>
      </c>
      <c r="G520">
        <f t="shared" si="67"/>
        <v>8.0718401478978963E-2</v>
      </c>
      <c r="H520">
        <f t="shared" si="71"/>
        <v>-0.40234766434771835</v>
      </c>
      <c r="P520" s="33">
        <f t="shared" si="68"/>
        <v>5.670501169121045E-3</v>
      </c>
      <c r="Q520" s="33">
        <f t="shared" si="69"/>
        <v>1.3583697148363305</v>
      </c>
    </row>
    <row r="521" spans="1:17" x14ac:dyDescent="0.35">
      <c r="A521" s="13">
        <v>43124</v>
      </c>
      <c r="B521" s="14">
        <v>5495.16</v>
      </c>
      <c r="C521" s="2">
        <f t="shared" si="64"/>
        <v>-7.2444654812963138E-3</v>
      </c>
      <c r="D521" s="2">
        <f t="shared" si="65"/>
        <v>2.2648097033830177E-2</v>
      </c>
      <c r="E521" s="3">
        <f t="shared" si="66"/>
        <v>-2.9892562515126491E-2</v>
      </c>
      <c r="F521">
        <f t="shared" si="70"/>
        <v>8.6539828176890612E-2</v>
      </c>
      <c r="G521">
        <f t="shared" si="67"/>
        <v>-0.34541971188138931</v>
      </c>
      <c r="H521">
        <f t="shared" si="71"/>
        <v>-0.45874732285716852</v>
      </c>
      <c r="P521" s="33">
        <f t="shared" si="68"/>
        <v>-8.9317897590044382E-3</v>
      </c>
      <c r="Q521" s="33">
        <f t="shared" si="69"/>
        <v>4.1262619847251392</v>
      </c>
    </row>
    <row r="522" spans="1:17" x14ac:dyDescent="0.35">
      <c r="A522" s="13">
        <v>43125</v>
      </c>
      <c r="B522" s="14">
        <v>5481.21</v>
      </c>
      <c r="C522" s="2">
        <f t="shared" si="64"/>
        <v>-2.5385976022536116E-3</v>
      </c>
      <c r="D522" s="2">
        <f t="shared" si="65"/>
        <v>-1.5817370342831705E-2</v>
      </c>
      <c r="E522" s="3">
        <f t="shared" si="66"/>
        <v>1.3278772740578093E-2</v>
      </c>
      <c r="F522">
        <f t="shared" si="70"/>
        <v>0.34367600945863513</v>
      </c>
      <c r="G522">
        <f t="shared" si="67"/>
        <v>3.8637473594665697E-2</v>
      </c>
      <c r="H522">
        <f t="shared" si="71"/>
        <v>-0.39983636136194678</v>
      </c>
      <c r="P522" s="33">
        <f t="shared" si="68"/>
        <v>-4.225921879961736E-3</v>
      </c>
      <c r="Q522" s="33">
        <f t="shared" si="69"/>
        <v>5.2307513127681249</v>
      </c>
    </row>
    <row r="523" spans="1:17" x14ac:dyDescent="0.35">
      <c r="A523" s="13">
        <v>43126</v>
      </c>
      <c r="B523" s="14">
        <v>5529.15</v>
      </c>
      <c r="C523" s="2">
        <f t="shared" si="64"/>
        <v>8.7462439862731056E-3</v>
      </c>
      <c r="D523" s="2">
        <f t="shared" si="65"/>
        <v>-1.4022485499975632E-2</v>
      </c>
      <c r="E523" s="3">
        <f t="shared" si="66"/>
        <v>2.2768729486248737E-2</v>
      </c>
      <c r="F523">
        <f t="shared" si="70"/>
        <v>6.5811278461555545E-2</v>
      </c>
      <c r="G523">
        <f t="shared" si="67"/>
        <v>0.34597002244150848</v>
      </c>
      <c r="H523">
        <f t="shared" si="71"/>
        <v>-0.45893756239314648</v>
      </c>
      <c r="P523" s="33">
        <f t="shared" si="68"/>
        <v>7.0589197085649813E-3</v>
      </c>
      <c r="Q523" s="33">
        <f t="shared" si="69"/>
        <v>2.6032579838823824</v>
      </c>
    </row>
    <row r="524" spans="1:17" x14ac:dyDescent="0.35">
      <c r="A524" s="13">
        <v>43129</v>
      </c>
      <c r="B524" s="14">
        <v>5521.59</v>
      </c>
      <c r="C524" s="2">
        <f t="shared" si="64"/>
        <v>-1.3672987710587892E-3</v>
      </c>
      <c r="D524" s="2">
        <f t="shared" si="65"/>
        <v>2.4573375322939996E-2</v>
      </c>
      <c r="E524" s="3">
        <f t="shared" si="66"/>
        <v>-2.5940674093998785E-2</v>
      </c>
      <c r="F524">
        <f t="shared" si="70"/>
        <v>0.34413993975769308</v>
      </c>
      <c r="G524">
        <f t="shared" si="67"/>
        <v>-7.5378272316382292E-2</v>
      </c>
      <c r="H524">
        <f t="shared" si="71"/>
        <v>-0.40193087614775885</v>
      </c>
      <c r="P524" s="33">
        <f t="shared" si="68"/>
        <v>-3.0546230487669135E-3</v>
      </c>
      <c r="Q524" s="33">
        <f t="shared" si="69"/>
        <v>18.972206106724734</v>
      </c>
    </row>
    <row r="525" spans="1:17" x14ac:dyDescent="0.35">
      <c r="A525" s="13">
        <v>43130</v>
      </c>
      <c r="B525" s="14">
        <v>5473.78</v>
      </c>
      <c r="C525" s="2">
        <f t="shared" si="64"/>
        <v>-8.6587377911073737E-3</v>
      </c>
      <c r="D525" s="2">
        <f t="shared" si="65"/>
        <v>3.3662762114972647E-3</v>
      </c>
      <c r="E525" s="3">
        <f t="shared" si="66"/>
        <v>-1.2025014002604639E-2</v>
      </c>
      <c r="F525">
        <f t="shared" si="70"/>
        <v>9.1923361603527293E-2</v>
      </c>
      <c r="G525">
        <f t="shared" si="67"/>
        <v>-0.13081564678269136</v>
      </c>
      <c r="H525">
        <f t="shared" si="71"/>
        <v>-0.40764630090064446</v>
      </c>
      <c r="P525" s="33">
        <f t="shared" si="68"/>
        <v>-1.0346062068815498E-2</v>
      </c>
      <c r="Q525" s="33">
        <f t="shared" si="69"/>
        <v>1.3887721620297211</v>
      </c>
    </row>
    <row r="526" spans="1:17" x14ac:dyDescent="0.35">
      <c r="A526" s="13">
        <v>43131</v>
      </c>
      <c r="B526" s="14">
        <v>5481.93</v>
      </c>
      <c r="C526" s="2">
        <f t="shared" si="64"/>
        <v>1.4889162516580345E-3</v>
      </c>
      <c r="D526" s="2">
        <f t="shared" si="65"/>
        <v>-2.7677460802796459E-2</v>
      </c>
      <c r="E526" s="3">
        <f t="shared" si="66"/>
        <v>2.9166377054454493E-2</v>
      </c>
      <c r="F526">
        <f t="shared" si="70"/>
        <v>0.13332668976449225</v>
      </c>
      <c r="G526">
        <f t="shared" si="67"/>
        <v>0.21875872794842405</v>
      </c>
      <c r="H526">
        <f t="shared" si="71"/>
        <v>-0.42301762470586385</v>
      </c>
      <c r="P526" s="33">
        <f t="shared" si="68"/>
        <v>-1.9840802605008978E-4</v>
      </c>
      <c r="Q526" s="33">
        <f t="shared" si="69"/>
        <v>19.588997716946981</v>
      </c>
    </row>
    <row r="527" spans="1:17" x14ac:dyDescent="0.35">
      <c r="A527" s="13">
        <v>43132</v>
      </c>
      <c r="B527" s="14">
        <v>5454.55</v>
      </c>
      <c r="C527" s="2">
        <f t="shared" si="64"/>
        <v>-4.994591320939934E-3</v>
      </c>
      <c r="D527" s="2">
        <f t="shared" si="65"/>
        <v>-2.9185654942479695E-3</v>
      </c>
      <c r="E527" s="3">
        <f t="shared" si="66"/>
        <v>-2.0760258266919645E-3</v>
      </c>
      <c r="F527">
        <f t="shared" si="70"/>
        <v>0.21937099825615783</v>
      </c>
      <c r="G527">
        <f t="shared" si="67"/>
        <v>-9.4635382215282858E-3</v>
      </c>
      <c r="H527">
        <f t="shared" si="71"/>
        <v>-0.39913471345689266</v>
      </c>
      <c r="P527" s="33">
        <f t="shared" si="68"/>
        <v>-6.6819155986480583E-3</v>
      </c>
      <c r="Q527" s="33">
        <f t="shared" si="69"/>
        <v>0.41565479401451338</v>
      </c>
    </row>
    <row r="528" spans="1:17" x14ac:dyDescent="0.35">
      <c r="A528" s="13">
        <v>43133</v>
      </c>
      <c r="B528" s="14">
        <v>5364.98</v>
      </c>
      <c r="C528" s="2">
        <f t="shared" si="64"/>
        <v>-1.6421152982372678E-2</v>
      </c>
      <c r="D528" s="2">
        <f t="shared" si="65"/>
        <v>-1.3998891307112694E-2</v>
      </c>
      <c r="E528" s="3">
        <f t="shared" si="66"/>
        <v>-2.4222616752599836E-3</v>
      </c>
      <c r="F528">
        <f t="shared" si="70"/>
        <v>4.1777481069596251E-2</v>
      </c>
      <c r="G528">
        <f t="shared" si="67"/>
        <v>-5.7980079536743431E-2</v>
      </c>
      <c r="H528">
        <f t="shared" si="71"/>
        <v>-0.4007707789906011</v>
      </c>
      <c r="P528" s="33">
        <f t="shared" si="68"/>
        <v>-1.8108477260080802E-2</v>
      </c>
      <c r="Q528" s="33">
        <f t="shared" si="69"/>
        <v>0.14750862365512127</v>
      </c>
    </row>
    <row r="529" spans="1:17" x14ac:dyDescent="0.35">
      <c r="A529" s="13">
        <v>43136</v>
      </c>
      <c r="B529" s="14">
        <v>5285.83</v>
      </c>
      <c r="C529" s="2">
        <f t="shared" si="64"/>
        <v>-1.4753083888476737E-2</v>
      </c>
      <c r="D529" s="2">
        <f t="shared" si="65"/>
        <v>-5.4563032351130816E-2</v>
      </c>
      <c r="E529" s="3">
        <f t="shared" si="66"/>
        <v>3.9809948462654079E-2</v>
      </c>
      <c r="F529">
        <f t="shared" si="70"/>
        <v>6.4482080657767241E-2</v>
      </c>
      <c r="G529">
        <f t="shared" si="67"/>
        <v>0.61738002335783404</v>
      </c>
      <c r="H529">
        <f t="shared" si="71"/>
        <v>-0.58966898079971741</v>
      </c>
      <c r="P529" s="33">
        <f t="shared" si="68"/>
        <v>-1.6440408166184861E-2</v>
      </c>
      <c r="Q529" s="33">
        <f t="shared" si="69"/>
        <v>2.6984153796989272</v>
      </c>
    </row>
    <row r="530" spans="1:17" x14ac:dyDescent="0.35">
      <c r="A530" s="13">
        <v>43137</v>
      </c>
      <c r="B530" s="14">
        <v>5161.8100000000004</v>
      </c>
      <c r="C530" s="2">
        <f t="shared" si="64"/>
        <v>-2.3462729599703303E-2</v>
      </c>
      <c r="D530" s="2">
        <f t="shared" si="65"/>
        <v>-5.9322758964787843E-2</v>
      </c>
      <c r="E530" s="3">
        <f t="shared" si="66"/>
        <v>3.5860029365084541E-2</v>
      </c>
      <c r="F530">
        <f t="shared" si="70"/>
        <v>0.61250610466581912</v>
      </c>
      <c r="G530">
        <f t="shared" si="67"/>
        <v>5.8546403198135678E-2</v>
      </c>
      <c r="H530">
        <f t="shared" si="71"/>
        <v>-0.40080377484277685</v>
      </c>
      <c r="P530" s="33">
        <f t="shared" si="68"/>
        <v>-2.5150053877411427E-2</v>
      </c>
      <c r="Q530" s="33">
        <f t="shared" si="69"/>
        <v>1.5283826723016067</v>
      </c>
    </row>
    <row r="531" spans="1:17" x14ac:dyDescent="0.35">
      <c r="A531" s="13">
        <v>43138</v>
      </c>
      <c r="B531" s="14">
        <v>5255.9</v>
      </c>
      <c r="C531" s="2">
        <f t="shared" si="64"/>
        <v>1.8228102157963777E-2</v>
      </c>
      <c r="D531" s="2">
        <f t="shared" si="65"/>
        <v>-8.4535644526707407E-2</v>
      </c>
      <c r="E531" s="3">
        <f t="shared" si="66"/>
        <v>0.10276374668467118</v>
      </c>
      <c r="F531">
        <f t="shared" si="70"/>
        <v>0.10328128439280826</v>
      </c>
      <c r="G531">
        <f t="shared" si="67"/>
        <v>0.99498904655204778</v>
      </c>
      <c r="H531">
        <f t="shared" si="71"/>
        <v>-0.89409153555833409</v>
      </c>
      <c r="P531" s="33">
        <f t="shared" si="68"/>
        <v>1.6540777880255653E-2</v>
      </c>
      <c r="Q531" s="33">
        <f t="shared" si="69"/>
        <v>5.6376547483729214</v>
      </c>
    </row>
    <row r="532" spans="1:17" x14ac:dyDescent="0.35">
      <c r="A532" s="13">
        <v>43139</v>
      </c>
      <c r="B532" s="14">
        <v>5151.68</v>
      </c>
      <c r="C532" s="2">
        <f t="shared" si="64"/>
        <v>-1.9829144390113851E-2</v>
      </c>
      <c r="D532" s="2">
        <f t="shared" si="65"/>
        <v>3.5526047786249612E-2</v>
      </c>
      <c r="E532" s="3">
        <f t="shared" si="66"/>
        <v>-5.5355192176363463E-2</v>
      </c>
      <c r="F532">
        <f t="shared" si="70"/>
        <v>0.98646364603088554</v>
      </c>
      <c r="G532">
        <f t="shared" si="67"/>
        <v>-5.6114781724688444E-2</v>
      </c>
      <c r="H532">
        <f t="shared" si="71"/>
        <v>-0.40066436854306225</v>
      </c>
      <c r="P532" s="33">
        <f t="shared" si="68"/>
        <v>-2.1516468667821975E-2</v>
      </c>
      <c r="Q532" s="33">
        <f t="shared" si="69"/>
        <v>2.7916077006308813</v>
      </c>
    </row>
    <row r="533" spans="1:17" x14ac:dyDescent="0.35">
      <c r="A533" s="13">
        <v>43140</v>
      </c>
      <c r="B533" s="14">
        <v>5079.21</v>
      </c>
      <c r="C533" s="2">
        <f t="shared" si="64"/>
        <v>-1.4067255730169648E-2</v>
      </c>
      <c r="D533" s="2">
        <f t="shared" si="65"/>
        <v>-4.4944420113510783E-2</v>
      </c>
      <c r="E533" s="3">
        <f t="shared" si="66"/>
        <v>3.0877164383341135E-2</v>
      </c>
      <c r="F533">
        <f t="shared" si="70"/>
        <v>0.14391786141335422</v>
      </c>
      <c r="G533">
        <f t="shared" si="67"/>
        <v>0.21454713181609317</v>
      </c>
      <c r="H533">
        <f t="shared" si="71"/>
        <v>-0.42210517006431358</v>
      </c>
      <c r="P533" s="33">
        <f t="shared" si="68"/>
        <v>-1.5754580007877772E-2</v>
      </c>
      <c r="Q533" s="33">
        <f t="shared" si="69"/>
        <v>2.194967161727198</v>
      </c>
    </row>
    <row r="534" spans="1:17" x14ac:dyDescent="0.35">
      <c r="A534" s="13">
        <v>43143</v>
      </c>
      <c r="B534" s="14">
        <v>5140.0600000000004</v>
      </c>
      <c r="C534" s="2">
        <f t="shared" si="64"/>
        <v>1.1980209520771945E-2</v>
      </c>
      <c r="D534" s="2">
        <f t="shared" si="65"/>
        <v>-6.0166055203519871E-2</v>
      </c>
      <c r="E534" s="3">
        <f t="shared" si="66"/>
        <v>7.2146264724291809E-2</v>
      </c>
      <c r="F534">
        <f t="shared" si="70"/>
        <v>0.21536574062732303</v>
      </c>
      <c r="G534">
        <f t="shared" si="67"/>
        <v>0.33499415698217488</v>
      </c>
      <c r="H534">
        <f t="shared" si="71"/>
        <v>-0.45520047678515652</v>
      </c>
      <c r="P534" s="33">
        <f t="shared" si="68"/>
        <v>1.0292885243063821E-2</v>
      </c>
      <c r="Q534" s="33">
        <f t="shared" si="69"/>
        <v>6.0221204478269481</v>
      </c>
    </row>
    <row r="535" spans="1:17" x14ac:dyDescent="0.35">
      <c r="A535" s="13">
        <v>43144</v>
      </c>
      <c r="B535" s="14">
        <v>5109.24</v>
      </c>
      <c r="C535" s="2">
        <f t="shared" si="64"/>
        <v>-5.9960389567438321E-3</v>
      </c>
      <c r="D535" s="2">
        <f t="shared" si="65"/>
        <v>2.4517401447742428E-2</v>
      </c>
      <c r="E535" s="3">
        <f t="shared" si="66"/>
        <v>-3.051344040448626E-2</v>
      </c>
      <c r="F535">
        <f t="shared" si="70"/>
        <v>0.33439347401570285</v>
      </c>
      <c r="G535">
        <f t="shared" si="67"/>
        <v>-9.1250107360209345E-2</v>
      </c>
      <c r="H535">
        <f t="shared" si="71"/>
        <v>-0.40325322522568241</v>
      </c>
      <c r="P535" s="33">
        <f t="shared" si="68"/>
        <v>-7.6833632344519565E-3</v>
      </c>
      <c r="Q535" s="33">
        <f t="shared" si="69"/>
        <v>5.0889329813588606</v>
      </c>
    </row>
    <row r="536" spans="1:17" x14ac:dyDescent="0.35">
      <c r="A536" s="13">
        <v>43145</v>
      </c>
      <c r="B536" s="14">
        <v>5165.26</v>
      </c>
      <c r="C536" s="2">
        <f t="shared" si="64"/>
        <v>1.0964448724272158E-2</v>
      </c>
      <c r="D536" s="2">
        <f t="shared" si="65"/>
        <v>-8.0065929884180834E-3</v>
      </c>
      <c r="E536" s="3">
        <f t="shared" si="66"/>
        <v>1.8971041712690241E-2</v>
      </c>
      <c r="F536">
        <f t="shared" si="70"/>
        <v>0.1045592902530396</v>
      </c>
      <c r="G536">
        <f t="shared" si="67"/>
        <v>0.18143812631837122</v>
      </c>
      <c r="H536">
        <f t="shared" si="71"/>
        <v>-0.41554983102001813</v>
      </c>
      <c r="P536" s="33">
        <f t="shared" si="68"/>
        <v>9.2771244465640335E-3</v>
      </c>
      <c r="Q536" s="33">
        <f t="shared" si="69"/>
        <v>1.7302321520911284</v>
      </c>
    </row>
    <row r="537" spans="1:17" x14ac:dyDescent="0.35">
      <c r="A537" s="13">
        <v>43146</v>
      </c>
      <c r="B537" s="14">
        <v>5222.5200000000004</v>
      </c>
      <c r="C537" s="2">
        <f t="shared" si="64"/>
        <v>1.1085598788831641E-2</v>
      </c>
      <c r="D537" s="2">
        <f t="shared" si="65"/>
        <v>2.8376704257945189E-2</v>
      </c>
      <c r="E537" s="3">
        <f t="shared" si="66"/>
        <v>-1.7291105469113548E-2</v>
      </c>
      <c r="F537">
        <f t="shared" si="70"/>
        <v>0.18259257951779714</v>
      </c>
      <c r="G537">
        <f t="shared" si="67"/>
        <v>-9.4697744644262491E-2</v>
      </c>
      <c r="H537">
        <f t="shared" si="71"/>
        <v>-0.40357376559941249</v>
      </c>
      <c r="P537" s="33">
        <f t="shared" si="68"/>
        <v>9.3982745111235166E-3</v>
      </c>
      <c r="Q537" s="33">
        <f t="shared" si="69"/>
        <v>1.5597809192349394</v>
      </c>
    </row>
    <row r="538" spans="1:17" x14ac:dyDescent="0.35">
      <c r="A538" s="13">
        <v>43147</v>
      </c>
      <c r="B538" s="14">
        <v>5281.58</v>
      </c>
      <c r="C538" s="2">
        <f t="shared" si="64"/>
        <v>1.1308716864655288E-2</v>
      </c>
      <c r="D538" s="2">
        <f t="shared" si="65"/>
        <v>4.3389031693545826E-2</v>
      </c>
      <c r="E538" s="3">
        <f t="shared" si="66"/>
        <v>-3.2080314828890538E-2</v>
      </c>
      <c r="F538">
        <f t="shared" si="70"/>
        <v>0.10103354832851236</v>
      </c>
      <c r="G538">
        <f t="shared" si="67"/>
        <v>-0.31752141105230541</v>
      </c>
      <c r="H538">
        <f t="shared" si="71"/>
        <v>-0.44949985741738108</v>
      </c>
      <c r="P538" s="33">
        <f t="shared" si="68"/>
        <v>9.6213925869471639E-3</v>
      </c>
      <c r="Q538" s="33">
        <f t="shared" si="69"/>
        <v>2.8367776126003847</v>
      </c>
    </row>
    <row r="539" spans="1:17" x14ac:dyDescent="0.35">
      <c r="A539" s="13">
        <v>43150</v>
      </c>
      <c r="B539" s="14">
        <v>5256.18</v>
      </c>
      <c r="C539" s="2">
        <f t="shared" si="64"/>
        <v>-4.809166953828159E-3</v>
      </c>
      <c r="D539" s="2">
        <f t="shared" si="65"/>
        <v>4.4176394208429198E-2</v>
      </c>
      <c r="E539" s="3">
        <f t="shared" si="66"/>
        <v>-4.8985561162257357E-2</v>
      </c>
      <c r="F539">
        <f t="shared" si="70"/>
        <v>0.316227223210928</v>
      </c>
      <c r="G539">
        <f t="shared" si="67"/>
        <v>-0.15490621163119564</v>
      </c>
      <c r="H539">
        <f t="shared" si="71"/>
        <v>-0.41108790138002194</v>
      </c>
      <c r="P539" s="33">
        <f t="shared" si="68"/>
        <v>-6.4964912315362833E-3</v>
      </c>
      <c r="Q539" s="33">
        <f t="shared" si="69"/>
        <v>10.185872445801495</v>
      </c>
    </row>
    <row r="540" spans="1:17" x14ac:dyDescent="0.35">
      <c r="A540" s="13">
        <v>43151</v>
      </c>
      <c r="B540" s="14">
        <v>5289.86</v>
      </c>
      <c r="C540" s="2">
        <f t="shared" si="64"/>
        <v>6.4076953224583288E-3</v>
      </c>
      <c r="D540" s="2">
        <f t="shared" si="65"/>
        <v>-4.9542611455894638E-3</v>
      </c>
      <c r="E540" s="3">
        <f t="shared" si="66"/>
        <v>1.1361956468047793E-2</v>
      </c>
      <c r="F540">
        <f t="shared" si="70"/>
        <v>0.16160028664300696</v>
      </c>
      <c r="G540">
        <f t="shared" si="67"/>
        <v>7.0309011846913488E-2</v>
      </c>
      <c r="H540">
        <f t="shared" si="71"/>
        <v>-0.40156161275250224</v>
      </c>
      <c r="P540" s="33">
        <f t="shared" si="68"/>
        <v>4.7203710447502045E-3</v>
      </c>
      <c r="Q540" s="33">
        <f t="shared" si="69"/>
        <v>1.7731736445435031</v>
      </c>
    </row>
    <row r="541" spans="1:17" x14ac:dyDescent="0.35">
      <c r="A541" s="13">
        <v>43152</v>
      </c>
      <c r="B541" s="14">
        <v>5302.17</v>
      </c>
      <c r="C541" s="2">
        <f t="shared" si="64"/>
        <v>2.3270937227073407E-3</v>
      </c>
      <c r="D541" s="2">
        <f t="shared" si="65"/>
        <v>1.54569183969781E-2</v>
      </c>
      <c r="E541" s="3">
        <f t="shared" si="66"/>
        <v>-1.3129824674270759E-2</v>
      </c>
      <c r="F541">
        <f t="shared" si="70"/>
        <v>7.8304259010145191E-2</v>
      </c>
      <c r="G541">
        <f t="shared" si="67"/>
        <v>-0.16767701834161591</v>
      </c>
      <c r="H541">
        <f t="shared" si="71"/>
        <v>-0.41314772541902484</v>
      </c>
      <c r="P541" s="33">
        <f t="shared" si="68"/>
        <v>6.397694449992164E-4</v>
      </c>
      <c r="Q541" s="33">
        <f t="shared" si="69"/>
        <v>5.6421555118955506</v>
      </c>
    </row>
    <row r="542" spans="1:17" x14ac:dyDescent="0.35">
      <c r="A542" s="13">
        <v>43153</v>
      </c>
      <c r="B542" s="14">
        <v>5309.23</v>
      </c>
      <c r="C542" s="2">
        <f t="shared" si="64"/>
        <v>1.3315302979721721E-3</v>
      </c>
      <c r="D542" s="2">
        <f t="shared" si="65"/>
        <v>1.2652886303967423E-2</v>
      </c>
      <c r="E542" s="3">
        <f t="shared" si="66"/>
        <v>-1.1321356005995251E-2</v>
      </c>
      <c r="F542">
        <f t="shared" si="70"/>
        <v>0.16893746032352375</v>
      </c>
      <c r="G542">
        <f t="shared" si="67"/>
        <v>-6.7015071638429291E-2</v>
      </c>
      <c r="H542">
        <f t="shared" si="71"/>
        <v>-0.40133544409240945</v>
      </c>
      <c r="P542" s="33">
        <f t="shared" si="68"/>
        <v>-3.5579397973595217E-4</v>
      </c>
      <c r="Q542" s="33">
        <f t="shared" si="69"/>
        <v>8.5025147555687521</v>
      </c>
    </row>
    <row r="543" spans="1:17" x14ac:dyDescent="0.35">
      <c r="A543" s="13">
        <v>43154</v>
      </c>
      <c r="B543" s="14">
        <v>5317.37</v>
      </c>
      <c r="C543" s="2">
        <f t="shared" si="64"/>
        <v>1.5331790108923382E-3</v>
      </c>
      <c r="D543" s="2">
        <f t="shared" si="65"/>
        <v>6.0836179732543134E-3</v>
      </c>
      <c r="E543" s="3">
        <f t="shared" si="66"/>
        <v>-4.5504389623619752E-3</v>
      </c>
      <c r="F543">
        <f t="shared" si="70"/>
        <v>7.5691830318582787E-2</v>
      </c>
      <c r="G543">
        <f t="shared" si="67"/>
        <v>-6.0117967067376037E-2</v>
      </c>
      <c r="H543">
        <f t="shared" si="71"/>
        <v>-0.40089701916121456</v>
      </c>
      <c r="P543" s="33">
        <f t="shared" si="68"/>
        <v>-1.5414526681578611E-4</v>
      </c>
      <c r="Q543" s="33">
        <f t="shared" si="69"/>
        <v>2.9679762963318526</v>
      </c>
    </row>
    <row r="544" spans="1:17" x14ac:dyDescent="0.35">
      <c r="A544" s="13">
        <v>43157</v>
      </c>
      <c r="B544" s="14">
        <v>5344.26</v>
      </c>
      <c r="C544" s="2">
        <f t="shared" si="64"/>
        <v>5.0570112668482103E-3</v>
      </c>
      <c r="D544" s="2">
        <f t="shared" si="65"/>
        <v>5.8412484243202233E-3</v>
      </c>
      <c r="E544" s="3">
        <f t="shared" si="66"/>
        <v>-7.8423715747201299E-4</v>
      </c>
      <c r="F544">
        <f t="shared" si="70"/>
        <v>6.6892491132007958E-2</v>
      </c>
      <c r="G544">
        <f t="shared" si="67"/>
        <v>-1.1723844398684034E-2</v>
      </c>
      <c r="H544">
        <f t="shared" si="71"/>
        <v>-0.3991586584427998</v>
      </c>
      <c r="P544" s="33">
        <f t="shared" si="68"/>
        <v>3.369686989140086E-3</v>
      </c>
      <c r="Q544" s="33">
        <f t="shared" si="69"/>
        <v>0.15507917939854421</v>
      </c>
    </row>
    <row r="545" spans="1:17" x14ac:dyDescent="0.35">
      <c r="A545" s="13">
        <v>43158</v>
      </c>
      <c r="B545" s="14">
        <v>5343.93</v>
      </c>
      <c r="C545" s="2">
        <f t="shared" si="64"/>
        <v>-6.1748492775404173E-5</v>
      </c>
      <c r="D545" s="2">
        <f t="shared" si="65"/>
        <v>1.6798809776749222E-2</v>
      </c>
      <c r="E545" s="3">
        <f t="shared" si="66"/>
        <v>-1.6860558269524626E-2</v>
      </c>
      <c r="F545">
        <f t="shared" si="70"/>
        <v>3.2235174318053991E-2</v>
      </c>
      <c r="G545">
        <f t="shared" si="67"/>
        <v>-0.52304845952334478</v>
      </c>
      <c r="H545">
        <f t="shared" si="71"/>
        <v>-0.53587977968392952</v>
      </c>
      <c r="P545" s="33">
        <f t="shared" si="68"/>
        <v>-1.7490727704835285E-3</v>
      </c>
      <c r="Q545" s="33">
        <f t="shared" si="69"/>
        <v>273.05214284097588</v>
      </c>
    </row>
    <row r="546" spans="1:17" x14ac:dyDescent="0.35">
      <c r="A546" s="13">
        <v>43159</v>
      </c>
      <c r="B546" s="14">
        <v>5320.49</v>
      </c>
      <c r="C546" s="2">
        <f t="shared" si="64"/>
        <v>-4.3862849999907194E-3</v>
      </c>
      <c r="D546" s="2">
        <f t="shared" si="65"/>
        <v>4.1766384603790004E-3</v>
      </c>
      <c r="E546" s="3">
        <f t="shared" si="66"/>
        <v>-8.5629234603697198E-3</v>
      </c>
      <c r="F546">
        <f t="shared" si="70"/>
        <v>0.5191117427462939</v>
      </c>
      <c r="G546">
        <f t="shared" si="67"/>
        <v>-1.6495337622433034E-2</v>
      </c>
      <c r="H546">
        <f t="shared" si="71"/>
        <v>-0.39922598226069655</v>
      </c>
      <c r="P546" s="33">
        <f t="shared" si="68"/>
        <v>-6.0736092776988437E-3</v>
      </c>
      <c r="Q546" s="33">
        <f t="shared" si="69"/>
        <v>1.9522040771148792</v>
      </c>
    </row>
    <row r="547" spans="1:17" x14ac:dyDescent="0.35">
      <c r="A547" s="13">
        <v>43160</v>
      </c>
      <c r="B547" s="14">
        <v>5262.56</v>
      </c>
      <c r="C547" s="2">
        <f t="shared" si="64"/>
        <v>-1.0888094893515277E-2</v>
      </c>
      <c r="D547" s="2">
        <f t="shared" si="65"/>
        <v>-1.3476030284962522E-2</v>
      </c>
      <c r="E547" s="3">
        <f t="shared" si="66"/>
        <v>2.5879353914472457E-3</v>
      </c>
      <c r="F547">
        <f t="shared" si="70"/>
        <v>7.5793215564665214E-2</v>
      </c>
      <c r="G547">
        <f t="shared" si="67"/>
        <v>3.4144683955772692E-2</v>
      </c>
      <c r="H547">
        <f t="shared" si="71"/>
        <v>-0.39967286390027734</v>
      </c>
      <c r="P547" s="33">
        <f t="shared" si="68"/>
        <v>-1.2575419171223401E-2</v>
      </c>
      <c r="Q547" s="33">
        <f t="shared" si="69"/>
        <v>0.23768486744072798</v>
      </c>
    </row>
    <row r="548" spans="1:17" x14ac:dyDescent="0.35">
      <c r="A548" s="13">
        <v>43161</v>
      </c>
      <c r="B548" s="14">
        <v>5136.58</v>
      </c>
      <c r="C548" s="2">
        <f t="shared" si="64"/>
        <v>-2.3938919461250929E-2</v>
      </c>
      <c r="D548" s="2">
        <f t="shared" si="65"/>
        <v>-3.7105864964175762E-2</v>
      </c>
      <c r="E548" s="3">
        <f t="shared" si="66"/>
        <v>1.3166945502924833E-2</v>
      </c>
      <c r="F548">
        <f t="shared" si="70"/>
        <v>4.5506442445226558E-2</v>
      </c>
      <c r="G548">
        <f t="shared" si="67"/>
        <v>0.2893424490119858</v>
      </c>
      <c r="H548">
        <f t="shared" si="71"/>
        <v>-0.44094946057918433</v>
      </c>
      <c r="P548" s="33">
        <f t="shared" si="68"/>
        <v>-2.5626243738959054E-2</v>
      </c>
      <c r="Q548" s="33">
        <f t="shared" si="69"/>
        <v>0.55002254902263636</v>
      </c>
    </row>
    <row r="549" spans="1:17" x14ac:dyDescent="0.35">
      <c r="A549" s="13">
        <v>43164</v>
      </c>
      <c r="B549" s="14">
        <v>5167.2299999999996</v>
      </c>
      <c r="C549" s="2">
        <f t="shared" si="64"/>
        <v>5.9670052836711118E-3</v>
      </c>
      <c r="D549" s="2">
        <f t="shared" si="65"/>
        <v>-8.2656306776479782E-2</v>
      </c>
      <c r="E549" s="3">
        <f t="shared" si="66"/>
        <v>8.8623312060150894E-2</v>
      </c>
      <c r="F549">
        <f t="shared" si="70"/>
        <v>0.28821467380890892</v>
      </c>
      <c r="G549">
        <f t="shared" si="67"/>
        <v>0.30749063151069683</v>
      </c>
      <c r="H549">
        <f t="shared" si="71"/>
        <v>-0.44636517841248108</v>
      </c>
      <c r="P549" s="33">
        <f t="shared" si="68"/>
        <v>4.2796810059629875E-3</v>
      </c>
      <c r="Q549" s="33">
        <f t="shared" si="69"/>
        <v>14.852226174940926</v>
      </c>
    </row>
    <row r="550" spans="1:17" x14ac:dyDescent="0.35">
      <c r="A550" s="13">
        <v>43165</v>
      </c>
      <c r="B550" s="14">
        <v>5170.2299999999996</v>
      </c>
      <c r="C550" s="2">
        <f t="shared" si="64"/>
        <v>5.8058185913933968E-4</v>
      </c>
      <c r="D550" s="2">
        <f t="shared" si="65"/>
        <v>-2.4059269616528885E-3</v>
      </c>
      <c r="E550" s="3">
        <f t="shared" si="66"/>
        <v>2.9865088207922282E-3</v>
      </c>
      <c r="F550">
        <f t="shared" si="70"/>
        <v>0.30838459843091715</v>
      </c>
      <c r="G550">
        <f t="shared" si="67"/>
        <v>9.6843643813205923E-3</v>
      </c>
      <c r="H550">
        <f t="shared" si="71"/>
        <v>-0.39913682763579261</v>
      </c>
      <c r="P550" s="33">
        <f t="shared" si="68"/>
        <v>-1.1067424185687846E-3</v>
      </c>
      <c r="Q550" s="33">
        <f t="shared" si="69"/>
        <v>5.1439926580197639</v>
      </c>
    </row>
    <row r="551" spans="1:17" x14ac:dyDescent="0.35">
      <c r="A551" s="13">
        <v>43166</v>
      </c>
      <c r="B551" s="14">
        <v>5187.83</v>
      </c>
      <c r="C551" s="2">
        <f t="shared" si="64"/>
        <v>3.4041038793246603E-3</v>
      </c>
      <c r="D551" s="2">
        <f t="shared" si="65"/>
        <v>6.9278470774877679E-3</v>
      </c>
      <c r="E551" s="3">
        <f t="shared" si="66"/>
        <v>-3.5237431981631076E-3</v>
      </c>
      <c r="F551">
        <f t="shared" si="70"/>
        <v>5.059866747772724E-2</v>
      </c>
      <c r="G551">
        <f t="shared" si="67"/>
        <v>-6.9641027596511418E-2</v>
      </c>
      <c r="H551">
        <f t="shared" si="71"/>
        <v>-0.40151487054140655</v>
      </c>
      <c r="P551" s="33">
        <f t="shared" si="68"/>
        <v>1.716779601616536E-3</v>
      </c>
      <c r="Q551" s="33">
        <f t="shared" si="69"/>
        <v>1.0351456133771637</v>
      </c>
    </row>
    <row r="552" spans="1:17" x14ac:dyDescent="0.35">
      <c r="A552" s="13">
        <v>43167</v>
      </c>
      <c r="B552" s="14">
        <v>5254.1</v>
      </c>
      <c r="C552" s="2">
        <f t="shared" si="64"/>
        <v>1.2774127139864033E-2</v>
      </c>
      <c r="D552" s="2">
        <f t="shared" si="65"/>
        <v>1.091829767712753E-2</v>
      </c>
      <c r="E552" s="3">
        <f t="shared" si="66"/>
        <v>1.8558294627365034E-3</v>
      </c>
      <c r="F552">
        <f t="shared" si="70"/>
        <v>7.5055122620640347E-2</v>
      </c>
      <c r="G552">
        <f t="shared" si="67"/>
        <v>2.472621984933172E-2</v>
      </c>
      <c r="H552">
        <f t="shared" si="71"/>
        <v>-0.39939562715307625</v>
      </c>
      <c r="P552" s="33">
        <f t="shared" si="68"/>
        <v>1.1086802862155909E-2</v>
      </c>
      <c r="Q552" s="33">
        <f t="shared" si="69"/>
        <v>0.14528033441479093</v>
      </c>
    </row>
    <row r="553" spans="1:17" x14ac:dyDescent="0.35">
      <c r="A553" s="13">
        <v>43168</v>
      </c>
      <c r="B553" s="14">
        <v>5274.4</v>
      </c>
      <c r="C553" s="2">
        <f t="shared" si="64"/>
        <v>3.8636493405148631E-3</v>
      </c>
      <c r="D553" s="2">
        <f t="shared" si="65"/>
        <v>4.2029527455173375E-2</v>
      </c>
      <c r="E553" s="3">
        <f t="shared" si="66"/>
        <v>-3.8165878114658512E-2</v>
      </c>
      <c r="F553">
        <f t="shared" si="70"/>
        <v>3.9044445364912278E-2</v>
      </c>
      <c r="G553">
        <f t="shared" si="67"/>
        <v>-0.97749827812784607</v>
      </c>
      <c r="H553">
        <f t="shared" si="71"/>
        <v>-0.87684137605050949</v>
      </c>
      <c r="P553" s="33">
        <f t="shared" si="68"/>
        <v>2.1763250628067388E-3</v>
      </c>
      <c r="Q553" s="33">
        <f t="shared" si="69"/>
        <v>9.8781940986323029</v>
      </c>
    </row>
    <row r="554" spans="1:17" x14ac:dyDescent="0.35">
      <c r="A554" s="13">
        <v>43171</v>
      </c>
      <c r="B554" s="14">
        <v>5276.71</v>
      </c>
      <c r="C554" s="2">
        <f t="shared" si="64"/>
        <v>4.3796450781141694E-4</v>
      </c>
      <c r="D554" s="2">
        <f t="shared" si="65"/>
        <v>2.2850979446989578E-2</v>
      </c>
      <c r="E554" s="3">
        <f t="shared" si="66"/>
        <v>-2.2413014939178161E-2</v>
      </c>
      <c r="F554">
        <f t="shared" si="70"/>
        <v>0.96905951723467043</v>
      </c>
      <c r="G554">
        <f t="shared" si="67"/>
        <v>-2.3128625786717861E-2</v>
      </c>
      <c r="H554">
        <f t="shared" si="71"/>
        <v>-0.39935740084444854</v>
      </c>
      <c r="P554" s="33">
        <f t="shared" si="68"/>
        <v>-1.2493597698967074E-3</v>
      </c>
      <c r="Q554" s="33">
        <f t="shared" si="69"/>
        <v>51.175413850724581</v>
      </c>
    </row>
    <row r="555" spans="1:17" x14ac:dyDescent="0.35">
      <c r="A555" s="13">
        <v>43172</v>
      </c>
      <c r="B555" s="14">
        <v>5242.79</v>
      </c>
      <c r="C555" s="2">
        <f t="shared" si="64"/>
        <v>-6.4282479044708296E-3</v>
      </c>
      <c r="D555" s="2">
        <f t="shared" si="65"/>
        <v>4.6756378842860522E-3</v>
      </c>
      <c r="E555" s="3">
        <f t="shared" si="66"/>
        <v>-1.1103885788756882E-2</v>
      </c>
      <c r="F555">
        <f t="shared" si="70"/>
        <v>0.1325078885453386</v>
      </c>
      <c r="G555">
        <f t="shared" si="67"/>
        <v>-8.3797922604114256E-2</v>
      </c>
      <c r="H555">
        <f t="shared" si="71"/>
        <v>-0.4026009800954401</v>
      </c>
      <c r="P555" s="33">
        <f t="shared" si="68"/>
        <v>-8.1155721821789539E-3</v>
      </c>
      <c r="Q555" s="33">
        <f t="shared" si="69"/>
        <v>1.7273580536671833</v>
      </c>
    </row>
    <row r="556" spans="1:17" x14ac:dyDescent="0.35">
      <c r="A556" s="13">
        <v>43173</v>
      </c>
      <c r="B556" s="14">
        <v>5233.3599999999997</v>
      </c>
      <c r="C556" s="2">
        <f t="shared" si="64"/>
        <v>-1.7986606367984548E-3</v>
      </c>
      <c r="D556" s="2">
        <f t="shared" si="65"/>
        <v>-1.929336854852215E-2</v>
      </c>
      <c r="E556" s="3">
        <f t="shared" si="66"/>
        <v>1.7494707911723695E-2</v>
      </c>
      <c r="F556">
        <f t="shared" si="70"/>
        <v>8.9582575568126405E-2</v>
      </c>
      <c r="G556">
        <f t="shared" si="67"/>
        <v>0.19529141466153976</v>
      </c>
      <c r="H556">
        <f t="shared" si="71"/>
        <v>-0.41815930249931027</v>
      </c>
      <c r="P556" s="33">
        <f t="shared" si="68"/>
        <v>-3.4859849145065791E-3</v>
      </c>
      <c r="Q556" s="33">
        <f t="shared" si="69"/>
        <v>9.7265195856309994</v>
      </c>
    </row>
    <row r="557" spans="1:17" x14ac:dyDescent="0.35">
      <c r="A557" s="13">
        <v>43174</v>
      </c>
      <c r="B557" s="14">
        <v>5267.26</v>
      </c>
      <c r="C557" s="2">
        <f t="shared" si="64"/>
        <v>6.4776739991134757E-3</v>
      </c>
      <c r="D557" s="2">
        <f t="shared" si="65"/>
        <v>-1.1053540232444585E-2</v>
      </c>
      <c r="E557" s="3">
        <f t="shared" si="66"/>
        <v>1.7531214231558061E-2</v>
      </c>
      <c r="F557">
        <f t="shared" si="70"/>
        <v>0.19599600258988528</v>
      </c>
      <c r="G557">
        <f t="shared" si="67"/>
        <v>8.9446794832043125E-2</v>
      </c>
      <c r="H557">
        <f t="shared" si="71"/>
        <v>-0.40309029873192032</v>
      </c>
      <c r="P557" s="33">
        <f t="shared" si="68"/>
        <v>4.7903497214053514E-3</v>
      </c>
      <c r="Q557" s="33">
        <f t="shared" si="69"/>
        <v>2.7064057613824586</v>
      </c>
    </row>
    <row r="558" spans="1:17" x14ac:dyDescent="0.35">
      <c r="A558" s="13">
        <v>43175</v>
      </c>
      <c r="B558" s="14">
        <v>5282.75</v>
      </c>
      <c r="C558" s="2">
        <f t="shared" si="64"/>
        <v>2.9408079342960747E-3</v>
      </c>
      <c r="D558" s="2">
        <f t="shared" si="65"/>
        <v>1.8269963312063684E-2</v>
      </c>
      <c r="E558" s="3">
        <f t="shared" si="66"/>
        <v>-1.5329155377767609E-2</v>
      </c>
      <c r="F558">
        <f t="shared" si="70"/>
        <v>9.6674205790246853E-2</v>
      </c>
      <c r="G558">
        <f t="shared" si="67"/>
        <v>-0.15856510278478148</v>
      </c>
      <c r="H558">
        <f t="shared" si="71"/>
        <v>-0.41166138008963166</v>
      </c>
      <c r="P558" s="33">
        <f t="shared" si="68"/>
        <v>1.2534836565879504E-3</v>
      </c>
      <c r="Q558" s="33">
        <f t="shared" si="69"/>
        <v>5.2125659751516098</v>
      </c>
    </row>
    <row r="559" spans="1:17" x14ac:dyDescent="0.35">
      <c r="A559" s="13">
        <v>43178</v>
      </c>
      <c r="B559" s="14">
        <v>5222.84</v>
      </c>
      <c r="C559" s="2">
        <f t="shared" si="64"/>
        <v>-1.1340684302683202E-2</v>
      </c>
      <c r="D559" s="2">
        <f t="shared" si="65"/>
        <v>1.4591359578711872E-2</v>
      </c>
      <c r="E559" s="3">
        <f t="shared" si="66"/>
        <v>-2.5932043881395073E-2</v>
      </c>
      <c r="F559">
        <f t="shared" si="70"/>
        <v>0.1602385912156904</v>
      </c>
      <c r="G559">
        <f t="shared" si="67"/>
        <v>-0.16183394826836092</v>
      </c>
      <c r="H559">
        <f t="shared" si="71"/>
        <v>-0.41218504758512081</v>
      </c>
      <c r="P559" s="33">
        <f t="shared" si="68"/>
        <v>-1.3028008580391326E-2</v>
      </c>
      <c r="Q559" s="33">
        <f t="shared" si="69"/>
        <v>2.2866383711307052</v>
      </c>
    </row>
    <row r="560" spans="1:17" x14ac:dyDescent="0.35">
      <c r="A560" s="13">
        <v>43179</v>
      </c>
      <c r="B560" s="14">
        <v>5252.43</v>
      </c>
      <c r="C560" s="2">
        <f t="shared" si="64"/>
        <v>5.6654999961707198E-3</v>
      </c>
      <c r="D560" s="2">
        <f t="shared" si="65"/>
        <v>-3.2165553404200027E-2</v>
      </c>
      <c r="E560" s="3">
        <f t="shared" si="66"/>
        <v>3.7831053400370747E-2</v>
      </c>
      <c r="F560">
        <f t="shared" si="70"/>
        <v>0.16427606373207437</v>
      </c>
      <c r="G560">
        <f t="shared" si="67"/>
        <v>0.23028950500099155</v>
      </c>
      <c r="H560">
        <f t="shared" si="71"/>
        <v>-0.42560656223585835</v>
      </c>
      <c r="P560" s="33">
        <f t="shared" si="68"/>
        <v>3.9781757184625954E-3</v>
      </c>
      <c r="Q560" s="33">
        <f t="shared" si="69"/>
        <v>6.6774430193170149</v>
      </c>
    </row>
    <row r="561" spans="1:17" x14ac:dyDescent="0.35">
      <c r="A561" s="13">
        <v>43180</v>
      </c>
      <c r="B561" s="14">
        <v>5239.74</v>
      </c>
      <c r="C561" s="2">
        <f t="shared" si="64"/>
        <v>-2.4160245829074611E-3</v>
      </c>
      <c r="D561" s="2">
        <f t="shared" si="65"/>
        <v>7.5471786511997589E-3</v>
      </c>
      <c r="E561" s="3">
        <f t="shared" si="66"/>
        <v>-9.9632032341072201E-3</v>
      </c>
      <c r="F561">
        <f t="shared" si="70"/>
        <v>0.23101260467038143</v>
      </c>
      <c r="G561">
        <f t="shared" si="67"/>
        <v>-4.3128396601229357E-2</v>
      </c>
      <c r="H561">
        <f t="shared" si="71"/>
        <v>-0.40001996347575397</v>
      </c>
      <c r="P561" s="33">
        <f t="shared" si="68"/>
        <v>-4.1033488606155855E-3</v>
      </c>
      <c r="Q561" s="33">
        <f t="shared" si="69"/>
        <v>4.1238004383703046</v>
      </c>
    </row>
    <row r="562" spans="1:17" x14ac:dyDescent="0.35">
      <c r="A562" s="13">
        <v>43181</v>
      </c>
      <c r="B562" s="14">
        <v>5167.21</v>
      </c>
      <c r="C562" s="2">
        <f t="shared" si="64"/>
        <v>-1.3842289884612557E-2</v>
      </c>
      <c r="D562" s="2">
        <f t="shared" si="65"/>
        <v>-2.5025239132008313E-3</v>
      </c>
      <c r="E562" s="3">
        <f t="shared" si="66"/>
        <v>-1.1339765971411727E-2</v>
      </c>
      <c r="F562">
        <f t="shared" si="70"/>
        <v>5.9785650428216368E-2</v>
      </c>
      <c r="G562">
        <f t="shared" si="67"/>
        <v>-0.18967370748984649</v>
      </c>
      <c r="H562">
        <f t="shared" si="71"/>
        <v>-0.41707799183552946</v>
      </c>
      <c r="P562" s="33">
        <f t="shared" si="68"/>
        <v>-1.5529614162320682E-2</v>
      </c>
      <c r="Q562" s="33">
        <f t="shared" si="69"/>
        <v>0.8192117103411698</v>
      </c>
    </row>
    <row r="563" spans="1:17" x14ac:dyDescent="0.35">
      <c r="A563" s="13">
        <v>43182</v>
      </c>
      <c r="B563" s="14">
        <v>5095.22</v>
      </c>
      <c r="C563" s="2">
        <f t="shared" si="64"/>
        <v>-1.3932083271243068E-2</v>
      </c>
      <c r="D563" s="2">
        <f t="shared" si="65"/>
        <v>-4.4445288453298988E-2</v>
      </c>
      <c r="E563" s="3">
        <f t="shared" si="66"/>
        <v>3.0513205182055921E-2</v>
      </c>
      <c r="F563">
        <f t="shared" si="70"/>
        <v>0.19030006082646966</v>
      </c>
      <c r="G563">
        <f t="shared" si="67"/>
        <v>0.16034259290058886</v>
      </c>
      <c r="H563">
        <f t="shared" si="71"/>
        <v>-0.41194480772809949</v>
      </c>
      <c r="P563" s="33">
        <f t="shared" si="68"/>
        <v>-1.5619407548951192E-2</v>
      </c>
      <c r="Q563" s="33">
        <f t="shared" si="69"/>
        <v>2.1901394492119937</v>
      </c>
    </row>
    <row r="564" spans="1:17" x14ac:dyDescent="0.35">
      <c r="A564" s="13">
        <v>43185</v>
      </c>
      <c r="B564" s="14">
        <v>5066.28</v>
      </c>
      <c r="C564" s="2">
        <f t="shared" si="64"/>
        <v>-5.6798332554827136E-3</v>
      </c>
      <c r="D564" s="2">
        <f t="shared" si="65"/>
        <v>-5.4584095812234626E-2</v>
      </c>
      <c r="E564" s="3">
        <f t="shared" si="66"/>
        <v>4.8904262556751912E-2</v>
      </c>
      <c r="F564">
        <f t="shared" si="70"/>
        <v>0.16339121654650979</v>
      </c>
      <c r="G564">
        <f t="shared" si="67"/>
        <v>0.29930778159565985</v>
      </c>
      <c r="H564">
        <f t="shared" si="71"/>
        <v>-0.44388250824091513</v>
      </c>
      <c r="P564" s="33">
        <f t="shared" si="68"/>
        <v>-7.3671575331908379E-3</v>
      </c>
      <c r="Q564" s="33">
        <f t="shared" si="69"/>
        <v>8.6101581432069114</v>
      </c>
    </row>
    <row r="565" spans="1:17" x14ac:dyDescent="0.35">
      <c r="A565" s="13">
        <v>43186</v>
      </c>
      <c r="B565" s="14">
        <v>5115.74</v>
      </c>
      <c r="C565" s="2">
        <f t="shared" si="64"/>
        <v>9.7625871448083767E-3</v>
      </c>
      <c r="D565" s="2">
        <f t="shared" si="65"/>
        <v>-2.9408425051200403E-2</v>
      </c>
      <c r="E565" s="3">
        <f t="shared" si="66"/>
        <v>3.9171012196008784E-2</v>
      </c>
      <c r="F565">
        <f t="shared" si="70"/>
        <v>0.29875188735978558</v>
      </c>
      <c r="G565">
        <f t="shared" si="67"/>
        <v>0.13111553048980509</v>
      </c>
      <c r="H565">
        <f t="shared" si="71"/>
        <v>-0.40768557534686906</v>
      </c>
      <c r="P565" s="33">
        <f t="shared" si="68"/>
        <v>8.0752628671002524E-3</v>
      </c>
      <c r="Q565" s="33">
        <f t="shared" si="69"/>
        <v>4.0123597991992774</v>
      </c>
    </row>
    <row r="566" spans="1:17" x14ac:dyDescent="0.35">
      <c r="A566" s="13">
        <v>43187</v>
      </c>
      <c r="B566" s="14">
        <v>5130.4399999999996</v>
      </c>
      <c r="C566" s="2">
        <f t="shared" si="64"/>
        <v>2.873484578965968E-3</v>
      </c>
      <c r="D566" s="2">
        <f t="shared" si="65"/>
        <v>2.4971791094322654E-2</v>
      </c>
      <c r="E566" s="3">
        <f t="shared" si="66"/>
        <v>-2.2098306515356686E-2</v>
      </c>
      <c r="F566">
        <f t="shared" si="70"/>
        <v>0.13873569405738415</v>
      </c>
      <c r="G566">
        <f t="shared" si="67"/>
        <v>-0.15928349705171288</v>
      </c>
      <c r="H566">
        <f t="shared" si="71"/>
        <v>-0.41177555039556901</v>
      </c>
      <c r="P566" s="33">
        <f t="shared" si="68"/>
        <v>1.1861603012578437E-3</v>
      </c>
      <c r="Q566" s="33">
        <f t="shared" si="69"/>
        <v>7.6904211274065117</v>
      </c>
    </row>
    <row r="567" spans="1:17" x14ac:dyDescent="0.35">
      <c r="A567" s="13">
        <v>43188</v>
      </c>
      <c r="B567" s="14">
        <v>5167.3</v>
      </c>
      <c r="C567" s="2">
        <f t="shared" si="64"/>
        <v>7.184568964845317E-3</v>
      </c>
      <c r="D567" s="2">
        <f t="shared" si="65"/>
        <v>1.7221127554524034E-2</v>
      </c>
      <c r="E567" s="3">
        <f t="shared" si="66"/>
        <v>-1.0036558589678717E-2</v>
      </c>
      <c r="F567">
        <f t="shared" si="70"/>
        <v>0.1614667032027059</v>
      </c>
      <c r="G567">
        <f t="shared" si="67"/>
        <v>-6.215868900895799E-2</v>
      </c>
      <c r="H567">
        <f t="shared" si="71"/>
        <v>-0.4010217854887137</v>
      </c>
      <c r="P567" s="33">
        <f t="shared" si="68"/>
        <v>5.4972446871371927E-3</v>
      </c>
      <c r="Q567" s="33">
        <f t="shared" si="69"/>
        <v>1.3969604354538758</v>
      </c>
    </row>
    <row r="568" spans="1:17" x14ac:dyDescent="0.35">
      <c r="A568" s="13">
        <v>43193</v>
      </c>
      <c r="B568" s="14">
        <v>5152.12</v>
      </c>
      <c r="C568" s="2">
        <f t="shared" si="64"/>
        <v>-2.9377044104271777E-3</v>
      </c>
      <c r="D568" s="2">
        <f t="shared" si="65"/>
        <v>2.4466526261874844E-2</v>
      </c>
      <c r="E568" s="3">
        <f t="shared" si="66"/>
        <v>-2.7404230672302021E-2</v>
      </c>
      <c r="F568">
        <f t="shared" si="70"/>
        <v>7.1208726026044597E-2</v>
      </c>
      <c r="G568">
        <f t="shared" si="67"/>
        <v>-0.38484371511265236</v>
      </c>
      <c r="H568">
        <f t="shared" si="71"/>
        <v>-0.47314227670991171</v>
      </c>
      <c r="P568" s="33">
        <f t="shared" si="68"/>
        <v>-4.625028688135302E-3</v>
      </c>
      <c r="Q568" s="33">
        <f t="shared" si="69"/>
        <v>9.3284506688394551</v>
      </c>
    </row>
    <row r="569" spans="1:17" x14ac:dyDescent="0.35">
      <c r="A569" s="13">
        <v>43194</v>
      </c>
      <c r="B569" s="14">
        <v>5141.8</v>
      </c>
      <c r="C569" s="2">
        <f t="shared" si="64"/>
        <v>-2.0030589349626648E-3</v>
      </c>
      <c r="D569" s="2">
        <f t="shared" si="65"/>
        <v>-2.7875700838193521E-3</v>
      </c>
      <c r="E569" s="3">
        <f t="shared" si="66"/>
        <v>7.8451114885668728E-4</v>
      </c>
      <c r="F569">
        <f t="shared" si="70"/>
        <v>0.38254505637229619</v>
      </c>
      <c r="G569">
        <f t="shared" si="67"/>
        <v>2.0507679704353417E-3</v>
      </c>
      <c r="H569">
        <f t="shared" si="71"/>
        <v>-0.39909203700369184</v>
      </c>
      <c r="P569" s="33">
        <f t="shared" si="68"/>
        <v>-3.6903832126707892E-3</v>
      </c>
      <c r="Q569" s="33">
        <f t="shared" si="69"/>
        <v>0.39165654847360237</v>
      </c>
    </row>
    <row r="570" spans="1:17" x14ac:dyDescent="0.35">
      <c r="A570" s="13">
        <v>43195</v>
      </c>
      <c r="B570" s="14">
        <v>5276.67</v>
      </c>
      <c r="C570" s="2">
        <f t="shared" si="64"/>
        <v>2.6230113967871116E-2</v>
      </c>
      <c r="D570" s="2">
        <f t="shared" si="65"/>
        <v>-8.6657273811118415E-3</v>
      </c>
      <c r="E570" s="3">
        <f t="shared" si="66"/>
        <v>3.4895841348982957E-2</v>
      </c>
      <c r="F570">
        <f t="shared" si="70"/>
        <v>5.7935610578974887E-2</v>
      </c>
      <c r="G570">
        <f t="shared" si="67"/>
        <v>0.60232111132089849</v>
      </c>
      <c r="H570">
        <f t="shared" si="71"/>
        <v>-0.58048529475047861</v>
      </c>
      <c r="P570" s="33">
        <f t="shared" si="68"/>
        <v>2.4542789690162992E-2</v>
      </c>
      <c r="Q570" s="33">
        <f t="shared" si="69"/>
        <v>1.3303732264269368</v>
      </c>
    </row>
    <row r="571" spans="1:17" x14ac:dyDescent="0.35">
      <c r="A571" s="13">
        <v>43196</v>
      </c>
      <c r="B571" s="14">
        <v>5258.24</v>
      </c>
      <c r="C571" s="2">
        <f t="shared" si="64"/>
        <v>-3.4927331062962752E-3</v>
      </c>
      <c r="D571" s="2">
        <f t="shared" si="65"/>
        <v>7.8539094370933496E-2</v>
      </c>
      <c r="E571" s="3">
        <f t="shared" si="66"/>
        <v>-8.2031827477229771E-2</v>
      </c>
      <c r="F571">
        <f t="shared" si="70"/>
        <v>0.59759073801016427</v>
      </c>
      <c r="G571">
        <f t="shared" si="67"/>
        <v>-0.13727091512558637</v>
      </c>
      <c r="H571">
        <f t="shared" si="71"/>
        <v>-0.40851158624876549</v>
      </c>
      <c r="P571" s="33">
        <f t="shared" si="68"/>
        <v>-5.1800573840043995E-3</v>
      </c>
      <c r="Q571" s="33">
        <f t="shared" si="69"/>
        <v>23.486428816834803</v>
      </c>
    </row>
    <row r="572" spans="1:17" x14ac:dyDescent="0.35">
      <c r="A572" s="13">
        <v>43199</v>
      </c>
      <c r="B572" s="14">
        <v>5263.39</v>
      </c>
      <c r="C572" s="2">
        <f t="shared" si="64"/>
        <v>9.7941516553068375E-4</v>
      </c>
      <c r="D572" s="2">
        <f t="shared" si="65"/>
        <v>1.1955524466679565E-2</v>
      </c>
      <c r="E572" s="3">
        <f t="shared" si="66"/>
        <v>-1.0976109301148881E-2</v>
      </c>
      <c r="F572">
        <f t="shared" si="70"/>
        <v>0.15966333606194044</v>
      </c>
      <c r="G572">
        <f t="shared" si="67"/>
        <v>-6.8745333599260161E-2</v>
      </c>
      <c r="H572">
        <f t="shared" si="71"/>
        <v>-0.40145289462489431</v>
      </c>
      <c r="P572" s="33">
        <f t="shared" si="68"/>
        <v>-7.0790911217744057E-4</v>
      </c>
      <c r="Q572" s="33">
        <f t="shared" si="69"/>
        <v>11.206799411975222</v>
      </c>
    </row>
    <row r="573" spans="1:17" x14ac:dyDescent="0.35">
      <c r="A573" s="13">
        <v>43200</v>
      </c>
      <c r="B573" s="14">
        <v>5307.56</v>
      </c>
      <c r="C573" s="2">
        <f t="shared" si="64"/>
        <v>8.3919299158907723E-3</v>
      </c>
      <c r="D573" s="2">
        <f t="shared" si="65"/>
        <v>-1.8029178161848257E-5</v>
      </c>
      <c r="E573" s="3">
        <f t="shared" si="66"/>
        <v>8.4099590940526214E-3</v>
      </c>
      <c r="F573">
        <f t="shared" si="70"/>
        <v>7.6859053190919999E-2</v>
      </c>
      <c r="G573">
        <f t="shared" si="67"/>
        <v>0.10942053987006647</v>
      </c>
      <c r="H573">
        <f t="shared" si="71"/>
        <v>-0.40507636145178594</v>
      </c>
      <c r="P573" s="33">
        <f t="shared" si="68"/>
        <v>6.704605638182648E-3</v>
      </c>
      <c r="Q573" s="33">
        <f t="shared" si="69"/>
        <v>1.0021483947485916</v>
      </c>
    </row>
    <row r="574" spans="1:17" x14ac:dyDescent="0.35">
      <c r="A574" s="13">
        <v>43201</v>
      </c>
      <c r="B574" s="14">
        <v>5277.94</v>
      </c>
      <c r="C574" s="2">
        <f t="shared" si="64"/>
        <v>-5.5807188237158023E-3</v>
      </c>
      <c r="D574" s="2">
        <f t="shared" si="65"/>
        <v>2.6526135830538929E-2</v>
      </c>
      <c r="E574" s="3">
        <f t="shared" si="66"/>
        <v>-3.2106854654254731E-2</v>
      </c>
      <c r="F574">
        <f t="shared" si="70"/>
        <v>0.11262859508049643</v>
      </c>
      <c r="G574">
        <f t="shared" si="67"/>
        <v>-0.28506841119085025</v>
      </c>
      <c r="H574">
        <f t="shared" si="71"/>
        <v>-0.43972193370849538</v>
      </c>
      <c r="P574" s="33">
        <f t="shared" si="68"/>
        <v>-7.2680431014239266E-3</v>
      </c>
      <c r="Q574" s="33">
        <f t="shared" si="69"/>
        <v>5.7531754722731341</v>
      </c>
    </row>
    <row r="575" spans="1:17" x14ac:dyDescent="0.35">
      <c r="A575" s="13">
        <v>43202</v>
      </c>
      <c r="B575" s="14">
        <v>5309.22</v>
      </c>
      <c r="C575" s="2">
        <f t="shared" si="64"/>
        <v>5.9265546785300938E-3</v>
      </c>
      <c r="D575" s="2">
        <f t="shared" si="65"/>
        <v>-9.8333250211198077E-3</v>
      </c>
      <c r="E575" s="3">
        <f t="shared" si="66"/>
        <v>1.5759879699649901E-2</v>
      </c>
      <c r="F575">
        <f t="shared" si="70"/>
        <v>0.28432414731689509</v>
      </c>
      <c r="G575">
        <f t="shared" si="67"/>
        <v>5.542926919282954E-2</v>
      </c>
      <c r="H575">
        <f t="shared" si="71"/>
        <v>-0.4006261361206831</v>
      </c>
      <c r="P575" s="33">
        <f t="shared" si="68"/>
        <v>4.2392304008219694E-3</v>
      </c>
      <c r="Q575" s="33">
        <f t="shared" si="69"/>
        <v>2.6591975531319441</v>
      </c>
    </row>
    <row r="576" spans="1:17" x14ac:dyDescent="0.35">
      <c r="A576" s="13">
        <v>43203</v>
      </c>
      <c r="B576" s="14">
        <v>5315.02</v>
      </c>
      <c r="C576" s="2">
        <f t="shared" si="64"/>
        <v>1.0924391906910191E-3</v>
      </c>
      <c r="D576" s="2">
        <f t="shared" si="65"/>
        <v>1.3318489563716791E-2</v>
      </c>
      <c r="E576" s="3">
        <f t="shared" si="66"/>
        <v>-1.2226050373025772E-2</v>
      </c>
      <c r="F576">
        <f t="shared" si="70"/>
        <v>7.2380026411154194E-2</v>
      </c>
      <c r="G576">
        <f t="shared" si="67"/>
        <v>-0.16891469897476669</v>
      </c>
      <c r="H576">
        <f t="shared" si="71"/>
        <v>-0.41335602194392557</v>
      </c>
      <c r="P576" s="33">
        <f t="shared" si="68"/>
        <v>-5.9488508701710519E-4</v>
      </c>
      <c r="Q576" s="33">
        <f t="shared" si="69"/>
        <v>11.191515717494738</v>
      </c>
    </row>
    <row r="577" spans="1:17" x14ac:dyDescent="0.35">
      <c r="A577" s="13">
        <v>43206</v>
      </c>
      <c r="B577" s="14">
        <v>5312.96</v>
      </c>
      <c r="C577" s="2">
        <f t="shared" si="64"/>
        <v>-3.8758085576351409E-4</v>
      </c>
      <c r="D577" s="2">
        <f t="shared" si="65"/>
        <v>8.4592912307699629E-3</v>
      </c>
      <c r="E577" s="3">
        <f t="shared" si="66"/>
        <v>-8.846872086533477E-3</v>
      </c>
      <c r="F577">
        <f t="shared" si="70"/>
        <v>0.17009855690758707</v>
      </c>
      <c r="G577">
        <f t="shared" si="67"/>
        <v>-5.201027126491084E-2</v>
      </c>
      <c r="H577">
        <f t="shared" si="71"/>
        <v>-0.40044246833758235</v>
      </c>
      <c r="P577" s="33">
        <f t="shared" si="68"/>
        <v>-2.0749051334716384E-3</v>
      </c>
      <c r="Q577" s="33">
        <f t="shared" si="69"/>
        <v>22.825874794836292</v>
      </c>
    </row>
    <row r="578" spans="1:17" x14ac:dyDescent="0.35">
      <c r="A578" s="13">
        <v>43207</v>
      </c>
      <c r="B578" s="14">
        <v>5353.54</v>
      </c>
      <c r="C578" s="2">
        <f t="shared" si="64"/>
        <v>7.6379268806840983E-3</v>
      </c>
      <c r="D578" s="2">
        <f t="shared" si="65"/>
        <v>-2.4298158412754958E-4</v>
      </c>
      <c r="E578" s="3">
        <f t="shared" si="66"/>
        <v>7.8809084648116482E-3</v>
      </c>
      <c r="F578">
        <f t="shared" si="70"/>
        <v>6.3106205383784364E-2</v>
      </c>
      <c r="G578">
        <f t="shared" si="67"/>
        <v>0.12488325699324507</v>
      </c>
      <c r="H578">
        <f t="shared" si="71"/>
        <v>-0.40688784811767797</v>
      </c>
      <c r="P578" s="33">
        <f t="shared" si="68"/>
        <v>5.950602602975974E-3</v>
      </c>
      <c r="Q578" s="33">
        <f t="shared" si="69"/>
        <v>1.0318125046132658</v>
      </c>
    </row>
    <row r="579" spans="1:17" x14ac:dyDescent="0.35">
      <c r="A579" s="13">
        <v>43208</v>
      </c>
      <c r="B579" s="14">
        <v>5380.17</v>
      </c>
      <c r="C579" s="2">
        <f t="shared" si="64"/>
        <v>4.9742787015694123E-3</v>
      </c>
      <c r="D579" s="2">
        <f t="shared" si="65"/>
        <v>2.3038672125063036E-2</v>
      </c>
      <c r="E579" s="3">
        <f t="shared" si="66"/>
        <v>-1.8064393423493624E-2</v>
      </c>
      <c r="F579">
        <f t="shared" si="70"/>
        <v>0.12731627850530911</v>
      </c>
      <c r="G579">
        <f t="shared" si="67"/>
        <v>-0.14188596804406545</v>
      </c>
      <c r="H579">
        <f t="shared" si="71"/>
        <v>-0.4091557481429583</v>
      </c>
      <c r="P579" s="33">
        <f t="shared" si="68"/>
        <v>3.286954423861288E-3</v>
      </c>
      <c r="Q579" s="33">
        <f t="shared" si="69"/>
        <v>3.631560374330093</v>
      </c>
    </row>
    <row r="580" spans="1:17" x14ac:dyDescent="0.35">
      <c r="A580" s="13">
        <v>43209</v>
      </c>
      <c r="B580" s="14">
        <v>5391.64</v>
      </c>
      <c r="C580" s="2">
        <f t="shared" ref="C580:C643" si="72">(B580/B579)-1</f>
        <v>2.1319028952617725E-3</v>
      </c>
      <c r="D580" s="2">
        <f t="shared" si="65"/>
        <v>2.1815719969690738E-2</v>
      </c>
      <c r="E580" s="3">
        <f t="shared" si="66"/>
        <v>-1.9683817074428966E-2</v>
      </c>
      <c r="F580">
        <f t="shared" si="70"/>
        <v>0.14447911981443931</v>
      </c>
      <c r="G580">
        <f t="shared" si="67"/>
        <v>-0.13623987396732296</v>
      </c>
      <c r="H580">
        <f t="shared" si="71"/>
        <v>-0.40837058580837354</v>
      </c>
      <c r="P580" s="33">
        <f t="shared" si="68"/>
        <v>4.4457861755364814E-4</v>
      </c>
      <c r="Q580" s="33">
        <f t="shared" si="69"/>
        <v>9.2329801315889792</v>
      </c>
    </row>
    <row r="581" spans="1:17" x14ac:dyDescent="0.35">
      <c r="A581" s="13">
        <v>43210</v>
      </c>
      <c r="B581" s="14">
        <v>5412.83</v>
      </c>
      <c r="C581" s="2">
        <f t="shared" si="72"/>
        <v>3.9301585417423901E-3</v>
      </c>
      <c r="D581" s="2">
        <f t="shared" si="65"/>
        <v>1.0818136798684371E-2</v>
      </c>
      <c r="E581" s="3">
        <f t="shared" si="66"/>
        <v>-6.887978256941981E-3</v>
      </c>
      <c r="F581">
        <f t="shared" si="70"/>
        <v>0.13932979793229849</v>
      </c>
      <c r="G581">
        <f t="shared" si="67"/>
        <v>-4.9436505034543339E-2</v>
      </c>
      <c r="H581">
        <f t="shared" si="71"/>
        <v>-0.40031191819407275</v>
      </c>
      <c r="P581" s="33">
        <f t="shared" si="68"/>
        <v>2.2428342640342658E-3</v>
      </c>
      <c r="Q581" s="33">
        <f t="shared" si="69"/>
        <v>1.7525955209654915</v>
      </c>
    </row>
    <row r="582" spans="1:17" x14ac:dyDescent="0.35">
      <c r="A582" s="13">
        <v>43213</v>
      </c>
      <c r="B582" s="14">
        <v>5438.55</v>
      </c>
      <c r="C582" s="2">
        <f t="shared" si="72"/>
        <v>4.7516733390851051E-3</v>
      </c>
      <c r="D582" s="2">
        <f t="shared" ref="D582:D645" si="73">C581*$K$10+C580*$K$9</f>
        <v>1.3867326830309962E-2</v>
      </c>
      <c r="E582" s="3">
        <f t="shared" ref="E582:E645" si="74">C582-D582</f>
        <v>-9.1156534912248573E-3</v>
      </c>
      <c r="F582">
        <f t="shared" si="70"/>
        <v>5.9680066239835704E-2</v>
      </c>
      <c r="G582">
        <f t="shared" ref="G582:G645" si="75">E582/F582</f>
        <v>-0.15274201363302561</v>
      </c>
      <c r="H582">
        <f t="shared" si="71"/>
        <v>-0.41075499554339323</v>
      </c>
      <c r="P582" s="33">
        <f t="shared" ref="P582:P645" si="76" xml:space="preserve"> C582-$K$16</f>
        <v>3.0643490613769808E-3</v>
      </c>
      <c r="Q582" s="33">
        <f t="shared" ref="Q582:Q645" si="77" xml:space="preserve"> ABS(E582)/ABS(C582)</f>
        <v>1.9184091246853261</v>
      </c>
    </row>
    <row r="583" spans="1:17" x14ac:dyDescent="0.35">
      <c r="A583" s="13">
        <v>43214</v>
      </c>
      <c r="B583" s="14">
        <v>5444.16</v>
      </c>
      <c r="C583" s="2">
        <f t="shared" si="72"/>
        <v>1.0315249469068366E-3</v>
      </c>
      <c r="D583" s="2">
        <f t="shared" si="73"/>
        <v>1.7933683447626483E-2</v>
      </c>
      <c r="E583" s="3">
        <f t="shared" si="74"/>
        <v>-1.6902158500719647E-2</v>
      </c>
      <c r="F583">
        <f t="shared" ref="F583:F646" si="78">($K$5+$K$6*G582^2+$K$7*F582^2)^(1/2)</f>
        <v>0.15426146314608649</v>
      </c>
      <c r="G583">
        <f t="shared" si="75"/>
        <v>-0.10956824961988858</v>
      </c>
      <c r="H583">
        <f t="shared" ref="H583:H646" si="79">- (G583^2)/2 - LOG(2*PI())/2</f>
        <v>-0.40509253484144064</v>
      </c>
      <c r="P583" s="33">
        <f t="shared" si="76"/>
        <v>-6.5579933080128772E-4</v>
      </c>
      <c r="Q583" s="33">
        <f t="shared" si="77"/>
        <v>16.385603228892325</v>
      </c>
    </row>
    <row r="584" spans="1:17" x14ac:dyDescent="0.35">
      <c r="A584" s="13">
        <v>43215</v>
      </c>
      <c r="B584" s="14">
        <v>5413.3</v>
      </c>
      <c r="C584" s="2">
        <f t="shared" si="72"/>
        <v>-5.6684594133896704E-3</v>
      </c>
      <c r="D584" s="2">
        <f t="shared" si="73"/>
        <v>7.2586366734017369E-3</v>
      </c>
      <c r="E584" s="3">
        <f t="shared" si="74"/>
        <v>-1.2927096086791406E-2</v>
      </c>
      <c r="F584">
        <f t="shared" si="78"/>
        <v>0.11413013400644245</v>
      </c>
      <c r="G584">
        <f t="shared" si="75"/>
        <v>-0.11326628325926344</v>
      </c>
      <c r="H584">
        <f t="shared" si="79"/>
        <v>-0.40550455964074139</v>
      </c>
      <c r="P584" s="33">
        <f t="shared" si="76"/>
        <v>-7.3557836910977947E-3</v>
      </c>
      <c r="Q584" s="33">
        <f t="shared" si="77"/>
        <v>2.2805307657766503</v>
      </c>
    </row>
    <row r="585" spans="1:17" x14ac:dyDescent="0.35">
      <c r="A585" s="13">
        <v>43216</v>
      </c>
      <c r="B585" s="14">
        <v>5453.58</v>
      </c>
      <c r="C585" s="2">
        <f t="shared" si="72"/>
        <v>7.4409325180573305E-3</v>
      </c>
      <c r="D585" s="2">
        <f t="shared" si="73"/>
        <v>-1.645588913714089E-2</v>
      </c>
      <c r="E585" s="3">
        <f t="shared" si="74"/>
        <v>2.3896821655198221E-2</v>
      </c>
      <c r="F585">
        <f t="shared" si="78"/>
        <v>0.11682874228755932</v>
      </c>
      <c r="G585">
        <f t="shared" si="75"/>
        <v>0.20454574094771291</v>
      </c>
      <c r="H585">
        <f t="shared" si="79"/>
        <v>-0.42000941424898197</v>
      </c>
      <c r="P585" s="33">
        <f t="shared" si="76"/>
        <v>5.7536082403492061E-3</v>
      </c>
      <c r="Q585" s="33">
        <f t="shared" si="77"/>
        <v>3.2115358655929827</v>
      </c>
    </row>
    <row r="586" spans="1:17" x14ac:dyDescent="0.35">
      <c r="A586" s="13">
        <v>43217</v>
      </c>
      <c r="B586" s="14">
        <v>5483.19</v>
      </c>
      <c r="C586" s="2">
        <f t="shared" si="72"/>
        <v>5.4294610145995126E-3</v>
      </c>
      <c r="D586" s="2">
        <f t="shared" si="73"/>
        <v>1.7876980343082986E-2</v>
      </c>
      <c r="E586" s="3">
        <f t="shared" si="74"/>
        <v>-1.2447519328483474E-2</v>
      </c>
      <c r="F586">
        <f t="shared" si="78"/>
        <v>0.20529197493694973</v>
      </c>
      <c r="G586">
        <f t="shared" si="75"/>
        <v>-6.0633248485755062E-2</v>
      </c>
      <c r="H586">
        <f t="shared" si="79"/>
        <v>-0.40092812959002516</v>
      </c>
      <c r="P586" s="33">
        <f t="shared" si="76"/>
        <v>3.7421367368913883E-3</v>
      </c>
      <c r="Q586" s="33">
        <f t="shared" si="77"/>
        <v>2.2925883978193786</v>
      </c>
    </row>
    <row r="587" spans="1:17" x14ac:dyDescent="0.35">
      <c r="A587" s="13">
        <v>43220</v>
      </c>
      <c r="B587" s="14">
        <v>5520.5</v>
      </c>
      <c r="C587" s="2">
        <f t="shared" si="72"/>
        <v>6.8044331857914919E-3</v>
      </c>
      <c r="D587" s="2">
        <f t="shared" si="73"/>
        <v>2.3038589087987643E-2</v>
      </c>
      <c r="E587" s="3">
        <f t="shared" si="74"/>
        <v>-1.6234155902196151E-2</v>
      </c>
      <c r="F587">
        <f t="shared" si="78"/>
        <v>7.1861979366316345E-2</v>
      </c>
      <c r="G587">
        <f t="shared" si="75"/>
        <v>-0.22590744153375686</v>
      </c>
      <c r="H587">
        <f t="shared" si="79"/>
        <v>-0.42460702024922142</v>
      </c>
      <c r="P587" s="33">
        <f t="shared" si="76"/>
        <v>5.1171089080833676E-3</v>
      </c>
      <c r="Q587" s="33">
        <f t="shared" si="77"/>
        <v>2.3858204583586917</v>
      </c>
    </row>
    <row r="588" spans="1:17" x14ac:dyDescent="0.35">
      <c r="A588" s="13">
        <v>43222</v>
      </c>
      <c r="B588" s="14">
        <v>5529.22</v>
      </c>
      <c r="C588" s="2">
        <f t="shared" si="72"/>
        <v>1.5795670682003937E-3</v>
      </c>
      <c r="D588" s="2">
        <f t="shared" si="73"/>
        <v>2.5509764983575607E-2</v>
      </c>
      <c r="E588" s="3">
        <f t="shared" si="74"/>
        <v>-2.3930197915375213E-2</v>
      </c>
      <c r="F588">
        <f t="shared" si="78"/>
        <v>0.22589220734426876</v>
      </c>
      <c r="G588">
        <f t="shared" si="75"/>
        <v>-0.10593635874700465</v>
      </c>
      <c r="H588">
        <f t="shared" si="79"/>
        <v>-0.40470119023134454</v>
      </c>
      <c r="P588" s="33">
        <f t="shared" si="76"/>
        <v>-1.077572095077306E-4</v>
      </c>
      <c r="Q588" s="33">
        <f t="shared" si="77"/>
        <v>15.149846054108339</v>
      </c>
    </row>
    <row r="589" spans="1:17" x14ac:dyDescent="0.35">
      <c r="A589" s="13">
        <v>43223</v>
      </c>
      <c r="B589" s="14">
        <v>5501.66</v>
      </c>
      <c r="C589" s="2">
        <f t="shared" si="72"/>
        <v>-4.9844281833604231E-3</v>
      </c>
      <c r="D589" s="2">
        <f t="shared" si="73"/>
        <v>1.070783122266334E-2</v>
      </c>
      <c r="E589" s="3">
        <f t="shared" si="74"/>
        <v>-1.5692259406023763E-2</v>
      </c>
      <c r="F589">
        <f t="shared" si="78"/>
        <v>0.11281439548113795</v>
      </c>
      <c r="G589">
        <f t="shared" si="75"/>
        <v>-0.13909802325402201</v>
      </c>
      <c r="H589">
        <f t="shared" si="79"/>
        <v>-0.40876406421564576</v>
      </c>
      <c r="P589" s="33">
        <f t="shared" si="76"/>
        <v>-6.6717524610685475E-3</v>
      </c>
      <c r="Q589" s="33">
        <f t="shared" si="77"/>
        <v>3.1482566964069063</v>
      </c>
    </row>
    <row r="590" spans="1:17" x14ac:dyDescent="0.35">
      <c r="A590" s="13">
        <v>43224</v>
      </c>
      <c r="B590" s="14">
        <v>5516.05</v>
      </c>
      <c r="C590" s="2">
        <f t="shared" si="72"/>
        <v>2.6155742085116618E-3</v>
      </c>
      <c r="D590" s="2">
        <f t="shared" si="73"/>
        <v>-1.388953378979607E-2</v>
      </c>
      <c r="E590" s="3">
        <f t="shared" si="74"/>
        <v>1.6505107998307733E-2</v>
      </c>
      <c r="F590">
        <f t="shared" si="78"/>
        <v>0.14158007706701253</v>
      </c>
      <c r="G590">
        <f t="shared" si="75"/>
        <v>0.11657789951968703</v>
      </c>
      <c r="H590">
        <f t="shared" si="79"/>
        <v>-0.40588513750726862</v>
      </c>
      <c r="P590" s="33">
        <f t="shared" si="76"/>
        <v>9.2824993080353746E-4</v>
      </c>
      <c r="Q590" s="33">
        <f t="shared" si="77"/>
        <v>6.3103191431527463</v>
      </c>
    </row>
    <row r="591" spans="1:17" x14ac:dyDescent="0.35">
      <c r="A591" s="13">
        <v>43227</v>
      </c>
      <c r="B591" s="14">
        <v>5531.42</v>
      </c>
      <c r="C591" s="2">
        <f t="shared" si="72"/>
        <v>2.7864141913143126E-3</v>
      </c>
      <c r="D591" s="2">
        <f t="shared" si="73"/>
        <v>3.7011304946676501E-3</v>
      </c>
      <c r="E591" s="3">
        <f t="shared" si="74"/>
        <v>-9.1471630335333756E-4</v>
      </c>
      <c r="F591">
        <f t="shared" si="78"/>
        <v>0.12048850729894472</v>
      </c>
      <c r="G591">
        <f t="shared" si="75"/>
        <v>-7.5917307290049637E-3</v>
      </c>
      <c r="H591">
        <f t="shared" si="79"/>
        <v>-0.39911875136678837</v>
      </c>
      <c r="P591" s="33">
        <f t="shared" si="76"/>
        <v>1.0990899136061882E-3</v>
      </c>
      <c r="Q591" s="33">
        <f t="shared" si="77"/>
        <v>0.32827721959091755</v>
      </c>
    </row>
    <row r="592" spans="1:17" x14ac:dyDescent="0.35">
      <c r="A592" s="13">
        <v>43228</v>
      </c>
      <c r="B592" s="14">
        <v>5521.93</v>
      </c>
      <c r="C592" s="2">
        <f t="shared" si="72"/>
        <v>-1.7156534850002458E-3</v>
      </c>
      <c r="D592" s="2">
        <f t="shared" si="73"/>
        <v>1.0784830672907197E-2</v>
      </c>
      <c r="E592" s="3">
        <f t="shared" si="74"/>
        <v>-1.2500484157907443E-2</v>
      </c>
      <c r="F592">
        <f t="shared" si="78"/>
        <v>3.3675675786021368E-2</v>
      </c>
      <c r="G592">
        <f t="shared" si="75"/>
        <v>-0.37120217682747564</v>
      </c>
      <c r="H592">
        <f t="shared" si="79"/>
        <v>-0.46798546221978576</v>
      </c>
      <c r="P592" s="33">
        <f t="shared" si="76"/>
        <v>-3.4029777627083702E-3</v>
      </c>
      <c r="Q592" s="33">
        <f t="shared" si="77"/>
        <v>7.2861357303194891</v>
      </c>
    </row>
    <row r="593" spans="1:17" x14ac:dyDescent="0.35">
      <c r="A593" s="13">
        <v>43229</v>
      </c>
      <c r="B593" s="14">
        <v>5534.63</v>
      </c>
      <c r="C593" s="2">
        <f t="shared" si="72"/>
        <v>2.2999204988110034E-3</v>
      </c>
      <c r="D593" s="2">
        <f t="shared" si="73"/>
        <v>-2.8447247254210438E-3</v>
      </c>
      <c r="E593" s="3">
        <f t="shared" si="74"/>
        <v>5.1446452242320476E-3</v>
      </c>
      <c r="F593">
        <f t="shared" si="78"/>
        <v>0.36897922856385457</v>
      </c>
      <c r="G593">
        <f t="shared" si="75"/>
        <v>1.3942912841614684E-2</v>
      </c>
      <c r="H593">
        <f t="shared" si="79"/>
        <v>-0.39918713658831195</v>
      </c>
      <c r="P593" s="33">
        <f t="shared" si="76"/>
        <v>6.1259622110287903E-4</v>
      </c>
      <c r="Q593" s="33">
        <f t="shared" si="77"/>
        <v>2.236879590790938</v>
      </c>
    </row>
    <row r="594" spans="1:17" x14ac:dyDescent="0.35">
      <c r="A594" s="13">
        <v>43230</v>
      </c>
      <c r="B594" s="14">
        <v>5545.95</v>
      </c>
      <c r="C594" s="2">
        <f t="shared" si="72"/>
        <v>2.0453038414491864E-3</v>
      </c>
      <c r="D594" s="2">
        <f t="shared" si="73"/>
        <v>5.5570364578641689E-3</v>
      </c>
      <c r="E594" s="3">
        <f t="shared" si="74"/>
        <v>-3.5117326164149825E-3</v>
      </c>
      <c r="F594">
        <f t="shared" si="78"/>
        <v>5.8028897181033386E-2</v>
      </c>
      <c r="G594">
        <f t="shared" si="75"/>
        <v>-6.0516962875572004E-2</v>
      </c>
      <c r="H594">
        <f t="shared" si="79"/>
        <v>-0.40092108557689921</v>
      </c>
      <c r="P594" s="33">
        <f t="shared" si="76"/>
        <v>3.579795637410621E-4</v>
      </c>
      <c r="Q594" s="33">
        <f t="shared" si="77"/>
        <v>1.7169735592569795</v>
      </c>
    </row>
    <row r="595" spans="1:17" x14ac:dyDescent="0.35">
      <c r="A595" s="13">
        <v>43231</v>
      </c>
      <c r="B595" s="14">
        <v>5541.94</v>
      </c>
      <c r="C595" s="2">
        <f t="shared" si="72"/>
        <v>-7.230501537157652E-4</v>
      </c>
      <c r="D595" s="2">
        <f t="shared" si="73"/>
        <v>8.2444196481011537E-3</v>
      </c>
      <c r="E595" s="3">
        <f t="shared" si="74"/>
        <v>-8.9674698018169189E-3</v>
      </c>
      <c r="F595">
        <f t="shared" si="78"/>
        <v>6.6941072064111706E-2</v>
      </c>
      <c r="G595">
        <f t="shared" si="75"/>
        <v>-0.13396065412917907</v>
      </c>
      <c r="H595">
        <f t="shared" si="79"/>
        <v>-0.40806266260641627</v>
      </c>
      <c r="P595" s="33">
        <f t="shared" si="76"/>
        <v>-2.4103744314238895E-3</v>
      </c>
      <c r="Q595" s="33">
        <f t="shared" si="77"/>
        <v>12.402279089123986</v>
      </c>
    </row>
    <row r="596" spans="1:17" x14ac:dyDescent="0.35">
      <c r="A596" s="13">
        <v>43234</v>
      </c>
      <c r="B596" s="14">
        <v>5540.68</v>
      </c>
      <c r="C596" s="2">
        <f t="shared" si="72"/>
        <v>-2.2735720704292195E-4</v>
      </c>
      <c r="D596" s="2">
        <f t="shared" si="73"/>
        <v>-4.4698498744676247E-4</v>
      </c>
      <c r="E596" s="3">
        <f t="shared" si="74"/>
        <v>2.1962778040384053E-4</v>
      </c>
      <c r="F596">
        <f t="shared" si="78"/>
        <v>0.1361072317225373</v>
      </c>
      <c r="G596">
        <f t="shared" si="75"/>
        <v>1.6136378473376406E-3</v>
      </c>
      <c r="H596">
        <f t="shared" si="79"/>
        <v>-0.39909123609260871</v>
      </c>
      <c r="P596" s="33">
        <f t="shared" si="76"/>
        <v>-1.9146814847510463E-3</v>
      </c>
      <c r="Q596" s="33">
        <f t="shared" si="77"/>
        <v>0.96600315978713525</v>
      </c>
    </row>
    <row r="597" spans="1:17" x14ac:dyDescent="0.35">
      <c r="A597" s="13">
        <v>43235</v>
      </c>
      <c r="B597" s="14">
        <v>5553.16</v>
      </c>
      <c r="C597" s="2">
        <f t="shared" si="72"/>
        <v>2.2524311095388772E-3</v>
      </c>
      <c r="D597" s="2">
        <f t="shared" si="73"/>
        <v>-1.3199410807147852E-3</v>
      </c>
      <c r="E597" s="3">
        <f t="shared" si="74"/>
        <v>3.5723721902536625E-3</v>
      </c>
      <c r="F597">
        <f t="shared" si="78"/>
        <v>3.3899540501254009E-2</v>
      </c>
      <c r="G597">
        <f t="shared" si="75"/>
        <v>0.10538113901931838</v>
      </c>
      <c r="H597">
        <f t="shared" si="79"/>
        <v>-0.404642526409562</v>
      </c>
      <c r="P597" s="33">
        <f t="shared" si="76"/>
        <v>5.6510683183075283E-4</v>
      </c>
      <c r="Q597" s="33">
        <f t="shared" si="77"/>
        <v>1.586007303453115</v>
      </c>
    </row>
    <row r="598" spans="1:17" x14ac:dyDescent="0.35">
      <c r="A598" s="13">
        <v>43236</v>
      </c>
      <c r="B598" s="14">
        <v>5567.54</v>
      </c>
      <c r="C598" s="2">
        <f t="shared" si="72"/>
        <v>2.5895165995577507E-3</v>
      </c>
      <c r="D598" s="2">
        <f t="shared" si="73"/>
        <v>6.6965225184203534E-3</v>
      </c>
      <c r="E598" s="3">
        <f t="shared" si="74"/>
        <v>-4.1070059188626027E-3</v>
      </c>
      <c r="F598">
        <f t="shared" si="78"/>
        <v>0.10840252736865585</v>
      </c>
      <c r="G598">
        <f t="shared" si="75"/>
        <v>-3.7886625142008697E-2</v>
      </c>
      <c r="H598">
        <f t="shared" si="79"/>
        <v>-0.39980763236138306</v>
      </c>
      <c r="P598" s="33">
        <f t="shared" si="76"/>
        <v>9.0219232184962639E-4</v>
      </c>
      <c r="Q598" s="33">
        <f t="shared" si="77"/>
        <v>1.5860125861189751</v>
      </c>
    </row>
    <row r="599" spans="1:17" x14ac:dyDescent="0.35">
      <c r="A599" s="13">
        <v>43237</v>
      </c>
      <c r="B599" s="14">
        <v>5621.92</v>
      </c>
      <c r="C599" s="2">
        <f t="shared" si="72"/>
        <v>9.7673299159053428E-3</v>
      </c>
      <c r="D599" s="2">
        <f t="shared" si="73"/>
        <v>9.8688000960373973E-3</v>
      </c>
      <c r="E599" s="3">
        <f t="shared" si="74"/>
        <v>-1.0147018013205444E-4</v>
      </c>
      <c r="F599">
        <f t="shared" si="78"/>
        <v>4.9387814418199748E-2</v>
      </c>
      <c r="G599">
        <f t="shared" si="75"/>
        <v>-2.0545590309552549E-3</v>
      </c>
      <c r="H599">
        <f t="shared" si="79"/>
        <v>-0.39909204478546334</v>
      </c>
      <c r="P599" s="33">
        <f t="shared" si="76"/>
        <v>8.0800056381972185E-3</v>
      </c>
      <c r="Q599" s="33">
        <f t="shared" si="77"/>
        <v>1.0388732745355319E-2</v>
      </c>
    </row>
    <row r="600" spans="1:17" x14ac:dyDescent="0.35">
      <c r="A600" s="13">
        <v>43238</v>
      </c>
      <c r="B600" s="14">
        <v>5614.51</v>
      </c>
      <c r="C600" s="2">
        <f t="shared" si="72"/>
        <v>-1.3180550416939107E-3</v>
      </c>
      <c r="D600" s="2">
        <f t="shared" si="73"/>
        <v>3.2125039477237952E-2</v>
      </c>
      <c r="E600" s="3">
        <f t="shared" si="74"/>
        <v>-3.3443094518931862E-2</v>
      </c>
      <c r="F600">
        <f t="shared" si="78"/>
        <v>2.9549308388504038E-2</v>
      </c>
      <c r="G600">
        <f t="shared" si="75"/>
        <v>-1.1317724963046065</v>
      </c>
      <c r="H600">
        <f t="shared" si="79"/>
        <v>-1.0395444258748379</v>
      </c>
      <c r="P600" s="33">
        <f t="shared" si="76"/>
        <v>-3.0053793194020351E-3</v>
      </c>
      <c r="Q600" s="33">
        <f t="shared" si="77"/>
        <v>25.37306368932223</v>
      </c>
    </row>
    <row r="601" spans="1:17" x14ac:dyDescent="0.35">
      <c r="A601" s="13">
        <v>43241</v>
      </c>
      <c r="B601" s="14">
        <v>5637.51</v>
      </c>
      <c r="C601" s="2">
        <f t="shared" si="72"/>
        <v>4.0965284592957563E-3</v>
      </c>
      <c r="D601" s="2">
        <f t="shared" si="73"/>
        <v>4.3984492020054744E-3</v>
      </c>
      <c r="E601" s="3">
        <f t="shared" si="74"/>
        <v>-3.0192074270971817E-4</v>
      </c>
      <c r="F601">
        <f t="shared" si="78"/>
        <v>1.1218673760299518</v>
      </c>
      <c r="G601">
        <f t="shared" si="75"/>
        <v>-2.6912338228262859E-4</v>
      </c>
      <c r="H601">
        <f t="shared" si="79"/>
        <v>-0.39908997039275496</v>
      </c>
      <c r="P601" s="33">
        <f t="shared" si="76"/>
        <v>2.4092041815876319E-3</v>
      </c>
      <c r="Q601" s="33">
        <f t="shared" si="77"/>
        <v>7.3701609963091053E-2</v>
      </c>
    </row>
    <row r="602" spans="1:17" x14ac:dyDescent="0.35">
      <c r="A602" s="13">
        <v>43242</v>
      </c>
      <c r="B602" s="14">
        <v>5640.1</v>
      </c>
      <c r="C602" s="2">
        <f t="shared" si="72"/>
        <v>4.5942268838539135E-4</v>
      </c>
      <c r="D602" s="2">
        <f t="shared" si="73"/>
        <v>1.1398177687838353E-2</v>
      </c>
      <c r="E602" s="3">
        <f t="shared" si="74"/>
        <v>-1.0938754999452962E-2</v>
      </c>
      <c r="F602">
        <f t="shared" si="78"/>
        <v>0.15015696318810515</v>
      </c>
      <c r="G602">
        <f t="shared" si="75"/>
        <v>-7.2848802794111697E-2</v>
      </c>
      <c r="H602">
        <f t="shared" si="79"/>
        <v>-0.40174340821332521</v>
      </c>
      <c r="P602" s="33">
        <f t="shared" si="76"/>
        <v>-1.227901589322733E-3</v>
      </c>
      <c r="Q602" s="33">
        <f t="shared" si="77"/>
        <v>23.809784052886993</v>
      </c>
    </row>
    <row r="603" spans="1:17" x14ac:dyDescent="0.35">
      <c r="A603" s="13">
        <v>43243</v>
      </c>
      <c r="B603" s="14">
        <v>5565.85</v>
      </c>
      <c r="C603" s="2">
        <f t="shared" si="72"/>
        <v>-1.3164660201060219E-2</v>
      </c>
      <c r="D603" s="2">
        <f t="shared" si="73"/>
        <v>4.9423423554130243E-3</v>
      </c>
      <c r="E603" s="3">
        <f t="shared" si="74"/>
        <v>-1.8107002556473243E-2</v>
      </c>
      <c r="F603">
        <f t="shared" si="78"/>
        <v>8.0168607083974983E-2</v>
      </c>
      <c r="G603">
        <f t="shared" si="75"/>
        <v>-0.22586150882609857</v>
      </c>
      <c r="H603">
        <f t="shared" si="79"/>
        <v>-0.42459664476365844</v>
      </c>
      <c r="P603" s="33">
        <f t="shared" si="76"/>
        <v>-1.4851984478768343E-2</v>
      </c>
      <c r="Q603" s="33">
        <f t="shared" si="77"/>
        <v>1.375424984764513</v>
      </c>
    </row>
    <row r="604" spans="1:17" x14ac:dyDescent="0.35">
      <c r="A604" s="13">
        <v>43244</v>
      </c>
      <c r="B604" s="14">
        <v>5548.45</v>
      </c>
      <c r="C604" s="2">
        <f t="shared" si="72"/>
        <v>-3.1262071381730205E-3</v>
      </c>
      <c r="D604" s="2">
        <f t="shared" si="73"/>
        <v>-3.9889328857971335E-2</v>
      </c>
      <c r="E604" s="3">
        <f t="shared" si="74"/>
        <v>3.6763121719798314E-2</v>
      </c>
      <c r="F604">
        <f t="shared" si="78"/>
        <v>0.22589534642183082</v>
      </c>
      <c r="G604">
        <f t="shared" si="75"/>
        <v>0.16274404188543071</v>
      </c>
      <c r="H604">
        <f t="shared" si="79"/>
        <v>-0.41233274576366091</v>
      </c>
      <c r="P604" s="33">
        <f t="shared" si="76"/>
        <v>-4.8135314158811449E-3</v>
      </c>
      <c r="Q604" s="33">
        <f t="shared" si="77"/>
        <v>11.759656380697463</v>
      </c>
    </row>
    <row r="605" spans="1:17" x14ac:dyDescent="0.35">
      <c r="A605" s="13">
        <v>43245</v>
      </c>
      <c r="B605" s="14">
        <v>5542.55</v>
      </c>
      <c r="C605" s="2">
        <f t="shared" si="72"/>
        <v>-1.0633600374878593E-3</v>
      </c>
      <c r="D605" s="2">
        <f t="shared" si="73"/>
        <v>-2.0931427921275385E-2</v>
      </c>
      <c r="E605" s="3">
        <f t="shared" si="74"/>
        <v>1.9868067883787525E-2</v>
      </c>
      <c r="F605">
        <f t="shared" si="78"/>
        <v>0.16647581814835447</v>
      </c>
      <c r="G605">
        <f t="shared" si="75"/>
        <v>0.11934506827941913</v>
      </c>
      <c r="H605">
        <f t="shared" si="79"/>
        <v>-0.40621155684036714</v>
      </c>
      <c r="P605" s="33">
        <f t="shared" si="76"/>
        <v>-2.7506843151959837E-3</v>
      </c>
      <c r="Q605" s="33">
        <f t="shared" si="77"/>
        <v>18.684234110137286</v>
      </c>
    </row>
    <row r="606" spans="1:17" x14ac:dyDescent="0.35">
      <c r="A606" s="13">
        <v>43248</v>
      </c>
      <c r="B606" s="14">
        <v>5508.93</v>
      </c>
      <c r="C606" s="2">
        <f t="shared" si="72"/>
        <v>-6.0658000378887023E-3</v>
      </c>
      <c r="D606" s="2">
        <f t="shared" si="73"/>
        <v>-5.9528304282707948E-3</v>
      </c>
      <c r="E606" s="3">
        <f t="shared" si="74"/>
        <v>-1.1296960961790746E-4</v>
      </c>
      <c r="F606">
        <f t="shared" si="78"/>
        <v>0.12365624045452836</v>
      </c>
      <c r="G606">
        <f t="shared" si="75"/>
        <v>-9.1357790923175721E-4</v>
      </c>
      <c r="H606">
        <f t="shared" si="79"/>
        <v>-0.39909035149135563</v>
      </c>
      <c r="P606" s="33">
        <f t="shared" si="76"/>
        <v>-7.7531243155968266E-3</v>
      </c>
      <c r="Q606" s="33">
        <f t="shared" si="77"/>
        <v>1.8624024681372173E-2</v>
      </c>
    </row>
    <row r="607" spans="1:17" x14ac:dyDescent="0.35">
      <c r="A607" s="13">
        <v>43249</v>
      </c>
      <c r="B607" s="14">
        <v>5438.06</v>
      </c>
      <c r="C607" s="2">
        <f t="shared" si="72"/>
        <v>-1.286456716640072E-2</v>
      </c>
      <c r="D607" s="2">
        <f t="shared" si="73"/>
        <v>-1.9480278963265252E-2</v>
      </c>
      <c r="E607" s="3">
        <f t="shared" si="74"/>
        <v>6.6157117968645325E-3</v>
      </c>
      <c r="F607">
        <f t="shared" si="78"/>
        <v>3.3039753644289634E-2</v>
      </c>
      <c r="G607">
        <f t="shared" si="75"/>
        <v>0.20023490090423077</v>
      </c>
      <c r="H607">
        <f t="shared" si="79"/>
        <v>-0.4191369419491211</v>
      </c>
      <c r="P607" s="33">
        <f t="shared" si="76"/>
        <v>-1.4551891444108844E-2</v>
      </c>
      <c r="Q607" s="33">
        <f t="shared" si="77"/>
        <v>0.51425840537746537</v>
      </c>
    </row>
    <row r="608" spans="1:17" x14ac:dyDescent="0.35">
      <c r="A608" s="13">
        <v>43250</v>
      </c>
      <c r="B608" s="14">
        <v>5427.35</v>
      </c>
      <c r="C608" s="2">
        <f t="shared" si="72"/>
        <v>-1.9694523414600651E-3</v>
      </c>
      <c r="D608" s="2">
        <f t="shared" si="73"/>
        <v>-4.4604067744200712E-2</v>
      </c>
      <c r="E608" s="3">
        <f t="shared" si="74"/>
        <v>4.2634615402740647E-2</v>
      </c>
      <c r="F608">
        <f t="shared" si="78"/>
        <v>0.20053602673155344</v>
      </c>
      <c r="G608">
        <f t="shared" si="75"/>
        <v>0.21260327182912259</v>
      </c>
      <c r="H608">
        <f t="shared" si="79"/>
        <v>-0.42169000977528143</v>
      </c>
      <c r="P608" s="33">
        <f t="shared" si="76"/>
        <v>-3.6567766191681894E-3</v>
      </c>
      <c r="Q608" s="33">
        <f t="shared" si="77"/>
        <v>21.647954868069174</v>
      </c>
    </row>
    <row r="609" spans="1:17" x14ac:dyDescent="0.35">
      <c r="A609" s="13">
        <v>43251</v>
      </c>
      <c r="B609" s="14">
        <v>5398.4</v>
      </c>
      <c r="C609" s="2">
        <f t="shared" si="72"/>
        <v>-5.3340949081965849E-3</v>
      </c>
      <c r="D609" s="2">
        <f t="shared" si="73"/>
        <v>-1.7132512463222397E-2</v>
      </c>
      <c r="E609" s="3">
        <f t="shared" si="74"/>
        <v>1.1798417555025812E-2</v>
      </c>
      <c r="F609">
        <f t="shared" si="78"/>
        <v>0.21425139515753339</v>
      </c>
      <c r="G609">
        <f t="shared" si="75"/>
        <v>5.5068101406531088E-2</v>
      </c>
      <c r="H609">
        <f t="shared" si="79"/>
        <v>-0.40060618207531751</v>
      </c>
      <c r="P609" s="33">
        <f t="shared" si="76"/>
        <v>-7.0214191859047093E-3</v>
      </c>
      <c r="Q609" s="33">
        <f t="shared" si="77"/>
        <v>2.2118874444652059</v>
      </c>
    </row>
    <row r="610" spans="1:17" x14ac:dyDescent="0.35">
      <c r="A610" s="13">
        <v>43252</v>
      </c>
      <c r="B610" s="14">
        <v>5465.53</v>
      </c>
      <c r="C610" s="2">
        <f t="shared" si="72"/>
        <v>1.2435165975103857E-2</v>
      </c>
      <c r="D610" s="2">
        <f t="shared" si="73"/>
        <v>-1.8023353923605039E-2</v>
      </c>
      <c r="E610" s="3">
        <f t="shared" si="74"/>
        <v>3.0458519898708895E-2</v>
      </c>
      <c r="F610">
        <f t="shared" si="78"/>
        <v>6.7799427460368197E-2</v>
      </c>
      <c r="G610">
        <f t="shared" si="75"/>
        <v>0.44924450013258982</v>
      </c>
      <c r="H610">
        <f t="shared" si="79"/>
        <v>-0.50000024462874781</v>
      </c>
      <c r="P610" s="33">
        <f t="shared" si="76"/>
        <v>1.0747841697395732E-2</v>
      </c>
      <c r="Q610" s="33">
        <f t="shared" si="77"/>
        <v>2.4493858754832187</v>
      </c>
    </row>
    <row r="611" spans="1:17" x14ac:dyDescent="0.35">
      <c r="A611" s="13">
        <v>43255</v>
      </c>
      <c r="B611" s="14">
        <v>5472.91</v>
      </c>
      <c r="C611" s="2">
        <f t="shared" si="72"/>
        <v>1.3502807595970889E-3</v>
      </c>
      <c r="D611" s="2">
        <f t="shared" si="73"/>
        <v>3.3448771818244336E-2</v>
      </c>
      <c r="E611" s="3">
        <f t="shared" si="74"/>
        <v>-3.2098491058647247E-2</v>
      </c>
      <c r="F611">
        <f t="shared" si="78"/>
        <v>0.44618051596955421</v>
      </c>
      <c r="G611">
        <f t="shared" si="75"/>
        <v>-7.1940593346836182E-2</v>
      </c>
      <c r="H611">
        <f t="shared" si="79"/>
        <v>-0.40167765866460498</v>
      </c>
      <c r="P611" s="33">
        <f t="shared" si="76"/>
        <v>-3.3704351811103539E-4</v>
      </c>
      <c r="Q611" s="33">
        <f t="shared" si="77"/>
        <v>23.771716237906798</v>
      </c>
    </row>
    <row r="612" spans="1:17" x14ac:dyDescent="0.35">
      <c r="A612" s="13">
        <v>43256</v>
      </c>
      <c r="B612" s="14">
        <v>5460.95</v>
      </c>
      <c r="C612" s="2">
        <f t="shared" si="72"/>
        <v>-2.1853090951614584E-3</v>
      </c>
      <c r="D612" s="2">
        <f t="shared" si="73"/>
        <v>1.4867057791833716E-2</v>
      </c>
      <c r="E612" s="3">
        <f t="shared" si="74"/>
        <v>-1.7052366886995175E-2</v>
      </c>
      <c r="F612">
        <f t="shared" si="78"/>
        <v>9.6666224957300914E-2</v>
      </c>
      <c r="G612">
        <f t="shared" si="75"/>
        <v>-0.1764046014471703</v>
      </c>
      <c r="H612">
        <f t="shared" si="79"/>
        <v>-0.41464922588492503</v>
      </c>
      <c r="P612" s="33">
        <f t="shared" si="76"/>
        <v>-3.8726333728695828E-3</v>
      </c>
      <c r="Q612" s="33">
        <f t="shared" si="77"/>
        <v>7.8031830484535121</v>
      </c>
    </row>
    <row r="613" spans="1:17" x14ac:dyDescent="0.35">
      <c r="A613" s="13">
        <v>43257</v>
      </c>
      <c r="B613" s="14">
        <v>5457.56</v>
      </c>
      <c r="C613" s="2">
        <f t="shared" si="72"/>
        <v>-6.2077111125347084E-4</v>
      </c>
      <c r="D613" s="2">
        <f t="shared" si="73"/>
        <v>-5.5217251357955787E-3</v>
      </c>
      <c r="E613" s="3">
        <f t="shared" si="74"/>
        <v>4.9009540245421078E-3</v>
      </c>
      <c r="F613">
        <f t="shared" si="78"/>
        <v>0.17760631699364224</v>
      </c>
      <c r="G613">
        <f t="shared" si="75"/>
        <v>2.7594480351267839E-2</v>
      </c>
      <c r="H613">
        <f t="shared" si="79"/>
        <v>-0.39947066185198576</v>
      </c>
      <c r="P613" s="33">
        <f t="shared" si="76"/>
        <v>-2.3080953889615952E-3</v>
      </c>
      <c r="Q613" s="33">
        <f t="shared" si="77"/>
        <v>7.894945392426564</v>
      </c>
    </row>
    <row r="614" spans="1:17" x14ac:dyDescent="0.35">
      <c r="A614" s="13">
        <v>43258</v>
      </c>
      <c r="B614" s="14">
        <v>5448.36</v>
      </c>
      <c r="C614" s="2">
        <f t="shared" si="72"/>
        <v>-1.6857350171139984E-3</v>
      </c>
      <c r="D614" s="2">
        <f t="shared" si="73"/>
        <v>-3.7861833763031859E-3</v>
      </c>
      <c r="E614" s="3">
        <f t="shared" si="74"/>
        <v>2.1004483591891875E-3</v>
      </c>
      <c r="F614">
        <f t="shared" si="78"/>
        <v>4.603237969611744E-2</v>
      </c>
      <c r="G614">
        <f t="shared" si="75"/>
        <v>4.5629801740759188E-2</v>
      </c>
      <c r="H614">
        <f t="shared" si="79"/>
        <v>-0.40013097358250804</v>
      </c>
      <c r="P614" s="33">
        <f t="shared" si="76"/>
        <v>-3.3730592948221227E-3</v>
      </c>
      <c r="Q614" s="33">
        <f t="shared" si="77"/>
        <v>1.2460133638234461</v>
      </c>
    </row>
    <row r="615" spans="1:17" x14ac:dyDescent="0.35">
      <c r="A615" s="13">
        <v>43259</v>
      </c>
      <c r="B615" s="14">
        <v>5450.22</v>
      </c>
      <c r="C615" s="2">
        <f t="shared" si="72"/>
        <v>3.4138713300890799E-4</v>
      </c>
      <c r="D615" s="2">
        <f t="shared" si="73"/>
        <v>-5.6945122294917785E-3</v>
      </c>
      <c r="E615" s="3">
        <f t="shared" si="74"/>
        <v>6.0358993625006865E-3</v>
      </c>
      <c r="F615">
        <f t="shared" si="78"/>
        <v>5.3925103619970528E-2</v>
      </c>
      <c r="G615">
        <f t="shared" si="75"/>
        <v>0.11193115928043135</v>
      </c>
      <c r="H615">
        <f t="shared" si="79"/>
        <v>-0.40535422638798818</v>
      </c>
      <c r="P615" s="33">
        <f t="shared" si="76"/>
        <v>-1.3459371446992163E-3</v>
      </c>
      <c r="Q615" s="33">
        <f t="shared" si="77"/>
        <v>17.680512177777914</v>
      </c>
    </row>
    <row r="616" spans="1:17" x14ac:dyDescent="0.35">
      <c r="A616" s="13">
        <v>43262</v>
      </c>
      <c r="B616" s="14">
        <v>5473.91</v>
      </c>
      <c r="C616" s="2">
        <f t="shared" si="72"/>
        <v>4.346613531196919E-3</v>
      </c>
      <c r="D616" s="2">
        <f t="shared" si="73"/>
        <v>-4.1055679519856982E-4</v>
      </c>
      <c r="E616" s="3">
        <f t="shared" si="74"/>
        <v>4.7571703263954886E-3</v>
      </c>
      <c r="F616">
        <f t="shared" si="78"/>
        <v>0.11480033957907215</v>
      </c>
      <c r="G616">
        <f t="shared" si="75"/>
        <v>4.1438643333618762E-2</v>
      </c>
      <c r="H616">
        <f t="shared" si="79"/>
        <v>-0.39994851475972298</v>
      </c>
      <c r="P616" s="33">
        <f t="shared" si="76"/>
        <v>2.6592892534887946E-3</v>
      </c>
      <c r="Q616" s="33">
        <f t="shared" si="77"/>
        <v>1.0944544050792377</v>
      </c>
    </row>
    <row r="617" spans="1:17" x14ac:dyDescent="0.35">
      <c r="A617" s="13">
        <v>43263</v>
      </c>
      <c r="B617" s="14">
        <v>5453.37</v>
      </c>
      <c r="C617" s="2">
        <f t="shared" si="72"/>
        <v>-3.7523452157598447E-3</v>
      </c>
      <c r="D617" s="2">
        <f t="shared" si="73"/>
        <v>1.3596034774980755E-2</v>
      </c>
      <c r="E617" s="3">
        <f t="shared" si="74"/>
        <v>-1.7348379990740598E-2</v>
      </c>
      <c r="F617">
        <f t="shared" si="78"/>
        <v>5.2349492813759696E-2</v>
      </c>
      <c r="G617">
        <f t="shared" si="75"/>
        <v>-0.33139537860394891</v>
      </c>
      <c r="H617">
        <f t="shared" si="79"/>
        <v>-0.45400138265908485</v>
      </c>
      <c r="P617" s="33">
        <f t="shared" si="76"/>
        <v>-5.439669493467969E-3</v>
      </c>
      <c r="Q617" s="33">
        <f t="shared" si="77"/>
        <v>4.623343267532376</v>
      </c>
    </row>
    <row r="618" spans="1:17" x14ac:dyDescent="0.35">
      <c r="A618" s="13">
        <v>43264</v>
      </c>
      <c r="B618" s="14">
        <v>5452.73</v>
      </c>
      <c r="C618" s="2">
        <f t="shared" si="72"/>
        <v>-1.1735862411688114E-4</v>
      </c>
      <c r="D618" s="2">
        <f t="shared" si="73"/>
        <v>-7.730439513048127E-3</v>
      </c>
      <c r="E618" s="3">
        <f t="shared" si="74"/>
        <v>7.6130808889312458E-3</v>
      </c>
      <c r="F618">
        <f t="shared" si="78"/>
        <v>0.32971354884029896</v>
      </c>
      <c r="G618">
        <f t="shared" si="75"/>
        <v>2.3089984975469539E-2</v>
      </c>
      <c r="H618">
        <f t="shared" si="79"/>
        <v>-0.39935650788214122</v>
      </c>
      <c r="P618" s="33">
        <f t="shared" si="76"/>
        <v>-1.8046829018250055E-3</v>
      </c>
      <c r="Q618" s="33">
        <f t="shared" si="77"/>
        <v>64.87022957383293</v>
      </c>
    </row>
    <row r="619" spans="1:17" x14ac:dyDescent="0.35">
      <c r="A619" s="13">
        <v>43265</v>
      </c>
      <c r="B619" s="14">
        <v>5528.46</v>
      </c>
      <c r="C619" s="2">
        <f t="shared" si="72"/>
        <v>1.3888455874397021E-2</v>
      </c>
      <c r="D619" s="2">
        <f t="shared" si="73"/>
        <v>-3.598447061175662E-3</v>
      </c>
      <c r="E619" s="3">
        <f t="shared" si="74"/>
        <v>1.7486902935572684E-2</v>
      </c>
      <c r="F619">
        <f t="shared" si="78"/>
        <v>5.6802417975000012E-2</v>
      </c>
      <c r="G619">
        <f t="shared" si="75"/>
        <v>0.30785490405125099</v>
      </c>
      <c r="H619">
        <f t="shared" si="79"/>
        <v>-0.44647725515325998</v>
      </c>
      <c r="P619" s="33">
        <f t="shared" si="76"/>
        <v>1.2201131596688897E-2</v>
      </c>
      <c r="Q619" s="33">
        <f t="shared" si="77"/>
        <v>1.2590962662601894</v>
      </c>
    </row>
    <row r="620" spans="1:17" x14ac:dyDescent="0.35">
      <c r="A620" s="13">
        <v>43266</v>
      </c>
      <c r="B620" s="14">
        <v>5501.88</v>
      </c>
      <c r="C620" s="2">
        <f t="shared" si="72"/>
        <v>-4.8078488403642261E-3</v>
      </c>
      <c r="D620" s="2">
        <f t="shared" si="73"/>
        <v>4.2399553676694575E-2</v>
      </c>
      <c r="E620" s="3">
        <f t="shared" si="74"/>
        <v>-4.7207402517058801E-2</v>
      </c>
      <c r="F620">
        <f t="shared" si="78"/>
        <v>0.30650170800314586</v>
      </c>
      <c r="G620">
        <f t="shared" si="75"/>
        <v>-0.15402003083315371</v>
      </c>
      <c r="H620">
        <f t="shared" si="79"/>
        <v>-0.41095101912798032</v>
      </c>
      <c r="P620" s="33">
        <f t="shared" si="76"/>
        <v>-6.4951731180723504E-3</v>
      </c>
      <c r="Q620" s="33">
        <f t="shared" si="77"/>
        <v>9.8188200345921288</v>
      </c>
    </row>
    <row r="621" spans="1:17" x14ac:dyDescent="0.35">
      <c r="A621" s="13">
        <v>43269</v>
      </c>
      <c r="B621" s="14">
        <v>5450.48</v>
      </c>
      <c r="C621" s="2">
        <f t="shared" si="72"/>
        <v>-9.3422611907203468E-3</v>
      </c>
      <c r="D621" s="2">
        <f t="shared" si="73"/>
        <v>-2.7231996484232586E-3</v>
      </c>
      <c r="E621" s="3">
        <f t="shared" si="74"/>
        <v>-6.6190615422970882E-3</v>
      </c>
      <c r="F621">
        <f t="shared" si="78"/>
        <v>0.16044102058944948</v>
      </c>
      <c r="G621">
        <f t="shared" si="75"/>
        <v>-4.1255419081598355E-2</v>
      </c>
      <c r="H621">
        <f t="shared" si="79"/>
        <v>-0.3999409389808567</v>
      </c>
      <c r="P621" s="33">
        <f t="shared" si="76"/>
        <v>-1.1029585468428471E-2</v>
      </c>
      <c r="Q621" s="33">
        <f t="shared" si="77"/>
        <v>0.70850743809986727</v>
      </c>
    </row>
    <row r="622" spans="1:17" x14ac:dyDescent="0.35">
      <c r="A622" s="13">
        <v>43270</v>
      </c>
      <c r="B622" s="14">
        <v>5390.63</v>
      </c>
      <c r="C622" s="2">
        <f t="shared" si="72"/>
        <v>-1.09806842700092E-2</v>
      </c>
      <c r="D622" s="2">
        <f t="shared" si="73"/>
        <v>-3.2739296020830866E-2</v>
      </c>
      <c r="E622" s="3">
        <f t="shared" si="74"/>
        <v>2.1758611750821666E-2</v>
      </c>
      <c r="F622">
        <f t="shared" si="78"/>
        <v>5.4243752760044318E-2</v>
      </c>
      <c r="G622">
        <f t="shared" si="75"/>
        <v>0.40112659327009087</v>
      </c>
      <c r="H622">
        <f t="shared" si="79"/>
        <v>-0.47954120609329198</v>
      </c>
      <c r="P622" s="33">
        <f t="shared" si="76"/>
        <v>-1.2668008547717324E-2</v>
      </c>
      <c r="Q622" s="33">
        <f t="shared" si="77"/>
        <v>1.9815351407789303</v>
      </c>
    </row>
    <row r="623" spans="1:17" x14ac:dyDescent="0.35">
      <c r="A623" s="13">
        <v>43271</v>
      </c>
      <c r="B623" s="14">
        <v>5372.31</v>
      </c>
      <c r="C623" s="2">
        <f t="shared" si="72"/>
        <v>-3.3984896014008781E-3</v>
      </c>
      <c r="D623" s="2">
        <f t="shared" si="73"/>
        <v>-4.1667580460426873E-2</v>
      </c>
      <c r="E623" s="3">
        <f t="shared" si="74"/>
        <v>3.8269090859025995E-2</v>
      </c>
      <c r="F623">
        <f t="shared" si="78"/>
        <v>0.39858550796954456</v>
      </c>
      <c r="G623">
        <f t="shared" si="75"/>
        <v>9.6012248548560095E-2</v>
      </c>
      <c r="H623">
        <f t="shared" si="79"/>
        <v>-0.40369911011473275</v>
      </c>
      <c r="P623" s="33">
        <f t="shared" si="76"/>
        <v>-5.0858138791090024E-3</v>
      </c>
      <c r="Q623" s="33">
        <f t="shared" si="77"/>
        <v>11.26061731754343</v>
      </c>
    </row>
    <row r="624" spans="1:17" x14ac:dyDescent="0.35">
      <c r="A624" s="13">
        <v>43272</v>
      </c>
      <c r="B624" s="14">
        <v>5316.01</v>
      </c>
      <c r="C624" s="2">
        <f t="shared" si="72"/>
        <v>-1.0479663310568488E-2</v>
      </c>
      <c r="D624" s="2">
        <f t="shared" si="73"/>
        <v>-1.9879280298185482E-2</v>
      </c>
      <c r="E624" s="3">
        <f t="shared" si="74"/>
        <v>9.3996169876169947E-3</v>
      </c>
      <c r="F624">
        <f t="shared" si="78"/>
        <v>0.11234001923716308</v>
      </c>
      <c r="G624">
        <f t="shared" si="75"/>
        <v>8.3671135641994951E-2</v>
      </c>
      <c r="H624">
        <f t="shared" si="79"/>
        <v>-0.40259036364886808</v>
      </c>
      <c r="P624" s="33">
        <f t="shared" si="76"/>
        <v>-1.2166987588276612E-2</v>
      </c>
      <c r="Q624" s="33">
        <f t="shared" si="77"/>
        <v>0.89693883372547933</v>
      </c>
    </row>
    <row r="625" spans="1:17" x14ac:dyDescent="0.35">
      <c r="A625" s="13">
        <v>43273</v>
      </c>
      <c r="B625" s="14">
        <v>5387.38</v>
      </c>
      <c r="C625" s="2">
        <f t="shared" si="72"/>
        <v>1.3425482645818887E-2</v>
      </c>
      <c r="D625" s="2">
        <f t="shared" si="73"/>
        <v>-3.5003259391461268E-2</v>
      </c>
      <c r="E625" s="3">
        <f t="shared" si="74"/>
        <v>4.8428742037280155E-2</v>
      </c>
      <c r="F625">
        <f t="shared" si="78"/>
        <v>8.8988595356563754E-2</v>
      </c>
      <c r="G625">
        <f t="shared" si="75"/>
        <v>0.54421290552158463</v>
      </c>
      <c r="H625">
        <f t="shared" si="79"/>
        <v>-0.5471737774471801</v>
      </c>
      <c r="P625" s="33">
        <f t="shared" si="76"/>
        <v>1.1738158368110763E-2</v>
      </c>
      <c r="Q625" s="33">
        <f t="shared" si="77"/>
        <v>3.6072254022362742</v>
      </c>
    </row>
    <row r="626" spans="1:17" x14ac:dyDescent="0.35">
      <c r="A626" s="13">
        <v>43276</v>
      </c>
      <c r="B626" s="14">
        <v>5283.86</v>
      </c>
      <c r="C626" s="2">
        <f t="shared" si="72"/>
        <v>-1.9215277184828294E-2</v>
      </c>
      <c r="D626" s="2">
        <f t="shared" si="73"/>
        <v>3.2037249225718413E-2</v>
      </c>
      <c r="E626" s="3">
        <f t="shared" si="74"/>
        <v>-5.1252526410546707E-2</v>
      </c>
      <c r="F626">
        <f t="shared" si="78"/>
        <v>0.54016222985364548</v>
      </c>
      <c r="G626">
        <f t="shared" si="75"/>
        <v>-9.4883580483650892E-2</v>
      </c>
      <c r="H626">
        <f t="shared" si="79"/>
        <v>-0.40359138110175624</v>
      </c>
      <c r="P626" s="33">
        <f t="shared" si="76"/>
        <v>-2.0902601462536419E-2</v>
      </c>
      <c r="Q626" s="33">
        <f t="shared" si="77"/>
        <v>2.66728009789075</v>
      </c>
    </row>
    <row r="627" spans="1:17" x14ac:dyDescent="0.35">
      <c r="A627" s="13">
        <v>43277</v>
      </c>
      <c r="B627" s="14">
        <v>5281.29</v>
      </c>
      <c r="C627" s="2">
        <f t="shared" si="72"/>
        <v>-4.8638684598001358E-4</v>
      </c>
      <c r="D627" s="2">
        <f t="shared" si="73"/>
        <v>-4.7211877784071175E-2</v>
      </c>
      <c r="E627" s="3">
        <f t="shared" si="74"/>
        <v>4.6725490938091162E-2</v>
      </c>
      <c r="F627">
        <f t="shared" si="78"/>
        <v>0.12125316583404669</v>
      </c>
      <c r="G627">
        <f t="shared" si="75"/>
        <v>0.38535481211304673</v>
      </c>
      <c r="H627">
        <f t="shared" si="79"/>
        <v>-0.47333909978839828</v>
      </c>
      <c r="P627" s="33">
        <f t="shared" si="76"/>
        <v>-2.1737111236881379E-3</v>
      </c>
      <c r="Q627" s="33">
        <f t="shared" si="77"/>
        <v>96.066518501224408</v>
      </c>
    </row>
    <row r="628" spans="1:17" x14ac:dyDescent="0.35">
      <c r="A628" s="13">
        <v>43278</v>
      </c>
      <c r="B628" s="14">
        <v>5327.2</v>
      </c>
      <c r="C628" s="2">
        <f t="shared" si="72"/>
        <v>8.6929519113700948E-3</v>
      </c>
      <c r="D628" s="2">
        <f t="shared" si="73"/>
        <v>-1.8076516237216369E-2</v>
      </c>
      <c r="E628" s="3">
        <f t="shared" si="74"/>
        <v>2.6769468148586464E-2</v>
      </c>
      <c r="F628">
        <f t="shared" si="78"/>
        <v>0.38326683404706802</v>
      </c>
      <c r="G628">
        <f t="shared" si="75"/>
        <v>6.9845511718081441E-2</v>
      </c>
      <c r="H628">
        <f t="shared" si="79"/>
        <v>-0.40152913193263784</v>
      </c>
      <c r="P628" s="33">
        <f t="shared" si="76"/>
        <v>7.0056276336619705E-3</v>
      </c>
      <c r="Q628" s="33">
        <f t="shared" si="77"/>
        <v>3.0794450977662584</v>
      </c>
    </row>
    <row r="629" spans="1:17" x14ac:dyDescent="0.35">
      <c r="A629" s="13">
        <v>43279</v>
      </c>
      <c r="B629" s="14">
        <v>5275.64</v>
      </c>
      <c r="C629" s="2">
        <f t="shared" si="72"/>
        <v>-9.6786304249886213E-3</v>
      </c>
      <c r="D629" s="2">
        <f t="shared" si="73"/>
        <v>2.6181918322928936E-2</v>
      </c>
      <c r="E629" s="3">
        <f t="shared" si="74"/>
        <v>-3.5860548747917553E-2</v>
      </c>
      <c r="F629">
        <f t="shared" si="78"/>
        <v>9.0289073045023427E-2</v>
      </c>
      <c r="G629">
        <f t="shared" si="75"/>
        <v>-0.39717484672852249</v>
      </c>
      <c r="H629">
        <f t="shared" si="79"/>
        <v>-0.47796386361597021</v>
      </c>
      <c r="P629" s="33">
        <f t="shared" si="76"/>
        <v>-1.1365954702696746E-2</v>
      </c>
      <c r="Q629" s="33">
        <f t="shared" si="77"/>
        <v>3.7051263632643265</v>
      </c>
    </row>
    <row r="630" spans="1:17" x14ac:dyDescent="0.35">
      <c r="A630" s="13">
        <v>43280</v>
      </c>
      <c r="B630" s="14">
        <v>5323.53</v>
      </c>
      <c r="C630" s="2">
        <f t="shared" si="72"/>
        <v>9.077571631119552E-3</v>
      </c>
      <c r="D630" s="2">
        <f t="shared" si="73"/>
        <v>-2.2113715990840055E-2</v>
      </c>
      <c r="E630" s="3">
        <f t="shared" si="74"/>
        <v>3.1191287621959607E-2</v>
      </c>
      <c r="F630">
        <f t="shared" si="78"/>
        <v>0.39479447848843685</v>
      </c>
      <c r="G630">
        <f t="shared" si="75"/>
        <v>7.900639274739292E-2</v>
      </c>
      <c r="H630">
        <f t="shared" si="79"/>
        <v>-0.40221093922653517</v>
      </c>
      <c r="P630" s="33">
        <f t="shared" si="76"/>
        <v>7.3902473534114277E-3</v>
      </c>
      <c r="Q630" s="33">
        <f t="shared" si="77"/>
        <v>3.4360827861749117</v>
      </c>
    </row>
    <row r="631" spans="1:17" x14ac:dyDescent="0.35">
      <c r="A631" s="13">
        <v>43283</v>
      </c>
      <c r="B631" s="14">
        <v>5276.76</v>
      </c>
      <c r="C631" s="2">
        <f t="shared" si="72"/>
        <v>-8.7855238911022093E-3</v>
      </c>
      <c r="D631" s="2">
        <f t="shared" si="73"/>
        <v>1.9423468212516476E-2</v>
      </c>
      <c r="E631" s="3">
        <f t="shared" si="74"/>
        <v>-2.8208992103618685E-2</v>
      </c>
      <c r="F631">
        <f t="shared" si="78"/>
        <v>9.8213327610104276E-2</v>
      </c>
      <c r="G631">
        <f t="shared" si="75"/>
        <v>-0.28722163060806954</v>
      </c>
      <c r="H631">
        <f t="shared" si="79"/>
        <v>-0.44033806672363668</v>
      </c>
      <c r="P631" s="33">
        <f t="shared" si="76"/>
        <v>-1.0472848168810334E-2</v>
      </c>
      <c r="Q631" s="33">
        <f t="shared" si="77"/>
        <v>3.2108491711220717</v>
      </c>
    </row>
    <row r="632" spans="1:17" x14ac:dyDescent="0.35">
      <c r="A632" s="13">
        <v>43284</v>
      </c>
      <c r="B632" s="14">
        <v>5316.77</v>
      </c>
      <c r="C632" s="2">
        <f t="shared" si="72"/>
        <v>7.5823042927858353E-3</v>
      </c>
      <c r="D632" s="2">
        <f t="shared" si="73"/>
        <v>-1.904863592714607E-2</v>
      </c>
      <c r="E632" s="3">
        <f t="shared" si="74"/>
        <v>2.6630940219931905E-2</v>
      </c>
      <c r="F632">
        <f t="shared" si="78"/>
        <v>0.28635249305987265</v>
      </c>
      <c r="G632">
        <f t="shared" si="75"/>
        <v>9.3000553043425804E-2</v>
      </c>
      <c r="H632">
        <f t="shared" si="79"/>
        <v>-0.40341448561224907</v>
      </c>
      <c r="P632" s="33">
        <f t="shared" si="76"/>
        <v>5.894980015077711E-3</v>
      </c>
      <c r="Q632" s="33">
        <f t="shared" si="77"/>
        <v>3.5122489406379862</v>
      </c>
    </row>
    <row r="633" spans="1:17" x14ac:dyDescent="0.35">
      <c r="A633" s="13">
        <v>43285</v>
      </c>
      <c r="B633" s="14">
        <v>5320.5</v>
      </c>
      <c r="C633" s="2">
        <f t="shared" si="72"/>
        <v>7.0155376290492732E-4</v>
      </c>
      <c r="D633" s="2">
        <f t="shared" si="73"/>
        <v>1.5618712013190931E-2</v>
      </c>
      <c r="E633" s="3">
        <f t="shared" si="74"/>
        <v>-1.4917158250286004E-2</v>
      </c>
      <c r="F633">
        <f t="shared" si="78"/>
        <v>0.10360835710835666</v>
      </c>
      <c r="G633">
        <f t="shared" si="75"/>
        <v>-0.14397639984470753</v>
      </c>
      <c r="H633">
        <f t="shared" si="79"/>
        <v>-0.40945453603517906</v>
      </c>
      <c r="P633" s="33">
        <f t="shared" si="76"/>
        <v>-9.85770514803197E-4</v>
      </c>
      <c r="Q633" s="33">
        <f t="shared" si="77"/>
        <v>21.263029348625327</v>
      </c>
    </row>
    <row r="634" spans="1:17" x14ac:dyDescent="0.35">
      <c r="A634" s="13">
        <v>43286</v>
      </c>
      <c r="B634" s="14">
        <v>5366.32</v>
      </c>
      <c r="C634" s="2">
        <f t="shared" si="72"/>
        <v>8.6119725589699492E-3</v>
      </c>
      <c r="D634" s="2">
        <f t="shared" si="73"/>
        <v>8.6924897417007558E-3</v>
      </c>
      <c r="E634" s="3">
        <f t="shared" si="74"/>
        <v>-8.0517182730806616E-5</v>
      </c>
      <c r="F634">
        <f t="shared" si="78"/>
        <v>0.14617285774922728</v>
      </c>
      <c r="G634">
        <f t="shared" si="75"/>
        <v>-5.5083538743520431E-4</v>
      </c>
      <c r="H634">
        <f t="shared" si="79"/>
        <v>-0.39909008588886957</v>
      </c>
      <c r="P634" s="33">
        <f t="shared" si="76"/>
        <v>6.9246482812618249E-3</v>
      </c>
      <c r="Q634" s="33">
        <f t="shared" si="77"/>
        <v>9.3494472003330473E-3</v>
      </c>
    </row>
    <row r="635" spans="1:17" x14ac:dyDescent="0.35">
      <c r="A635" s="13">
        <v>43287</v>
      </c>
      <c r="B635" s="14">
        <v>5375.77</v>
      </c>
      <c r="C635" s="2">
        <f t="shared" si="72"/>
        <v>1.7609833181773116E-3</v>
      </c>
      <c r="D635" s="2">
        <f t="shared" si="73"/>
        <v>2.695962984419345E-2</v>
      </c>
      <c r="E635" s="3">
        <f t="shared" si="74"/>
        <v>-2.5198646526016139E-2</v>
      </c>
      <c r="F635">
        <f t="shared" si="78"/>
        <v>3.4582573162471479E-2</v>
      </c>
      <c r="G635">
        <f t="shared" si="75"/>
        <v>-0.72865157857488039</v>
      </c>
      <c r="H635">
        <f t="shared" si="79"/>
        <v>-0.66455649565889008</v>
      </c>
      <c r="P635" s="33">
        <f t="shared" si="76"/>
        <v>7.3659040469187254E-5</v>
      </c>
      <c r="Q635" s="33">
        <f t="shared" si="77"/>
        <v>14.309418076769603</v>
      </c>
    </row>
    <row r="636" spans="1:17" x14ac:dyDescent="0.35">
      <c r="A636" s="13">
        <v>43290</v>
      </c>
      <c r="B636" s="14">
        <v>5398.11</v>
      </c>
      <c r="C636" s="2">
        <f t="shared" si="72"/>
        <v>4.1556837439100658E-3</v>
      </c>
      <c r="D636" s="2">
        <f t="shared" si="73"/>
        <v>1.2823399698205253E-2</v>
      </c>
      <c r="E636" s="3">
        <f t="shared" si="74"/>
        <v>-8.6677159542951875E-3</v>
      </c>
      <c r="F636">
        <f t="shared" si="78"/>
        <v>0.7226195670666955</v>
      </c>
      <c r="G636">
        <f t="shared" si="75"/>
        <v>-1.1994853653741686E-2</v>
      </c>
      <c r="H636">
        <f t="shared" si="79"/>
        <v>-0.39916187243614487</v>
      </c>
      <c r="P636" s="33">
        <f t="shared" si="76"/>
        <v>2.4683594662019415E-3</v>
      </c>
      <c r="Q636" s="33">
        <f t="shared" si="77"/>
        <v>2.0857496596071021</v>
      </c>
    </row>
    <row r="637" spans="1:17" x14ac:dyDescent="0.35">
      <c r="A637" s="13">
        <v>43291</v>
      </c>
      <c r="B637" s="14">
        <v>5434.36</v>
      </c>
      <c r="C637" s="2">
        <f t="shared" si="72"/>
        <v>6.715313322625871E-3</v>
      </c>
      <c r="D637" s="2">
        <f t="shared" si="73"/>
        <v>1.4237263412054812E-2</v>
      </c>
      <c r="E637" s="3">
        <f t="shared" si="74"/>
        <v>-7.5219500894289412E-3</v>
      </c>
      <c r="F637">
        <f t="shared" si="78"/>
        <v>9.9898593811181269E-2</v>
      </c>
      <c r="G637">
        <f t="shared" si="75"/>
        <v>-7.5295855551742896E-2</v>
      </c>
      <c r="H637">
        <f t="shared" si="79"/>
        <v>-0.40192466711069197</v>
      </c>
      <c r="P637" s="33">
        <f t="shared" si="76"/>
        <v>5.0279890449177467E-3</v>
      </c>
      <c r="Q637" s="33">
        <f t="shared" si="77"/>
        <v>1.1201190068206159</v>
      </c>
    </row>
    <row r="638" spans="1:17" x14ac:dyDescent="0.35">
      <c r="A638" s="13">
        <v>43292</v>
      </c>
      <c r="B638" s="14">
        <v>5353.93</v>
      </c>
      <c r="C638" s="2">
        <f t="shared" si="72"/>
        <v>-1.4800270869062659E-2</v>
      </c>
      <c r="D638" s="2">
        <f t="shared" si="73"/>
        <v>2.4137422254307882E-2</v>
      </c>
      <c r="E638" s="3">
        <f t="shared" si="74"/>
        <v>-3.8937693123370545E-2</v>
      </c>
      <c r="F638">
        <f t="shared" si="78"/>
        <v>8.1031383603052565E-2</v>
      </c>
      <c r="G638">
        <f t="shared" si="75"/>
        <v>-0.4805260800446669</v>
      </c>
      <c r="H638">
        <f t="shared" si="79"/>
        <v>-0.51454259098060429</v>
      </c>
      <c r="P638" s="33">
        <f t="shared" si="76"/>
        <v>-1.6487595146770784E-2</v>
      </c>
      <c r="Q638" s="33">
        <f t="shared" si="77"/>
        <v>2.6308770608221019</v>
      </c>
    </row>
    <row r="639" spans="1:17" x14ac:dyDescent="0.35">
      <c r="A639" s="13">
        <v>43293</v>
      </c>
      <c r="B639" s="14">
        <v>5405.9</v>
      </c>
      <c r="C639" s="2">
        <f t="shared" si="72"/>
        <v>9.7068882110897814E-3</v>
      </c>
      <c r="D639" s="2">
        <f t="shared" si="73"/>
        <v>-3.9493992722632626E-2</v>
      </c>
      <c r="E639" s="3">
        <f t="shared" si="74"/>
        <v>4.9200880933722407E-2</v>
      </c>
      <c r="F639">
        <f t="shared" si="78"/>
        <v>0.47714751371812891</v>
      </c>
      <c r="G639">
        <f t="shared" si="75"/>
        <v>0.1031146123980171</v>
      </c>
      <c r="H639">
        <f t="shared" si="79"/>
        <v>-0.40440624582405416</v>
      </c>
      <c r="P639" s="33">
        <f t="shared" si="76"/>
        <v>8.0195639333816571E-3</v>
      </c>
      <c r="Q639" s="33">
        <f t="shared" si="77"/>
        <v>5.0686563874828714</v>
      </c>
    </row>
    <row r="640" spans="1:17" x14ac:dyDescent="0.35">
      <c r="A640" s="13">
        <v>43294</v>
      </c>
      <c r="B640" s="14">
        <v>5429.2</v>
      </c>
      <c r="C640" s="2">
        <f t="shared" si="72"/>
        <v>4.3101056253354031E-3</v>
      </c>
      <c r="D640" s="2">
        <f t="shared" si="73"/>
        <v>1.6927884817790728E-2</v>
      </c>
      <c r="E640" s="3">
        <f t="shared" si="74"/>
        <v>-1.2617779192455325E-2</v>
      </c>
      <c r="F640">
        <f t="shared" si="78"/>
        <v>0.12327320542192911</v>
      </c>
      <c r="G640">
        <f t="shared" si="75"/>
        <v>-0.10235621884957284</v>
      </c>
      <c r="H640">
        <f t="shared" si="79"/>
        <v>-0.40432833194764833</v>
      </c>
      <c r="P640" s="33">
        <f t="shared" si="76"/>
        <v>2.6227813476272788E-3</v>
      </c>
      <c r="Q640" s="33">
        <f t="shared" si="77"/>
        <v>2.9274872333258508</v>
      </c>
    </row>
    <row r="641" spans="1:17" x14ac:dyDescent="0.35">
      <c r="A641" s="13">
        <v>43297</v>
      </c>
      <c r="B641" s="14">
        <v>5409.43</v>
      </c>
      <c r="C641" s="2">
        <f t="shared" si="72"/>
        <v>-3.6414204671036954E-3</v>
      </c>
      <c r="D641" s="2">
        <f t="shared" si="73"/>
        <v>2.156933108271215E-2</v>
      </c>
      <c r="E641" s="3">
        <f t="shared" si="74"/>
        <v>-2.5210751549815846E-2</v>
      </c>
      <c r="F641">
        <f t="shared" si="78"/>
        <v>0.10666068499524857</v>
      </c>
      <c r="G641">
        <f t="shared" si="75"/>
        <v>-0.23636405064282975</v>
      </c>
      <c r="H641">
        <f t="shared" si="79"/>
        <v>-0.42702391639720061</v>
      </c>
      <c r="P641" s="33">
        <f t="shared" si="76"/>
        <v>-5.3287447448118197E-3</v>
      </c>
      <c r="Q641" s="33">
        <f t="shared" si="77"/>
        <v>6.9233288980406913</v>
      </c>
    </row>
    <row r="642" spans="1:17" x14ac:dyDescent="0.35">
      <c r="A642" s="13">
        <v>43298</v>
      </c>
      <c r="B642" s="14">
        <v>5422.54</v>
      </c>
      <c r="C642" s="2">
        <f t="shared" si="72"/>
        <v>2.4235455491612434E-3</v>
      </c>
      <c r="D642" s="2">
        <f t="shared" si="73"/>
        <v>-7.4225086922949058E-3</v>
      </c>
      <c r="E642" s="3">
        <f t="shared" si="74"/>
        <v>9.8460542414561501E-3</v>
      </c>
      <c r="F642">
        <f t="shared" si="78"/>
        <v>0.23639136008670317</v>
      </c>
      <c r="G642">
        <f t="shared" si="75"/>
        <v>4.1651497913649776E-2</v>
      </c>
      <c r="H642">
        <f t="shared" si="79"/>
        <v>-0.3999573578182829</v>
      </c>
      <c r="P642" s="33">
        <f t="shared" si="76"/>
        <v>7.3622127145311911E-4</v>
      </c>
      <c r="Q642" s="33">
        <f t="shared" si="77"/>
        <v>4.0626652322931323</v>
      </c>
    </row>
    <row r="643" spans="1:17" x14ac:dyDescent="0.35">
      <c r="A643" s="13">
        <v>43299</v>
      </c>
      <c r="B643" s="14">
        <v>5447.44</v>
      </c>
      <c r="C643" s="2">
        <f t="shared" si="72"/>
        <v>4.591943996724801E-3</v>
      </c>
      <c r="D643" s="2">
        <f t="shared" si="73"/>
        <v>4.2728793904155682E-3</v>
      </c>
      <c r="E643" s="3">
        <f t="shared" si="74"/>
        <v>3.1906460630923283E-4</v>
      </c>
      <c r="F643">
        <f t="shared" si="78"/>
        <v>5.911652423549664E-2</v>
      </c>
      <c r="G643">
        <f t="shared" si="75"/>
        <v>5.3972152530180357E-3</v>
      </c>
      <c r="H643">
        <f t="shared" si="79"/>
        <v>-0.39910449914530122</v>
      </c>
      <c r="P643" s="33">
        <f t="shared" si="76"/>
        <v>2.9046197190166767E-3</v>
      </c>
      <c r="Q643" s="33">
        <f t="shared" si="77"/>
        <v>6.9483557843215277E-2</v>
      </c>
    </row>
    <row r="644" spans="1:17" x14ac:dyDescent="0.35">
      <c r="A644" s="13">
        <v>43300</v>
      </c>
      <c r="B644" s="14">
        <v>5417.07</v>
      </c>
      <c r="C644" s="2">
        <f t="shared" ref="C644:C707" si="80">(B644/B643)-1</f>
        <v>-5.575095824827736E-3</v>
      </c>
      <c r="D644" s="2">
        <f t="shared" si="73"/>
        <v>1.6144262980761961E-2</v>
      </c>
      <c r="E644" s="3">
        <f t="shared" si="74"/>
        <v>-2.1719358805589697E-2</v>
      </c>
      <c r="F644">
        <f t="shared" si="78"/>
        <v>3.0262800278563345E-2</v>
      </c>
      <c r="G644">
        <f t="shared" si="75"/>
        <v>-0.71769164141015085</v>
      </c>
      <c r="H644">
        <f t="shared" si="79"/>
        <v>-0.65663058025405574</v>
      </c>
      <c r="P644" s="33">
        <f t="shared" si="76"/>
        <v>-7.2624201025358603E-3</v>
      </c>
      <c r="Q644" s="33">
        <f t="shared" si="77"/>
        <v>3.8957821511993114</v>
      </c>
    </row>
    <row r="645" spans="1:17" x14ac:dyDescent="0.35">
      <c r="A645" s="13">
        <v>43301</v>
      </c>
      <c r="B645" s="14">
        <v>5398.32</v>
      </c>
      <c r="C645" s="2">
        <f t="shared" si="80"/>
        <v>-3.4612807292503378E-3</v>
      </c>
      <c r="D645" s="2">
        <f t="shared" si="73"/>
        <v>-1.3096556005059972E-2</v>
      </c>
      <c r="E645" s="3">
        <f t="shared" si="74"/>
        <v>9.6352752758096342E-3</v>
      </c>
      <c r="F645">
        <f t="shared" si="78"/>
        <v>0.71176474047640526</v>
      </c>
      <c r="G645">
        <f t="shared" si="75"/>
        <v>1.3537162952692007E-2</v>
      </c>
      <c r="H645">
        <f t="shared" si="79"/>
        <v>-0.39918156156946139</v>
      </c>
      <c r="P645" s="33">
        <f t="shared" si="76"/>
        <v>-5.1486050069584621E-3</v>
      </c>
      <c r="Q645" s="33">
        <f t="shared" si="77"/>
        <v>2.7837312340442528</v>
      </c>
    </row>
    <row r="646" spans="1:17" x14ac:dyDescent="0.35">
      <c r="A646" s="13">
        <v>43304</v>
      </c>
      <c r="B646" s="14">
        <v>5378.25</v>
      </c>
      <c r="C646" s="2">
        <f t="shared" si="80"/>
        <v>-3.7178233228114532E-3</v>
      </c>
      <c r="D646" s="2">
        <f t="shared" ref="D646:D709" si="81">C645*$K$10+C644*$K$9</f>
        <v>-1.540491400636915E-2</v>
      </c>
      <c r="E646" s="3">
        <f t="shared" ref="E646:E709" si="82">C646-D646</f>
        <v>1.1687090683557697E-2</v>
      </c>
      <c r="F646">
        <f t="shared" si="78"/>
        <v>9.8740544987705486E-2</v>
      </c>
      <c r="G646">
        <f t="shared" ref="G646:G709" si="83">E646/F646</f>
        <v>0.11836161816822964</v>
      </c>
      <c r="H646">
        <f t="shared" si="79"/>
        <v>-0.4060946705067584</v>
      </c>
      <c r="P646" s="33">
        <f t="shared" ref="P646:P709" si="84" xml:space="preserve"> C646-$K$16</f>
        <v>-5.4051476005195775E-3</v>
      </c>
      <c r="Q646" s="33">
        <f t="shared" ref="Q646:Q709" si="85" xml:space="preserve"> ABS(E646)/ABS(C646)</f>
        <v>3.1435304124994858</v>
      </c>
    </row>
    <row r="647" spans="1:17" x14ac:dyDescent="0.35">
      <c r="A647" s="13">
        <v>43305</v>
      </c>
      <c r="B647" s="14">
        <v>5434.19</v>
      </c>
      <c r="C647" s="2">
        <f t="shared" si="80"/>
        <v>1.0401152791335466E-2</v>
      </c>
      <c r="D647" s="2">
        <f t="shared" si="81"/>
        <v>-1.4365168093317591E-2</v>
      </c>
      <c r="E647" s="3">
        <f t="shared" si="82"/>
        <v>2.4766320884653057E-2</v>
      </c>
      <c r="F647">
        <f t="shared" ref="F647:F710" si="86">($K$5+$K$6*G646^2+$K$7*F646^2)^(1/2)</f>
        <v>0.12145491946522789</v>
      </c>
      <c r="G647">
        <f t="shared" si="83"/>
        <v>0.2039136907232775</v>
      </c>
      <c r="H647">
        <f t="shared" ref="H647:H710" si="87">- (G647^2)/2 - LOG(2*PI())/2</f>
        <v>-0.41988033081125176</v>
      </c>
      <c r="P647" s="33">
        <f t="shared" si="84"/>
        <v>8.7138285136273419E-3</v>
      </c>
      <c r="Q647" s="33">
        <f t="shared" si="85"/>
        <v>2.3811130728974863</v>
      </c>
    </row>
    <row r="648" spans="1:17" x14ac:dyDescent="0.35">
      <c r="A648" s="13">
        <v>43306</v>
      </c>
      <c r="B648" s="14">
        <v>5426.41</v>
      </c>
      <c r="C648" s="2">
        <f t="shared" si="80"/>
        <v>-1.431676109962976E-3</v>
      </c>
      <c r="D648" s="2">
        <f t="shared" si="81"/>
        <v>2.8619659654561622E-2</v>
      </c>
      <c r="E648" s="3">
        <f t="shared" si="82"/>
        <v>-3.0051335764524598E-2</v>
      </c>
      <c r="F648">
        <f t="shared" si="86"/>
        <v>0.20472010316890329</v>
      </c>
      <c r="G648">
        <f t="shared" si="83"/>
        <v>-0.14679230470947396</v>
      </c>
      <c r="H648">
        <f t="shared" si="87"/>
        <v>-0.40986392454001708</v>
      </c>
      <c r="P648" s="33">
        <f t="shared" si="84"/>
        <v>-3.1190003876711003E-3</v>
      </c>
      <c r="Q648" s="33">
        <f t="shared" si="85"/>
        <v>20.990317261983051</v>
      </c>
    </row>
    <row r="649" spans="1:17" x14ac:dyDescent="0.35">
      <c r="A649" s="13">
        <v>43307</v>
      </c>
      <c r="B649" s="14">
        <v>5480.55</v>
      </c>
      <c r="C649" s="2">
        <f t="shared" si="80"/>
        <v>9.9771303679596635E-3</v>
      </c>
      <c r="D649" s="2">
        <f t="shared" si="81"/>
        <v>4.5979151474731536E-3</v>
      </c>
      <c r="E649" s="3">
        <f t="shared" si="82"/>
        <v>5.3792152204865098E-3</v>
      </c>
      <c r="F649">
        <f t="shared" si="86"/>
        <v>0.15069336156071769</v>
      </c>
      <c r="G649">
        <f t="shared" si="83"/>
        <v>3.5696431248028834E-2</v>
      </c>
      <c r="H649">
        <f t="shared" si="87"/>
        <v>-0.39972705178098017</v>
      </c>
      <c r="P649" s="33">
        <f t="shared" si="84"/>
        <v>8.2898060902515391E-3</v>
      </c>
      <c r="Q649" s="33">
        <f t="shared" si="85"/>
        <v>0.53915454866273005</v>
      </c>
    </row>
    <row r="650" spans="1:17" x14ac:dyDescent="0.35">
      <c r="A650" s="13">
        <v>43308</v>
      </c>
      <c r="B650" s="14">
        <v>5511.76</v>
      </c>
      <c r="C650" s="2">
        <f t="shared" si="80"/>
        <v>5.6946839277078887E-3</v>
      </c>
      <c r="D650" s="2">
        <f t="shared" si="81"/>
        <v>2.9295661113220697E-2</v>
      </c>
      <c r="E650" s="3">
        <f t="shared" si="82"/>
        <v>-2.3600977185512809E-2</v>
      </c>
      <c r="F650">
        <f t="shared" si="86"/>
        <v>4.9699166362550597E-2</v>
      </c>
      <c r="G650">
        <f t="shared" si="83"/>
        <v>-0.47487672153987392</v>
      </c>
      <c r="H650">
        <f t="shared" si="87"/>
        <v>-0.51184388450928697</v>
      </c>
      <c r="P650" s="33">
        <f t="shared" si="84"/>
        <v>4.0073596499997644E-3</v>
      </c>
      <c r="Q650" s="33">
        <f t="shared" si="85"/>
        <v>4.1443875525172835</v>
      </c>
    </row>
    <row r="651" spans="1:17" x14ac:dyDescent="0.35">
      <c r="A651" s="13">
        <v>43311</v>
      </c>
      <c r="B651" s="14">
        <v>5491.22</v>
      </c>
      <c r="C651" s="2">
        <f t="shared" si="80"/>
        <v>-3.7265773546018011E-3</v>
      </c>
      <c r="D651" s="2">
        <f t="shared" si="81"/>
        <v>2.6039652860248952E-2</v>
      </c>
      <c r="E651" s="3">
        <f t="shared" si="82"/>
        <v>-2.9766230214850753E-2</v>
      </c>
      <c r="F651">
        <f t="shared" si="86"/>
        <v>0.47148622249626676</v>
      </c>
      <c r="G651">
        <f t="shared" si="83"/>
        <v>-6.3132767819289656E-2</v>
      </c>
      <c r="H651">
        <f t="shared" si="87"/>
        <v>-0.4010828073653197</v>
      </c>
      <c r="P651" s="33">
        <f t="shared" si="84"/>
        <v>-5.4139016323099254E-3</v>
      </c>
      <c r="Q651" s="33">
        <f t="shared" si="85"/>
        <v>7.987551949805531</v>
      </c>
    </row>
    <row r="652" spans="1:17" x14ac:dyDescent="0.35">
      <c r="A652" s="13">
        <v>43312</v>
      </c>
      <c r="B652" s="14">
        <v>5511.3</v>
      </c>
      <c r="C652" s="2">
        <f t="shared" si="80"/>
        <v>3.6567465881898187E-3</v>
      </c>
      <c r="D652" s="2">
        <f t="shared" si="81"/>
        <v>-6.4878284031961823E-3</v>
      </c>
      <c r="E652" s="3">
        <f t="shared" si="82"/>
        <v>1.0144574991386001E-2</v>
      </c>
      <c r="F652">
        <f t="shared" si="86"/>
        <v>9.261171628439227E-2</v>
      </c>
      <c r="G652">
        <f t="shared" si="83"/>
        <v>0.10953878621830111</v>
      </c>
      <c r="H652">
        <f t="shared" si="87"/>
        <v>-0.40508930702214685</v>
      </c>
      <c r="P652" s="33">
        <f t="shared" si="84"/>
        <v>1.9694223104816944E-3</v>
      </c>
      <c r="Q652" s="33">
        <f t="shared" si="85"/>
        <v>2.7742078229183007</v>
      </c>
    </row>
    <row r="653" spans="1:17" x14ac:dyDescent="0.35">
      <c r="A653" s="13">
        <v>43313</v>
      </c>
      <c r="B653" s="14">
        <v>5498.37</v>
      </c>
      <c r="C653" s="2">
        <f t="shared" si="80"/>
        <v>-2.3460889445321431E-3</v>
      </c>
      <c r="D653" s="2">
        <f t="shared" si="81"/>
        <v>7.9731552390013283E-3</v>
      </c>
      <c r="E653" s="3">
        <f t="shared" si="82"/>
        <v>-1.0319244183533471E-2</v>
      </c>
      <c r="F653">
        <f t="shared" si="86"/>
        <v>0.11294553721575459</v>
      </c>
      <c r="G653">
        <f t="shared" si="83"/>
        <v>-9.1364780211024191E-2</v>
      </c>
      <c r="H653">
        <f t="shared" si="87"/>
        <v>-0.40326369571056192</v>
      </c>
      <c r="P653" s="33">
        <f t="shared" si="84"/>
        <v>-4.0334132222402674E-3</v>
      </c>
      <c r="Q653" s="33">
        <f t="shared" si="85"/>
        <v>4.3984880486239764</v>
      </c>
    </row>
    <row r="654" spans="1:17" x14ac:dyDescent="0.35">
      <c r="A654" s="13">
        <v>43314</v>
      </c>
      <c r="B654" s="14">
        <v>5460.98</v>
      </c>
      <c r="C654" s="2">
        <f t="shared" si="80"/>
        <v>-6.800197149336995E-3</v>
      </c>
      <c r="D654" s="2">
        <f t="shared" si="81"/>
        <v>-4.0226192784245315E-3</v>
      </c>
      <c r="E654" s="3">
        <f t="shared" si="82"/>
        <v>-2.7775778709124635E-3</v>
      </c>
      <c r="F654">
        <f t="shared" si="86"/>
        <v>9.6143822961920908E-2</v>
      </c>
      <c r="G654">
        <f t="shared" si="83"/>
        <v>-2.8889821367021798E-2</v>
      </c>
      <c r="H654">
        <f t="shared" si="87"/>
        <v>-0.39950724506836677</v>
      </c>
      <c r="P654" s="33">
        <f t="shared" si="84"/>
        <v>-8.4875214270451194E-3</v>
      </c>
      <c r="Q654" s="33">
        <f t="shared" si="85"/>
        <v>0.40845549179162716</v>
      </c>
    </row>
    <row r="655" spans="1:17" x14ac:dyDescent="0.35">
      <c r="A655" s="13">
        <v>43315</v>
      </c>
      <c r="B655" s="14">
        <v>5478.98</v>
      </c>
      <c r="C655" s="2">
        <f t="shared" si="80"/>
        <v>3.296111686913239E-3</v>
      </c>
      <c r="D655" s="2">
        <f t="shared" si="81"/>
        <v>-2.2834999635295158E-2</v>
      </c>
      <c r="E655" s="3">
        <f t="shared" si="82"/>
        <v>2.6131111322208397E-2</v>
      </c>
      <c r="F655">
        <f t="shared" si="86"/>
        <v>4.2496746595406545E-2</v>
      </c>
      <c r="G655">
        <f t="shared" si="83"/>
        <v>0.61489674894390378</v>
      </c>
      <c r="H655">
        <f t="shared" si="87"/>
        <v>-0.5881389401099486</v>
      </c>
      <c r="P655" s="33">
        <f t="shared" si="84"/>
        <v>1.6087874092051146E-3</v>
      </c>
      <c r="Q655" s="33">
        <f t="shared" si="85"/>
        <v>7.9278597949087724</v>
      </c>
    </row>
    <row r="656" spans="1:17" x14ac:dyDescent="0.35">
      <c r="A656" s="13">
        <v>43318</v>
      </c>
      <c r="B656" s="14">
        <v>5477.18</v>
      </c>
      <c r="C656" s="2">
        <f t="shared" si="80"/>
        <v>-3.2852830271312694E-4</v>
      </c>
      <c r="D656" s="2">
        <f t="shared" si="81"/>
        <v>4.2161720330601742E-3</v>
      </c>
      <c r="E656" s="3">
        <f t="shared" si="82"/>
        <v>-4.5447003357733011E-3</v>
      </c>
      <c r="F656">
        <f t="shared" si="86"/>
        <v>0.61001507987514147</v>
      </c>
      <c r="G656">
        <f t="shared" si="83"/>
        <v>-7.450144243489055E-3</v>
      </c>
      <c r="H656">
        <f t="shared" si="87"/>
        <v>-0.3991176865036819</v>
      </c>
      <c r="P656" s="33">
        <f t="shared" si="84"/>
        <v>-2.0158525804212513E-3</v>
      </c>
      <c r="Q656" s="33">
        <f t="shared" si="85"/>
        <v>13.833512358725949</v>
      </c>
    </row>
    <row r="657" spans="1:17" x14ac:dyDescent="0.35">
      <c r="A657" s="13">
        <v>43319</v>
      </c>
      <c r="B657" s="14">
        <v>5521.31</v>
      </c>
      <c r="C657" s="2">
        <f t="shared" si="80"/>
        <v>8.0570658623597691E-3</v>
      </c>
      <c r="D657" s="2">
        <f t="shared" si="81"/>
        <v>1.8401070546001028E-3</v>
      </c>
      <c r="E657" s="3">
        <f t="shared" si="82"/>
        <v>6.2169588077596663E-3</v>
      </c>
      <c r="F657">
        <f t="shared" si="86"/>
        <v>8.5459207351093483E-2</v>
      </c>
      <c r="G657">
        <f t="shared" si="83"/>
        <v>7.2747676938055728E-2</v>
      </c>
      <c r="H657">
        <f t="shared" si="87"/>
        <v>-0.4017360464289994</v>
      </c>
      <c r="P657" s="33">
        <f t="shared" si="84"/>
        <v>6.3697415846516448E-3</v>
      </c>
      <c r="Q657" s="33">
        <f t="shared" si="85"/>
        <v>0.77161573629470515</v>
      </c>
    </row>
    <row r="658" spans="1:17" x14ac:dyDescent="0.35">
      <c r="A658" s="13">
        <v>43320</v>
      </c>
      <c r="B658" s="14">
        <v>5501.9</v>
      </c>
      <c r="C658" s="2">
        <f t="shared" si="80"/>
        <v>-3.5154700605473099E-3</v>
      </c>
      <c r="D658" s="2">
        <f t="shared" si="81"/>
        <v>2.4372282226908817E-2</v>
      </c>
      <c r="E658" s="3">
        <f t="shared" si="82"/>
        <v>-2.7887752287456127E-2</v>
      </c>
      <c r="F658">
        <f t="shared" si="86"/>
        <v>7.8418600811162351E-2</v>
      </c>
      <c r="G658">
        <f t="shared" si="83"/>
        <v>-0.35562675180359116</v>
      </c>
      <c r="H658">
        <f t="shared" si="87"/>
        <v>-0.46232512747824406</v>
      </c>
      <c r="P658" s="33">
        <f t="shared" si="84"/>
        <v>-5.2027943382554342E-3</v>
      </c>
      <c r="Q658" s="33">
        <f t="shared" si="85"/>
        <v>7.9328658208269278</v>
      </c>
    </row>
    <row r="659" spans="1:17" x14ac:dyDescent="0.35">
      <c r="A659" s="13">
        <v>43321</v>
      </c>
      <c r="B659" s="14">
        <v>5502.25</v>
      </c>
      <c r="C659" s="2">
        <f t="shared" si="80"/>
        <v>6.3614387757038315E-5</v>
      </c>
      <c r="D659" s="2">
        <f t="shared" si="81"/>
        <v>-3.8024181462241215E-3</v>
      </c>
      <c r="E659" s="3">
        <f t="shared" si="82"/>
        <v>3.8660325339811598E-3</v>
      </c>
      <c r="F659">
        <f t="shared" si="86"/>
        <v>0.35371780270807934</v>
      </c>
      <c r="G659">
        <f t="shared" si="83"/>
        <v>1.0929708667142681E-2</v>
      </c>
      <c r="H659">
        <f t="shared" si="87"/>
        <v>-0.39914966344483183</v>
      </c>
      <c r="P659" s="33">
        <f t="shared" si="84"/>
        <v>-1.623709889951086E-3</v>
      </c>
      <c r="Q659" s="33">
        <f t="shared" si="85"/>
        <v>60.772926853381854</v>
      </c>
    </row>
    <row r="660" spans="1:17" x14ac:dyDescent="0.35">
      <c r="A660" s="13">
        <v>43322</v>
      </c>
      <c r="B660" s="14">
        <v>5414.68</v>
      </c>
      <c r="C660" s="2">
        <f t="shared" si="80"/>
        <v>-1.5915307374255949E-2</v>
      </c>
      <c r="D660" s="2">
        <f t="shared" si="81"/>
        <v>-2.8401523503862906E-3</v>
      </c>
      <c r="E660" s="3">
        <f t="shared" si="82"/>
        <v>-1.3075155023869658E-2</v>
      </c>
      <c r="F660">
        <f t="shared" si="86"/>
        <v>5.5708363555512168E-2</v>
      </c>
      <c r="G660">
        <f t="shared" si="83"/>
        <v>-0.23470721789988591</v>
      </c>
      <c r="H660">
        <f t="shared" si="87"/>
        <v>-0.42663367324620977</v>
      </c>
      <c r="P660" s="33">
        <f t="shared" si="84"/>
        <v>-1.7602631651964074E-2</v>
      </c>
      <c r="Q660" s="33">
        <f t="shared" si="85"/>
        <v>0.82154586879167513</v>
      </c>
    </row>
    <row r="661" spans="1:17" x14ac:dyDescent="0.35">
      <c r="A661" s="13">
        <v>43325</v>
      </c>
      <c r="B661" s="14">
        <v>5412.32</v>
      </c>
      <c r="C661" s="2">
        <f t="shared" si="80"/>
        <v>-4.3585216485564349E-4</v>
      </c>
      <c r="D661" s="2">
        <f t="shared" si="81"/>
        <v>-4.864843524072348E-2</v>
      </c>
      <c r="E661" s="3">
        <f t="shared" si="82"/>
        <v>4.8212583075867836E-2</v>
      </c>
      <c r="F661">
        <f t="shared" si="86"/>
        <v>0.23446050926320713</v>
      </c>
      <c r="G661">
        <f t="shared" si="83"/>
        <v>0.2056319984434736</v>
      </c>
      <c r="H661">
        <f t="shared" si="87"/>
        <v>-0.4202321935709859</v>
      </c>
      <c r="P661" s="33">
        <f t="shared" si="84"/>
        <v>-2.1231764425637678E-3</v>
      </c>
      <c r="Q661" s="33">
        <f t="shared" si="85"/>
        <v>110.61682598694009</v>
      </c>
    </row>
    <row r="662" spans="1:17" x14ac:dyDescent="0.35">
      <c r="A662" s="13">
        <v>43326</v>
      </c>
      <c r="B662" s="14">
        <v>5403.41</v>
      </c>
      <c r="C662" s="2">
        <f t="shared" si="80"/>
        <v>-1.646244124515861E-3</v>
      </c>
      <c r="D662" s="2">
        <f t="shared" si="81"/>
        <v>-1.507308600776909E-2</v>
      </c>
      <c r="E662" s="3">
        <f t="shared" si="82"/>
        <v>1.3426841883253229E-2</v>
      </c>
      <c r="F662">
        <f t="shared" si="86"/>
        <v>0.2080755291756296</v>
      </c>
      <c r="G662">
        <f t="shared" si="83"/>
        <v>6.4528692712923871E-2</v>
      </c>
      <c r="H662">
        <f t="shared" si="87"/>
        <v>-0.401171910270677</v>
      </c>
      <c r="P662" s="33">
        <f t="shared" si="84"/>
        <v>-3.3335684022239853E-3</v>
      </c>
      <c r="Q662" s="33">
        <f t="shared" si="85"/>
        <v>8.1560454390091675</v>
      </c>
    </row>
    <row r="663" spans="1:17" x14ac:dyDescent="0.35">
      <c r="A663" s="13">
        <v>43327</v>
      </c>
      <c r="B663" s="14">
        <v>5305.22</v>
      </c>
      <c r="C663" s="2">
        <f t="shared" si="80"/>
        <v>-1.8171858141432851E-2</v>
      </c>
      <c r="D663" s="2">
        <f t="shared" si="81"/>
        <v>-5.4140276999746677E-3</v>
      </c>
      <c r="E663" s="3">
        <f t="shared" si="82"/>
        <v>-1.2757830441458184E-2</v>
      </c>
      <c r="F663">
        <f t="shared" si="86"/>
        <v>7.5251214077668424E-2</v>
      </c>
      <c r="G663">
        <f t="shared" si="83"/>
        <v>-0.16953653968015117</v>
      </c>
      <c r="H663">
        <f t="shared" si="87"/>
        <v>-0.41346125332241729</v>
      </c>
      <c r="P663" s="33">
        <f t="shared" si="84"/>
        <v>-1.9859182419140975E-2</v>
      </c>
      <c r="Q663" s="33">
        <f t="shared" si="85"/>
        <v>0.702065267192991</v>
      </c>
    </row>
    <row r="664" spans="1:17" x14ac:dyDescent="0.35">
      <c r="A664" s="13">
        <v>43328</v>
      </c>
      <c r="B664" s="14">
        <v>5349.02</v>
      </c>
      <c r="C664" s="2">
        <f t="shared" si="80"/>
        <v>8.2560195430161354E-3</v>
      </c>
      <c r="D664" s="2">
        <f t="shared" si="81"/>
        <v>-5.7029917216377748E-2</v>
      </c>
      <c r="E664" s="3">
        <f t="shared" si="82"/>
        <v>6.5285936759393884E-2</v>
      </c>
      <c r="F664">
        <f t="shared" si="86"/>
        <v>0.17072636231631011</v>
      </c>
      <c r="G664">
        <f t="shared" si="83"/>
        <v>0.38240102977439755</v>
      </c>
      <c r="H664">
        <f t="shared" si="87"/>
        <v>-0.4722052079653174</v>
      </c>
      <c r="P664" s="33">
        <f t="shared" si="84"/>
        <v>6.5686952653080111E-3</v>
      </c>
      <c r="Q664" s="33">
        <f t="shared" si="85"/>
        <v>7.9076771099239984</v>
      </c>
    </row>
    <row r="665" spans="1:17" x14ac:dyDescent="0.35">
      <c r="A665" s="13">
        <v>43329</v>
      </c>
      <c r="B665" s="14">
        <v>5344.93</v>
      </c>
      <c r="C665" s="2">
        <f t="shared" si="80"/>
        <v>-7.6462604364913034E-4</v>
      </c>
      <c r="D665" s="2">
        <f t="shared" si="81"/>
        <v>9.5773859457921086E-3</v>
      </c>
      <c r="E665" s="3">
        <f t="shared" si="82"/>
        <v>-1.0342011989441239E-2</v>
      </c>
      <c r="F665">
        <f t="shared" si="86"/>
        <v>0.38067831854392381</v>
      </c>
      <c r="G665">
        <f t="shared" si="83"/>
        <v>-2.7167326022135792E-2</v>
      </c>
      <c r="H665">
        <f t="shared" si="87"/>
        <v>-0.39945896598065406</v>
      </c>
      <c r="P665" s="33">
        <f t="shared" si="84"/>
        <v>-2.4519503213572547E-3</v>
      </c>
      <c r="Q665" s="33">
        <f t="shared" si="85"/>
        <v>13.525581655687045</v>
      </c>
    </row>
    <row r="666" spans="1:17" x14ac:dyDescent="0.35">
      <c r="A666" s="13">
        <v>43332</v>
      </c>
      <c r="B666" s="14">
        <v>5379.65</v>
      </c>
      <c r="C666" s="2">
        <f t="shared" si="80"/>
        <v>6.4958755306430138E-3</v>
      </c>
      <c r="D666" s="2">
        <f t="shared" si="81"/>
        <v>4.7873506573408598E-3</v>
      </c>
      <c r="E666" s="3">
        <f t="shared" si="82"/>
        <v>1.708524873302154E-3</v>
      </c>
      <c r="F666">
        <f t="shared" si="86"/>
        <v>6.3659516205889055E-2</v>
      </c>
      <c r="G666">
        <f t="shared" si="83"/>
        <v>2.6838483468463757E-2</v>
      </c>
      <c r="H666">
        <f t="shared" si="87"/>
        <v>-0.39945008627650103</v>
      </c>
      <c r="P666" s="33">
        <f t="shared" si="84"/>
        <v>4.8085512529348895E-3</v>
      </c>
      <c r="Q666" s="33">
        <f t="shared" si="85"/>
        <v>0.26301687359040737</v>
      </c>
    </row>
    <row r="667" spans="1:17" x14ac:dyDescent="0.35">
      <c r="A667" s="13">
        <v>43333</v>
      </c>
      <c r="B667" s="14">
        <v>5408.6</v>
      </c>
      <c r="C667" s="2">
        <f t="shared" si="80"/>
        <v>5.3813909826849748E-3</v>
      </c>
      <c r="D667" s="2">
        <f t="shared" si="81"/>
        <v>1.9218320554567292E-2</v>
      </c>
      <c r="E667" s="3">
        <f t="shared" si="82"/>
        <v>-1.3836929571882317E-2</v>
      </c>
      <c r="F667">
        <f t="shared" si="86"/>
        <v>4.0051686283346273E-2</v>
      </c>
      <c r="G667">
        <f t="shared" si="83"/>
        <v>-0.34547682896527115</v>
      </c>
      <c r="H667">
        <f t="shared" si="87"/>
        <v>-0.45876705385500716</v>
      </c>
      <c r="P667" s="33">
        <f t="shared" si="84"/>
        <v>3.6940667049768505E-3</v>
      </c>
      <c r="Q667" s="33">
        <f t="shared" si="85"/>
        <v>2.5712552045379469</v>
      </c>
    </row>
    <row r="668" spans="1:17" x14ac:dyDescent="0.35">
      <c r="A668" s="13">
        <v>43334</v>
      </c>
      <c r="B668" s="14">
        <v>5420.61</v>
      </c>
      <c r="C668" s="2">
        <f t="shared" si="80"/>
        <v>2.2205376622415063E-3</v>
      </c>
      <c r="D668" s="2">
        <f t="shared" si="81"/>
        <v>2.2075641790094559E-2</v>
      </c>
      <c r="E668" s="3">
        <f t="shared" si="82"/>
        <v>-1.9855104127853053E-2</v>
      </c>
      <c r="F668">
        <f t="shared" si="86"/>
        <v>0.34358461411997798</v>
      </c>
      <c r="G668">
        <f t="shared" si="83"/>
        <v>-5.7788106078928647E-2</v>
      </c>
      <c r="H668">
        <f t="shared" si="87"/>
        <v>-0.40075966678115227</v>
      </c>
      <c r="P668" s="33">
        <f t="shared" si="84"/>
        <v>5.3321338453338196E-4</v>
      </c>
      <c r="Q668" s="33">
        <f t="shared" si="85"/>
        <v>8.9415750362956938</v>
      </c>
    </row>
    <row r="669" spans="1:17" x14ac:dyDescent="0.35">
      <c r="A669" s="13">
        <v>43335</v>
      </c>
      <c r="B669" s="14">
        <v>5419.33</v>
      </c>
      <c r="C669" s="2">
        <f t="shared" si="80"/>
        <v>-2.3613578545578218E-4</v>
      </c>
      <c r="D669" s="2">
        <f t="shared" si="81"/>
        <v>1.1440823605821599E-2</v>
      </c>
      <c r="E669" s="3">
        <f t="shared" si="82"/>
        <v>-1.1676959391277381E-2</v>
      </c>
      <c r="F669">
        <f t="shared" si="86"/>
        <v>7.8378927247709049E-2</v>
      </c>
      <c r="G669">
        <f t="shared" si="83"/>
        <v>-0.14898085239637787</v>
      </c>
      <c r="H669">
        <f t="shared" si="87"/>
        <v>-0.41018758136943317</v>
      </c>
      <c r="P669" s="33">
        <f t="shared" si="84"/>
        <v>-1.9234600631639065E-3</v>
      </c>
      <c r="Q669" s="33">
        <f t="shared" si="85"/>
        <v>49.450189723420642</v>
      </c>
    </row>
    <row r="670" spans="1:17" x14ac:dyDescent="0.35">
      <c r="A670" s="13">
        <v>43336</v>
      </c>
      <c r="B670" s="14">
        <v>5432.5</v>
      </c>
      <c r="C670" s="2">
        <f t="shared" si="80"/>
        <v>2.4301897097980252E-3</v>
      </c>
      <c r="D670" s="2">
        <f t="shared" si="81"/>
        <v>1.1943250415948443E-3</v>
      </c>
      <c r="E670" s="3">
        <f t="shared" si="82"/>
        <v>1.2358646682031809E-3</v>
      </c>
      <c r="F670">
        <f t="shared" si="86"/>
        <v>0.15075425234308865</v>
      </c>
      <c r="G670">
        <f t="shared" si="83"/>
        <v>8.1978760067781212E-3</v>
      </c>
      <c r="H670">
        <f t="shared" si="87"/>
        <v>-0.3991235367645688</v>
      </c>
      <c r="P670" s="33">
        <f t="shared" si="84"/>
        <v>7.4286543208990086E-4</v>
      </c>
      <c r="Q670" s="33">
        <f t="shared" si="85"/>
        <v>0.50854658104280037</v>
      </c>
    </row>
    <row r="671" spans="1:17" x14ac:dyDescent="0.35">
      <c r="A671" s="13">
        <v>43339</v>
      </c>
      <c r="B671" s="14">
        <v>5479.1</v>
      </c>
      <c r="C671" s="2">
        <f t="shared" si="80"/>
        <v>8.5780027611597198E-3</v>
      </c>
      <c r="D671" s="2">
        <f t="shared" si="81"/>
        <v>7.2329135462166089E-3</v>
      </c>
      <c r="E671" s="3">
        <f t="shared" si="82"/>
        <v>1.3450892149431109E-3</v>
      </c>
      <c r="F671">
        <f t="shared" si="86"/>
        <v>3.5848603554024673E-2</v>
      </c>
      <c r="G671">
        <f t="shared" si="83"/>
        <v>3.7521383864117061E-2</v>
      </c>
      <c r="H671">
        <f t="shared" si="87"/>
        <v>-0.39979386130259675</v>
      </c>
      <c r="P671" s="33">
        <f t="shared" si="84"/>
        <v>6.8906784834515955E-3</v>
      </c>
      <c r="Q671" s="33">
        <f t="shared" si="85"/>
        <v>0.15680680601241248</v>
      </c>
    </row>
    <row r="672" spans="1:17" x14ac:dyDescent="0.35">
      <c r="A672" s="13">
        <v>43340</v>
      </c>
      <c r="B672" s="14">
        <v>5484.99</v>
      </c>
      <c r="C672" s="2">
        <f t="shared" si="80"/>
        <v>1.0749940683687509E-3</v>
      </c>
      <c r="D672" s="2">
        <f t="shared" si="81"/>
        <v>2.8347967557507497E-2</v>
      </c>
      <c r="E672" s="3">
        <f t="shared" si="82"/>
        <v>-2.7272973489138746E-2</v>
      </c>
      <c r="F672">
        <f t="shared" si="86"/>
        <v>4.7238701261468771E-2</v>
      </c>
      <c r="G672">
        <f t="shared" si="83"/>
        <v>-0.57734384648259829</v>
      </c>
      <c r="H672">
        <f t="shared" si="87"/>
        <v>-0.56575289271471851</v>
      </c>
      <c r="P672" s="33">
        <f t="shared" si="84"/>
        <v>-6.1233020933937343E-4</v>
      </c>
      <c r="Q672" s="33">
        <f t="shared" si="85"/>
        <v>25.37034788529029</v>
      </c>
    </row>
    <row r="673" spans="1:17" x14ac:dyDescent="0.35">
      <c r="A673" s="13">
        <v>43341</v>
      </c>
      <c r="B673" s="14">
        <v>5501.33</v>
      </c>
      <c r="C673" s="2">
        <f t="shared" si="80"/>
        <v>2.9790391595974075E-3</v>
      </c>
      <c r="D673" s="2">
        <f t="shared" si="81"/>
        <v>1.0694839017409356E-2</v>
      </c>
      <c r="E673" s="3">
        <f t="shared" si="82"/>
        <v>-7.7157998578119488E-3</v>
      </c>
      <c r="F673">
        <f t="shared" si="86"/>
        <v>0.57285541468792833</v>
      </c>
      <c r="G673">
        <f t="shared" si="83"/>
        <v>-1.3469017940618135E-2</v>
      </c>
      <c r="H673">
        <f t="shared" si="87"/>
        <v>-0.39918064140119985</v>
      </c>
      <c r="P673" s="33">
        <f t="shared" si="84"/>
        <v>1.2917148818892832E-3</v>
      </c>
      <c r="Q673" s="33">
        <f t="shared" si="85"/>
        <v>2.5900296855630041</v>
      </c>
    </row>
    <row r="674" spans="1:17" x14ac:dyDescent="0.35">
      <c r="A674" s="13">
        <v>43342</v>
      </c>
      <c r="B674" s="14">
        <v>5478.06</v>
      </c>
      <c r="C674" s="2">
        <f t="shared" si="80"/>
        <v>-4.2298862275121918E-3</v>
      </c>
      <c r="D674" s="2">
        <f t="shared" si="81"/>
        <v>1.0044346961418527E-2</v>
      </c>
      <c r="E674" s="3">
        <f t="shared" si="82"/>
        <v>-1.4274233188930719E-2</v>
      </c>
      <c r="F674">
        <f t="shared" si="86"/>
        <v>8.1659977954520485E-2</v>
      </c>
      <c r="G674">
        <f t="shared" si="83"/>
        <v>-0.17480084548737665</v>
      </c>
      <c r="H674">
        <f t="shared" si="87"/>
        <v>-0.4143676019706084</v>
      </c>
      <c r="P674" s="33">
        <f t="shared" si="84"/>
        <v>-5.9172105052203161E-3</v>
      </c>
      <c r="Q674" s="33">
        <f t="shared" si="85"/>
        <v>3.37461397805163</v>
      </c>
    </row>
    <row r="675" spans="1:17" x14ac:dyDescent="0.35">
      <c r="A675" s="13">
        <v>43343</v>
      </c>
      <c r="B675" s="14">
        <v>5406.85</v>
      </c>
      <c r="C675" s="2">
        <f t="shared" si="80"/>
        <v>-1.2999127428323209E-2</v>
      </c>
      <c r="D675" s="2">
        <f t="shared" si="81"/>
        <v>-1.0372385076515703E-2</v>
      </c>
      <c r="E675" s="3">
        <f t="shared" si="82"/>
        <v>-2.6267423518075064E-3</v>
      </c>
      <c r="F675">
        <f t="shared" si="86"/>
        <v>0.17591122965637337</v>
      </c>
      <c r="G675">
        <f t="shared" si="83"/>
        <v>-1.493220391295433E-2</v>
      </c>
      <c r="H675">
        <f t="shared" si="87"/>
        <v>-0.39920141953590654</v>
      </c>
      <c r="P675" s="33">
        <f t="shared" si="84"/>
        <v>-1.4686451706031334E-2</v>
      </c>
      <c r="Q675" s="33">
        <f t="shared" si="85"/>
        <v>0.20207066714987473</v>
      </c>
    </row>
    <row r="676" spans="1:17" x14ac:dyDescent="0.35">
      <c r="A676" s="13">
        <v>43346</v>
      </c>
      <c r="B676" s="14">
        <v>5413.8</v>
      </c>
      <c r="C676" s="2">
        <f t="shared" si="80"/>
        <v>1.2854064751195438E-3</v>
      </c>
      <c r="D676" s="2">
        <f t="shared" si="81"/>
        <v>-4.3430942274359514E-2</v>
      </c>
      <c r="E676" s="3">
        <f t="shared" si="82"/>
        <v>4.4716348749479058E-2</v>
      </c>
      <c r="F676">
        <f t="shared" si="86"/>
        <v>3.9747856431853648E-2</v>
      </c>
      <c r="G676">
        <f t="shared" si="83"/>
        <v>1.1250002582187979</v>
      </c>
      <c r="H676">
        <f t="shared" si="87"/>
        <v>-1.0319027246752386</v>
      </c>
      <c r="P676" s="33">
        <f t="shared" si="84"/>
        <v>-4.0191780258858056E-4</v>
      </c>
      <c r="Q676" s="33">
        <f t="shared" si="85"/>
        <v>34.787710825340604</v>
      </c>
    </row>
    <row r="677" spans="1:17" x14ac:dyDescent="0.35">
      <c r="A677" s="13">
        <v>43347</v>
      </c>
      <c r="B677" s="14">
        <v>5342.7</v>
      </c>
      <c r="C677" s="2">
        <f t="shared" si="80"/>
        <v>-1.3133104289039244E-2</v>
      </c>
      <c r="D677" s="2">
        <f t="shared" si="81"/>
        <v>-7.2882935608259798E-3</v>
      </c>
      <c r="E677" s="3">
        <f t="shared" si="82"/>
        <v>-5.8448107282132638E-3</v>
      </c>
      <c r="F677">
        <f t="shared" si="86"/>
        <v>1.1151643805894131</v>
      </c>
      <c r="G677">
        <f t="shared" si="83"/>
        <v>-5.2412100224399436E-3</v>
      </c>
      <c r="H677">
        <f t="shared" si="87"/>
        <v>-0.39910366932030716</v>
      </c>
      <c r="P677" s="33">
        <f t="shared" si="84"/>
        <v>-1.4820428566747368E-2</v>
      </c>
      <c r="Q677" s="33">
        <f t="shared" si="85"/>
        <v>0.44504411139804045</v>
      </c>
    </row>
    <row r="678" spans="1:17" x14ac:dyDescent="0.35">
      <c r="A678" s="13">
        <v>43348</v>
      </c>
      <c r="B678" s="14">
        <v>5260.22</v>
      </c>
      <c r="C678" s="2">
        <f t="shared" si="80"/>
        <v>-1.5437887210586365E-2</v>
      </c>
      <c r="D678" s="2">
        <f t="shared" si="81"/>
        <v>-3.9079710459559804E-2</v>
      </c>
      <c r="E678" s="3">
        <f t="shared" si="82"/>
        <v>2.3641823248973438E-2</v>
      </c>
      <c r="F678">
        <f t="shared" si="86"/>
        <v>0.14938287119470539</v>
      </c>
      <c r="G678">
        <f t="shared" si="83"/>
        <v>0.15826328052135727</v>
      </c>
      <c r="H678">
        <f t="shared" si="87"/>
        <v>-0.41161356715974845</v>
      </c>
      <c r="P678" s="33">
        <f t="shared" si="84"/>
        <v>-1.7125211488294489E-2</v>
      </c>
      <c r="Q678" s="33">
        <f t="shared" si="85"/>
        <v>1.5314157259007122</v>
      </c>
    </row>
    <row r="679" spans="1:17" x14ac:dyDescent="0.35">
      <c r="A679" s="13">
        <v>43349</v>
      </c>
      <c r="B679" s="14">
        <v>5243.84</v>
      </c>
      <c r="C679" s="2">
        <f t="shared" si="80"/>
        <v>-3.1139382003034788E-3</v>
      </c>
      <c r="D679" s="2">
        <f t="shared" si="81"/>
        <v>-5.8579870282905934E-2</v>
      </c>
      <c r="E679" s="3">
        <f t="shared" si="82"/>
        <v>5.5465932082602455E-2</v>
      </c>
      <c r="F679">
        <f t="shared" si="86"/>
        <v>0.16064348306693393</v>
      </c>
      <c r="G679">
        <f t="shared" si="83"/>
        <v>0.34527346533872116</v>
      </c>
      <c r="H679">
        <f t="shared" si="87"/>
        <v>-0.45869681711256205</v>
      </c>
      <c r="P679" s="33">
        <f t="shared" si="84"/>
        <v>-4.8012624780116031E-3</v>
      </c>
      <c r="Q679" s="33">
        <f t="shared" si="85"/>
        <v>17.812149283244235</v>
      </c>
    </row>
    <row r="680" spans="1:17" x14ac:dyDescent="0.35">
      <c r="A680" s="13">
        <v>43350</v>
      </c>
      <c r="B680" s="14">
        <v>5252.22</v>
      </c>
      <c r="C680" s="2">
        <f t="shared" si="80"/>
        <v>1.5980655397571653E-3</v>
      </c>
      <c r="D680" s="2">
        <f t="shared" si="81"/>
        <v>-2.285630631445023E-2</v>
      </c>
      <c r="E680" s="3">
        <f t="shared" si="82"/>
        <v>2.4454371854207395E-2</v>
      </c>
      <c r="F680">
        <f t="shared" si="86"/>
        <v>0.34399145995140307</v>
      </c>
      <c r="G680">
        <f t="shared" si="83"/>
        <v>7.1090055135851787E-2</v>
      </c>
      <c r="H680">
        <f t="shared" si="87"/>
        <v>-0.40161683214866672</v>
      </c>
      <c r="P680" s="33">
        <f t="shared" si="84"/>
        <v>-8.9258737950959066E-5</v>
      </c>
      <c r="Q680" s="33">
        <f t="shared" si="85"/>
        <v>15.302483687823823</v>
      </c>
    </row>
    <row r="681" spans="1:17" x14ac:dyDescent="0.35">
      <c r="A681" s="13">
        <v>43353</v>
      </c>
      <c r="B681" s="14">
        <v>5269.63</v>
      </c>
      <c r="C681" s="2">
        <f t="shared" si="80"/>
        <v>3.3147887940718768E-3</v>
      </c>
      <c r="D681" s="2">
        <f t="shared" si="81"/>
        <v>2.2021433027043995E-3</v>
      </c>
      <c r="E681" s="3">
        <f t="shared" si="82"/>
        <v>1.1126454913674773E-3</v>
      </c>
      <c r="F681">
        <f t="shared" si="86"/>
        <v>8.8495264195831772E-2</v>
      </c>
      <c r="G681">
        <f t="shared" si="83"/>
        <v>1.2572938241139057E-2</v>
      </c>
      <c r="H681">
        <f t="shared" si="87"/>
        <v>-0.39916897356706527</v>
      </c>
      <c r="P681" s="33">
        <f t="shared" si="84"/>
        <v>1.6274645163637524E-3</v>
      </c>
      <c r="Q681" s="33">
        <f t="shared" si="85"/>
        <v>0.33566105127340762</v>
      </c>
    </row>
    <row r="682" spans="1:17" x14ac:dyDescent="0.35">
      <c r="A682" s="13">
        <v>43354</v>
      </c>
      <c r="B682" s="14">
        <v>5283.79</v>
      </c>
      <c r="C682" s="2">
        <f t="shared" si="80"/>
        <v>2.6870956784441624E-3</v>
      </c>
      <c r="D682" s="2">
        <f t="shared" si="81"/>
        <v>1.1523349093327169E-2</v>
      </c>
      <c r="E682" s="3">
        <f t="shared" si="82"/>
        <v>-8.8362534148830069E-3</v>
      </c>
      <c r="F682">
        <f t="shared" si="86"/>
        <v>3.342594626528464E-2</v>
      </c>
      <c r="G682">
        <f t="shared" si="83"/>
        <v>-0.26435312690190377</v>
      </c>
      <c r="H682">
        <f t="shared" si="87"/>
        <v>-0.43403122203046451</v>
      </c>
      <c r="P682" s="33">
        <f t="shared" si="84"/>
        <v>9.997714007360381E-4</v>
      </c>
      <c r="Q682" s="33">
        <f t="shared" si="85"/>
        <v>3.2884029719400343</v>
      </c>
    </row>
    <row r="683" spans="1:17" x14ac:dyDescent="0.35">
      <c r="A683" s="13">
        <v>43355</v>
      </c>
      <c r="B683" s="14">
        <v>5332.13</v>
      </c>
      <c r="C683" s="2">
        <f t="shared" si="80"/>
        <v>9.1487360398501139E-3</v>
      </c>
      <c r="D683" s="2">
        <f t="shared" si="81"/>
        <v>1.1084515816423762E-2</v>
      </c>
      <c r="E683" s="3">
        <f t="shared" si="82"/>
        <v>-1.9357797765736477E-3</v>
      </c>
      <c r="F683">
        <f t="shared" si="86"/>
        <v>0.26356211925780282</v>
      </c>
      <c r="G683">
        <f t="shared" si="83"/>
        <v>-7.3446813298695939E-3</v>
      </c>
      <c r="H683">
        <f t="shared" si="87"/>
        <v>-0.39911690635097619</v>
      </c>
      <c r="P683" s="33">
        <f t="shared" si="84"/>
        <v>7.4614117621419895E-3</v>
      </c>
      <c r="Q683" s="33">
        <f t="shared" si="85"/>
        <v>0.21158985986061546</v>
      </c>
    </row>
    <row r="684" spans="1:17" x14ac:dyDescent="0.35">
      <c r="A684" s="13">
        <v>43356</v>
      </c>
      <c r="B684" s="14">
        <v>5328.12</v>
      </c>
      <c r="C684" s="2">
        <f t="shared" si="80"/>
        <v>-7.5204468008094327E-4</v>
      </c>
      <c r="D684" s="2">
        <f t="shared" si="81"/>
        <v>3.0316282318880838E-2</v>
      </c>
      <c r="E684" s="3">
        <f t="shared" si="82"/>
        <v>-3.1068326998961782E-2</v>
      </c>
      <c r="F684">
        <f t="shared" si="86"/>
        <v>4.5592623538452358E-2</v>
      </c>
      <c r="G684">
        <f t="shared" si="83"/>
        <v>-0.68143319220836385</v>
      </c>
      <c r="H684">
        <f t="shared" si="87"/>
        <v>-0.63126553190069801</v>
      </c>
      <c r="P684" s="33">
        <f t="shared" si="84"/>
        <v>-2.4393689577890676E-3</v>
      </c>
      <c r="Q684" s="33">
        <f t="shared" si="85"/>
        <v>41.311810085030942</v>
      </c>
    </row>
    <row r="685" spans="1:17" x14ac:dyDescent="0.35">
      <c r="A685" s="13">
        <v>43357</v>
      </c>
      <c r="B685" s="14">
        <v>5352.57</v>
      </c>
      <c r="C685" s="2">
        <f t="shared" si="80"/>
        <v>4.588860611247414E-3</v>
      </c>
      <c r="D685" s="2">
        <f t="shared" si="81"/>
        <v>5.5965127184579959E-3</v>
      </c>
      <c r="E685" s="3">
        <f t="shared" si="82"/>
        <v>-1.0076521072105819E-3</v>
      </c>
      <c r="F685">
        <f t="shared" si="86"/>
        <v>0.67588197501741176</v>
      </c>
      <c r="G685">
        <f t="shared" si="83"/>
        <v>-1.4908699217561221E-3</v>
      </c>
      <c r="H685">
        <f t="shared" si="87"/>
        <v>-0.3990910455256193</v>
      </c>
      <c r="P685" s="33">
        <f t="shared" si="84"/>
        <v>2.9015363335392896E-3</v>
      </c>
      <c r="Q685" s="33">
        <f t="shared" si="85"/>
        <v>0.21958655809697095</v>
      </c>
    </row>
    <row r="686" spans="1:17" x14ac:dyDescent="0.35">
      <c r="A686" s="13">
        <v>43360</v>
      </c>
      <c r="B686" s="14">
        <v>5348.87</v>
      </c>
      <c r="C686" s="2">
        <f t="shared" si="80"/>
        <v>-6.9125672340575317E-4</v>
      </c>
      <c r="D686" s="2">
        <f t="shared" si="81"/>
        <v>1.3393415163869E-2</v>
      </c>
      <c r="E686" s="3">
        <f t="shared" si="82"/>
        <v>-1.4084671887274754E-2</v>
      </c>
      <c r="F686">
        <f t="shared" si="86"/>
        <v>9.3341516097714655E-2</v>
      </c>
      <c r="G686">
        <f t="shared" si="83"/>
        <v>-0.15089396954437939</v>
      </c>
      <c r="H686">
        <f t="shared" si="87"/>
        <v>-0.41047442920148758</v>
      </c>
      <c r="P686" s="33">
        <f t="shared" si="84"/>
        <v>-2.3785810011138775E-3</v>
      </c>
      <c r="Q686" s="33">
        <f t="shared" si="85"/>
        <v>20.375457352343677</v>
      </c>
    </row>
    <row r="687" spans="1:17" x14ac:dyDescent="0.35">
      <c r="A687" s="13">
        <v>43361</v>
      </c>
      <c r="B687" s="14">
        <v>5363.79</v>
      </c>
      <c r="C687" s="2">
        <f t="shared" si="80"/>
        <v>2.7893742042712777E-3</v>
      </c>
      <c r="D687" s="2">
        <f t="shared" si="81"/>
        <v>1.8461005137144896E-3</v>
      </c>
      <c r="E687" s="3">
        <f t="shared" si="82"/>
        <v>9.4327369055678808E-4</v>
      </c>
      <c r="F687">
        <f t="shared" si="86"/>
        <v>0.15275636329699122</v>
      </c>
      <c r="G687">
        <f t="shared" si="83"/>
        <v>6.1750206027284191E-3</v>
      </c>
      <c r="H687">
        <f t="shared" si="87"/>
        <v>-0.3991089996187796</v>
      </c>
      <c r="P687" s="33">
        <f t="shared" si="84"/>
        <v>1.1020499265631534E-3</v>
      </c>
      <c r="Q687" s="33">
        <f t="shared" si="85"/>
        <v>0.33816677916945809</v>
      </c>
    </row>
    <row r="688" spans="1:17" x14ac:dyDescent="0.35">
      <c r="A688" s="13">
        <v>43362</v>
      </c>
      <c r="B688" s="14">
        <v>5393.74</v>
      </c>
      <c r="C688" s="2">
        <f t="shared" si="80"/>
        <v>5.583738364104418E-3</v>
      </c>
      <c r="D688" s="2">
        <f t="shared" si="81"/>
        <v>7.9391796046639693E-3</v>
      </c>
      <c r="E688" s="3">
        <f t="shared" si="82"/>
        <v>-2.3554412405595512E-3</v>
      </c>
      <c r="F688">
        <f t="shared" si="86"/>
        <v>3.5595795192709424E-2</v>
      </c>
      <c r="G688">
        <f t="shared" si="83"/>
        <v>-6.6171895523266258E-2</v>
      </c>
      <c r="H688">
        <f t="shared" si="87"/>
        <v>-0.40127929405762858</v>
      </c>
      <c r="P688" s="33">
        <f t="shared" si="84"/>
        <v>3.8964140863962937E-3</v>
      </c>
      <c r="Q688" s="33">
        <f t="shared" si="85"/>
        <v>0.42183947150921763</v>
      </c>
    </row>
    <row r="689" spans="1:17" x14ac:dyDescent="0.35">
      <c r="A689" s="13">
        <v>43363</v>
      </c>
      <c r="B689" s="14">
        <v>5451.59</v>
      </c>
      <c r="C689" s="2">
        <f t="shared" si="80"/>
        <v>1.0725396478139526E-2</v>
      </c>
      <c r="D689" s="2">
        <f t="shared" si="81"/>
        <v>1.9495121505092736E-2</v>
      </c>
      <c r="E689" s="3">
        <f t="shared" si="82"/>
        <v>-8.7697250269532095E-3</v>
      </c>
      <c r="F689">
        <f t="shared" si="86"/>
        <v>7.1751809487455437E-2</v>
      </c>
      <c r="G689">
        <f t="shared" si="83"/>
        <v>-0.12222305039549483</v>
      </c>
      <c r="H689">
        <f t="shared" si="87"/>
        <v>-0.40655917120304735</v>
      </c>
      <c r="P689" s="33">
        <f t="shared" si="84"/>
        <v>9.0380722004314018E-3</v>
      </c>
      <c r="Q689" s="33">
        <f t="shared" si="85"/>
        <v>0.81765975223644549</v>
      </c>
    </row>
    <row r="690" spans="1:17" x14ac:dyDescent="0.35">
      <c r="A690" s="13">
        <v>43364</v>
      </c>
      <c r="B690" s="14">
        <v>5494.17</v>
      </c>
      <c r="C690" s="2">
        <f t="shared" si="80"/>
        <v>7.8105653579965129E-3</v>
      </c>
      <c r="D690" s="2">
        <f t="shared" si="81"/>
        <v>3.7641715394553063E-2</v>
      </c>
      <c r="E690" s="3">
        <f t="shared" si="82"/>
        <v>-2.983115003655655E-2</v>
      </c>
      <c r="F690">
        <f t="shared" si="86"/>
        <v>0.12483625243203618</v>
      </c>
      <c r="G690">
        <f t="shared" si="83"/>
        <v>-0.23896223617251997</v>
      </c>
      <c r="H690">
        <f t="shared" si="87"/>
        <v>-0.42764140933734313</v>
      </c>
      <c r="P690" s="33">
        <f t="shared" si="84"/>
        <v>6.1232410802883885E-3</v>
      </c>
      <c r="Q690" s="33">
        <f t="shared" si="85"/>
        <v>3.8193330020617782</v>
      </c>
    </row>
    <row r="691" spans="1:17" x14ac:dyDescent="0.35">
      <c r="A691" s="13">
        <v>43367</v>
      </c>
      <c r="B691" s="14">
        <v>5476.17</v>
      </c>
      <c r="C691" s="2">
        <f t="shared" si="80"/>
        <v>-3.2762000447746908E-3</v>
      </c>
      <c r="D691" s="2">
        <f t="shared" si="81"/>
        <v>3.3160544418761602E-2</v>
      </c>
      <c r="E691" s="3">
        <f t="shared" si="82"/>
        <v>-3.6436744463536293E-2</v>
      </c>
      <c r="F691">
        <f t="shared" si="86"/>
        <v>0.2390944156666325</v>
      </c>
      <c r="G691">
        <f t="shared" si="83"/>
        <v>-0.1523947950099335</v>
      </c>
      <c r="H691">
        <f t="shared" si="87"/>
        <v>-0.41070202095211733</v>
      </c>
      <c r="P691" s="33">
        <f t="shared" si="84"/>
        <v>-4.9635243224828152E-3</v>
      </c>
      <c r="Q691" s="33">
        <f t="shared" si="85"/>
        <v>11.121648240512767</v>
      </c>
    </row>
    <row r="692" spans="1:17" x14ac:dyDescent="0.35">
      <c r="A692" s="13">
        <v>43368</v>
      </c>
      <c r="B692" s="14">
        <v>5479.1</v>
      </c>
      <c r="C692" s="2">
        <f t="shared" si="80"/>
        <v>5.3504547886573661E-4</v>
      </c>
      <c r="D692" s="2">
        <f t="shared" si="81"/>
        <v>-3.2830122139566268E-3</v>
      </c>
      <c r="E692" s="3">
        <f t="shared" si="82"/>
        <v>3.8180576928223634E-3</v>
      </c>
      <c r="F692">
        <f t="shared" si="86"/>
        <v>0.15690011808736751</v>
      </c>
      <c r="G692">
        <f t="shared" si="83"/>
        <v>2.4334320071679835E-2</v>
      </c>
      <c r="H692">
        <f t="shared" si="87"/>
        <v>-0.39938601374573302</v>
      </c>
      <c r="P692" s="33">
        <f t="shared" si="84"/>
        <v>-1.1522787988423877E-3</v>
      </c>
      <c r="Q692" s="33">
        <f t="shared" si="85"/>
        <v>7.1359498278845566</v>
      </c>
    </row>
    <row r="693" spans="1:17" x14ac:dyDescent="0.35">
      <c r="A693" s="13">
        <v>43369</v>
      </c>
      <c r="B693" s="14">
        <v>5512.73</v>
      </c>
      <c r="C693" s="2">
        <f t="shared" si="80"/>
        <v>6.1378693581060073E-3</v>
      </c>
      <c r="D693" s="2">
        <f t="shared" si="81"/>
        <v>-1.1909426554490535E-3</v>
      </c>
      <c r="E693" s="3">
        <f t="shared" si="82"/>
        <v>7.3288120135550604E-3</v>
      </c>
      <c r="F693">
        <f t="shared" si="86"/>
        <v>4.2816041890579443E-2</v>
      </c>
      <c r="G693">
        <f t="shared" si="83"/>
        <v>0.17116976931881167</v>
      </c>
      <c r="H693">
        <f t="shared" si="87"/>
        <v>-0.4137394791433851</v>
      </c>
      <c r="P693" s="33">
        <f t="shared" si="84"/>
        <v>4.450545080397883E-3</v>
      </c>
      <c r="Q693" s="33">
        <f t="shared" si="85"/>
        <v>1.1940319329013136</v>
      </c>
    </row>
    <row r="694" spans="1:17" x14ac:dyDescent="0.35">
      <c r="A694" s="13">
        <v>43370</v>
      </c>
      <c r="B694" s="14">
        <v>5540.41</v>
      </c>
      <c r="C694" s="2">
        <f t="shared" si="80"/>
        <v>5.0211056953632927E-3</v>
      </c>
      <c r="D694" s="2">
        <f t="shared" si="81"/>
        <v>1.9244740954009028E-2</v>
      </c>
      <c r="E694" s="3">
        <f t="shared" si="82"/>
        <v>-1.4223635258645735E-2</v>
      </c>
      <c r="F694">
        <f t="shared" si="86"/>
        <v>0.17212725221482669</v>
      </c>
      <c r="G694">
        <f t="shared" si="83"/>
        <v>-8.2634417709135655E-2</v>
      </c>
      <c r="H694">
        <f t="shared" si="87"/>
        <v>-0.40250415767412151</v>
      </c>
      <c r="P694" s="33">
        <f t="shared" si="84"/>
        <v>3.3337814176551683E-3</v>
      </c>
      <c r="Q694" s="33">
        <f t="shared" si="85"/>
        <v>2.8327695375503565</v>
      </c>
    </row>
    <row r="695" spans="1:17" x14ac:dyDescent="0.35">
      <c r="A695" s="13">
        <v>43371</v>
      </c>
      <c r="B695" s="14">
        <v>5493.49</v>
      </c>
      <c r="C695" s="2">
        <f t="shared" si="80"/>
        <v>-8.4686873354138381E-3</v>
      </c>
      <c r="D695" s="2">
        <f t="shared" si="81"/>
        <v>2.0664053669269194E-2</v>
      </c>
      <c r="E695" s="3">
        <f t="shared" si="82"/>
        <v>-2.9132741004683032E-2</v>
      </c>
      <c r="F695">
        <f t="shared" si="86"/>
        <v>8.9683800814174292E-2</v>
      </c>
      <c r="G695">
        <f t="shared" si="83"/>
        <v>-0.32483838486112288</v>
      </c>
      <c r="H695">
        <f t="shared" si="87"/>
        <v>-0.45184992231864901</v>
      </c>
      <c r="P695" s="33">
        <f t="shared" si="84"/>
        <v>-1.0156011613121962E-2</v>
      </c>
      <c r="Q695" s="33">
        <f t="shared" si="85"/>
        <v>3.440053912825134</v>
      </c>
    </row>
    <row r="696" spans="1:17" x14ac:dyDescent="0.35">
      <c r="A696" s="13">
        <v>43374</v>
      </c>
      <c r="B696" s="14">
        <v>5506.82</v>
      </c>
      <c r="C696" s="2">
        <f t="shared" si="80"/>
        <v>2.4265084672949744E-3</v>
      </c>
      <c r="D696" s="2">
        <f t="shared" si="81"/>
        <v>-2.1580917468006125E-2</v>
      </c>
      <c r="E696" s="3">
        <f t="shared" si="82"/>
        <v>2.4007425935301099E-2</v>
      </c>
      <c r="F696">
        <f t="shared" si="86"/>
        <v>0.32338434027940893</v>
      </c>
      <c r="G696">
        <f t="shared" si="83"/>
        <v>7.4238059624527036E-2</v>
      </c>
      <c r="H696">
        <f t="shared" si="87"/>
        <v>-0.40184557892746492</v>
      </c>
      <c r="P696" s="33">
        <f t="shared" si="84"/>
        <v>7.3918418958685006E-4</v>
      </c>
      <c r="Q696" s="33">
        <f t="shared" si="85"/>
        <v>9.8938150263551812</v>
      </c>
    </row>
    <row r="697" spans="1:17" x14ac:dyDescent="0.35">
      <c r="A697" s="13">
        <v>43375</v>
      </c>
      <c r="B697" s="14">
        <v>5467.89</v>
      </c>
      <c r="C697" s="2">
        <f t="shared" si="80"/>
        <v>-7.069415742660845E-3</v>
      </c>
      <c r="D697" s="2">
        <f t="shared" si="81"/>
        <v>1.1468071745700855E-4</v>
      </c>
      <c r="E697" s="3">
        <f t="shared" si="82"/>
        <v>-7.1840964601178536E-3</v>
      </c>
      <c r="F697">
        <f t="shared" si="86"/>
        <v>8.9684413400026031E-2</v>
      </c>
      <c r="G697">
        <f t="shared" si="83"/>
        <v>-8.0104180735108291E-2</v>
      </c>
      <c r="H697">
        <f t="shared" si="87"/>
        <v>-0.402298274064679</v>
      </c>
      <c r="P697" s="33">
        <f t="shared" si="84"/>
        <v>-8.7567400203689694E-3</v>
      </c>
      <c r="Q697" s="33">
        <f t="shared" si="85"/>
        <v>1.016222092692181</v>
      </c>
    </row>
    <row r="698" spans="1:17" x14ac:dyDescent="0.35">
      <c r="A698" s="13">
        <v>43376</v>
      </c>
      <c r="B698" s="14">
        <v>5491.4</v>
      </c>
      <c r="C698" s="2">
        <f t="shared" si="80"/>
        <v>4.299647578864807E-3</v>
      </c>
      <c r="D698" s="2">
        <f t="shared" si="81"/>
        <v>-1.9538780197034689E-2</v>
      </c>
      <c r="E698" s="3">
        <f t="shared" si="82"/>
        <v>2.3838427775899496E-2</v>
      </c>
      <c r="F698">
        <f t="shared" si="86"/>
        <v>8.5242993488130442E-2</v>
      </c>
      <c r="G698">
        <f t="shared" si="83"/>
        <v>0.27965263537136165</v>
      </c>
      <c r="H698">
        <f t="shared" si="87"/>
        <v>-0.43819273241413143</v>
      </c>
      <c r="P698" s="33">
        <f t="shared" si="84"/>
        <v>2.6123233011566827E-3</v>
      </c>
      <c r="Q698" s="33">
        <f t="shared" si="85"/>
        <v>5.544274812912299</v>
      </c>
    </row>
    <row r="699" spans="1:17" x14ac:dyDescent="0.35">
      <c r="A699" s="13">
        <v>43377</v>
      </c>
      <c r="B699" s="14">
        <v>5410.85</v>
      </c>
      <c r="C699" s="2">
        <f t="shared" si="80"/>
        <v>-1.4668390574352541E-2</v>
      </c>
      <c r="D699" s="2">
        <f t="shared" si="81"/>
        <v>7.0547401590095038E-3</v>
      </c>
      <c r="E699" s="3">
        <f t="shared" si="82"/>
        <v>-2.1723130733362045E-2</v>
      </c>
      <c r="F699">
        <f t="shared" si="86"/>
        <v>0.27882541487749712</v>
      </c>
      <c r="G699">
        <f t="shared" si="83"/>
        <v>-7.7909435705156849E-2</v>
      </c>
      <c r="H699">
        <f t="shared" si="87"/>
        <v>-0.40212487426500548</v>
      </c>
      <c r="P699" s="33">
        <f t="shared" si="84"/>
        <v>-1.6355714852060665E-2</v>
      </c>
      <c r="Q699" s="33">
        <f t="shared" si="85"/>
        <v>1.4809484805609561</v>
      </c>
    </row>
    <row r="700" spans="1:17" x14ac:dyDescent="0.35">
      <c r="A700" s="13">
        <v>43378</v>
      </c>
      <c r="B700" s="14">
        <v>5359.36</v>
      </c>
      <c r="C700" s="2">
        <f t="shared" si="80"/>
        <v>-9.5160649435857003E-3</v>
      </c>
      <c r="D700" s="2">
        <f t="shared" si="81"/>
        <v>-4.1175805489735998E-2</v>
      </c>
      <c r="E700" s="3">
        <f t="shared" si="82"/>
        <v>3.1659740546150297E-2</v>
      </c>
      <c r="F700">
        <f t="shared" si="86"/>
        <v>9.0159285957783802E-2</v>
      </c>
      <c r="G700">
        <f t="shared" si="83"/>
        <v>0.35115340821326668</v>
      </c>
      <c r="H700">
        <f t="shared" si="87"/>
        <v>-0.46074429222895408</v>
      </c>
      <c r="P700" s="33">
        <f t="shared" si="84"/>
        <v>-1.1203389221293825E-2</v>
      </c>
      <c r="Q700" s="33">
        <f t="shared" si="85"/>
        <v>3.326978192544864</v>
      </c>
    </row>
    <row r="701" spans="1:17" x14ac:dyDescent="0.35">
      <c r="A701" s="13">
        <v>43381</v>
      </c>
      <c r="B701" s="14">
        <v>5300.25</v>
      </c>
      <c r="C701" s="2">
        <f t="shared" si="80"/>
        <v>-1.1029302006209663E-2</v>
      </c>
      <c r="D701" s="2">
        <f t="shared" si="81"/>
        <v>-4.178353611815365E-2</v>
      </c>
      <c r="E701" s="3">
        <f t="shared" si="82"/>
        <v>3.0754234111943987E-2</v>
      </c>
      <c r="F701">
        <f t="shared" si="86"/>
        <v>0.34935075081018041</v>
      </c>
      <c r="G701">
        <f t="shared" si="83"/>
        <v>8.8032540478650029E-2</v>
      </c>
      <c r="H701">
        <f t="shared" si="87"/>
        <v>-0.40296479827062009</v>
      </c>
      <c r="P701" s="33">
        <f t="shared" si="84"/>
        <v>-1.2716626283917787E-2</v>
      </c>
      <c r="Q701" s="33">
        <f t="shared" si="85"/>
        <v>2.7884116415190094</v>
      </c>
    </row>
    <row r="702" spans="1:17" x14ac:dyDescent="0.35">
      <c r="A702" s="13">
        <v>43382</v>
      </c>
      <c r="B702" s="14">
        <v>5318.55</v>
      </c>
      <c r="C702" s="2">
        <f t="shared" si="80"/>
        <v>3.4526673270129926E-3</v>
      </c>
      <c r="D702" s="2">
        <f t="shared" si="81"/>
        <v>-4.1966399087104256E-2</v>
      </c>
      <c r="E702" s="3">
        <f t="shared" si="82"/>
        <v>4.5419066414117248E-2</v>
      </c>
      <c r="F702">
        <f t="shared" si="86"/>
        <v>0.1026777264582221</v>
      </c>
      <c r="G702">
        <f t="shared" si="83"/>
        <v>0.44234585221944439</v>
      </c>
      <c r="H702">
        <f t="shared" si="87"/>
        <v>-0.49692486066693081</v>
      </c>
      <c r="P702" s="33">
        <f t="shared" si="84"/>
        <v>1.7653430493048683E-3</v>
      </c>
      <c r="Q702" s="33">
        <f t="shared" si="85"/>
        <v>13.154776325760485</v>
      </c>
    </row>
    <row r="703" spans="1:17" x14ac:dyDescent="0.35">
      <c r="A703" s="13">
        <v>43383</v>
      </c>
      <c r="B703" s="14">
        <v>5206.22</v>
      </c>
      <c r="C703" s="2">
        <f t="shared" si="80"/>
        <v>-2.112041815908472E-2</v>
      </c>
      <c r="D703" s="2">
        <f t="shared" si="81"/>
        <v>1.0443704876417215E-3</v>
      </c>
      <c r="E703" s="3">
        <f t="shared" si="82"/>
        <v>-2.2164788646726441E-2</v>
      </c>
      <c r="F703">
        <f t="shared" si="86"/>
        <v>0.43947711078397683</v>
      </c>
      <c r="G703">
        <f t="shared" si="83"/>
        <v>-5.0434455180582663E-2</v>
      </c>
      <c r="H703">
        <f t="shared" si="87"/>
        <v>-0.40036175131373863</v>
      </c>
      <c r="P703" s="33">
        <f t="shared" si="84"/>
        <v>-2.2807742436792844E-2</v>
      </c>
      <c r="Q703" s="33">
        <f t="shared" si="85"/>
        <v>1.0494483811719655</v>
      </c>
    </row>
    <row r="704" spans="1:17" x14ac:dyDescent="0.35">
      <c r="A704" s="13">
        <v>43384</v>
      </c>
      <c r="B704" s="14">
        <v>5106.37</v>
      </c>
      <c r="C704" s="2">
        <f t="shared" si="80"/>
        <v>-1.9178982063762229E-2</v>
      </c>
      <c r="D704" s="2">
        <f t="shared" si="81"/>
        <v>-6.1651206126913195E-2</v>
      </c>
      <c r="E704" s="3">
        <f t="shared" si="82"/>
        <v>4.2472224063150966E-2</v>
      </c>
      <c r="F704">
        <f t="shared" si="86"/>
        <v>8.1594623572312314E-2</v>
      </c>
      <c r="G704">
        <f t="shared" si="83"/>
        <v>0.52052723823782876</v>
      </c>
      <c r="H704">
        <f t="shared" si="87"/>
        <v>-0.5345642370528082</v>
      </c>
      <c r="P704" s="33">
        <f t="shared" si="84"/>
        <v>-2.0866306341470353E-2</v>
      </c>
      <c r="Q704" s="33">
        <f t="shared" si="85"/>
        <v>2.2145192024242104</v>
      </c>
    </row>
    <row r="705" spans="1:17" x14ac:dyDescent="0.35">
      <c r="A705" s="13">
        <v>43385</v>
      </c>
      <c r="B705" s="14">
        <v>5095.9799999999996</v>
      </c>
      <c r="C705" s="2">
        <f t="shared" si="80"/>
        <v>-2.0347135048969234E-3</v>
      </c>
      <c r="D705" s="2">
        <f t="shared" si="81"/>
        <v>-7.6923470626982016E-2</v>
      </c>
      <c r="E705" s="3">
        <f t="shared" si="82"/>
        <v>7.4888757122085092E-2</v>
      </c>
      <c r="F705">
        <f t="shared" si="86"/>
        <v>0.51671119675754429</v>
      </c>
      <c r="G705">
        <f t="shared" si="83"/>
        <v>0.14493349010438619</v>
      </c>
      <c r="H705">
        <f t="shared" si="87"/>
        <v>-0.40959279245597663</v>
      </c>
      <c r="P705" s="33">
        <f t="shared" si="84"/>
        <v>-3.7220377826050477E-3</v>
      </c>
      <c r="Q705" s="33">
        <f t="shared" si="85"/>
        <v>36.805553677139862</v>
      </c>
    </row>
    <row r="706" spans="1:17" x14ac:dyDescent="0.35">
      <c r="A706" s="13">
        <v>43388</v>
      </c>
      <c r="B706" s="14">
        <v>5095.07</v>
      </c>
      <c r="C706" s="2">
        <f t="shared" si="80"/>
        <v>-1.7857212940397549E-4</v>
      </c>
      <c r="D706" s="2">
        <f t="shared" si="81"/>
        <v>-2.2783307421192903E-2</v>
      </c>
      <c r="E706" s="3">
        <f t="shared" si="82"/>
        <v>2.2604735291788927E-2</v>
      </c>
      <c r="F706">
        <f t="shared" si="86"/>
        <v>0.16143222630643825</v>
      </c>
      <c r="G706">
        <f t="shared" si="83"/>
        <v>0.14002616335650078</v>
      </c>
      <c r="H706">
        <f t="shared" si="87"/>
        <v>-0.40889359739122827</v>
      </c>
      <c r="P706" s="33">
        <f t="shared" si="84"/>
        <v>-1.8658964071120998E-3</v>
      </c>
      <c r="Q706" s="33">
        <f t="shared" si="85"/>
        <v>126.58602082663906</v>
      </c>
    </row>
    <row r="707" spans="1:17" x14ac:dyDescent="0.35">
      <c r="A707" s="13">
        <v>43389</v>
      </c>
      <c r="B707" s="14">
        <v>5173.05</v>
      </c>
      <c r="C707" s="2">
        <f t="shared" si="80"/>
        <v>1.5304990902970994E-2</v>
      </c>
      <c r="D707" s="2">
        <f t="shared" si="81"/>
        <v>-2.3029790893748436E-3</v>
      </c>
      <c r="E707" s="3">
        <f t="shared" si="82"/>
        <v>1.7607969992345839E-2</v>
      </c>
      <c r="F707">
        <f t="shared" si="86"/>
        <v>0.14328084026682292</v>
      </c>
      <c r="G707">
        <f t="shared" si="83"/>
        <v>0.12289130884182156</v>
      </c>
      <c r="H707">
        <f t="shared" si="87"/>
        <v>-0.40664107107348552</v>
      </c>
      <c r="P707" s="33">
        <f t="shared" si="84"/>
        <v>1.361766662526287E-2</v>
      </c>
      <c r="Q707" s="33">
        <f t="shared" si="85"/>
        <v>1.1504724245819573</v>
      </c>
    </row>
    <row r="708" spans="1:17" x14ac:dyDescent="0.35">
      <c r="A708" s="13">
        <v>43390</v>
      </c>
      <c r="B708" s="14">
        <v>5144.95</v>
      </c>
      <c r="C708" s="2">
        <f t="shared" ref="C708:C735" si="88">(B708/B707)-1</f>
        <v>-5.431998530847415E-3</v>
      </c>
      <c r="D708" s="2">
        <f t="shared" si="81"/>
        <v>4.668153022119078E-2</v>
      </c>
      <c r="E708" s="3">
        <f t="shared" si="82"/>
        <v>-5.2113528752038195E-2</v>
      </c>
      <c r="F708">
        <f t="shared" si="86"/>
        <v>0.12653207955491005</v>
      </c>
      <c r="G708">
        <f t="shared" si="83"/>
        <v>-0.41186020916871857</v>
      </c>
      <c r="H708">
        <f t="shared" si="87"/>
        <v>-0.48390435012730781</v>
      </c>
      <c r="P708" s="33">
        <f t="shared" si="84"/>
        <v>-7.1193228085555393E-3</v>
      </c>
      <c r="Q708" s="33">
        <f t="shared" si="85"/>
        <v>9.5938039114138451</v>
      </c>
    </row>
    <row r="709" spans="1:17" x14ac:dyDescent="0.35">
      <c r="A709" s="13">
        <v>43391</v>
      </c>
      <c r="B709" s="14">
        <v>5116.79</v>
      </c>
      <c r="C709" s="2">
        <f t="shared" si="88"/>
        <v>-5.4733282150457585E-3</v>
      </c>
      <c r="D709" s="2">
        <f t="shared" si="81"/>
        <v>-3.410334902659946E-3</v>
      </c>
      <c r="E709" s="3">
        <f t="shared" si="82"/>
        <v>-2.0629933123858125E-3</v>
      </c>
      <c r="F709">
        <f t="shared" si="86"/>
        <v>0.40946844356758266</v>
      </c>
      <c r="G709">
        <f t="shared" si="83"/>
        <v>-5.0382229566008447E-3</v>
      </c>
      <c r="H709">
        <f t="shared" si="87"/>
        <v>-0.39910262602433771</v>
      </c>
      <c r="P709" s="33">
        <f t="shared" si="84"/>
        <v>-7.1606524927538828E-3</v>
      </c>
      <c r="Q709" s="33">
        <f t="shared" si="85"/>
        <v>0.37691752281816437</v>
      </c>
    </row>
    <row r="710" spans="1:17" x14ac:dyDescent="0.35">
      <c r="A710" s="13">
        <v>43392</v>
      </c>
      <c r="B710" s="14">
        <v>5084.66</v>
      </c>
      <c r="C710" s="2">
        <f t="shared" si="88"/>
        <v>-6.2793274689796341E-3</v>
      </c>
      <c r="D710" s="2">
        <f t="shared" ref="D710:D735" si="89">C709*$K$10+C708*$K$9</f>
        <v>-2.1438564299243543E-2</v>
      </c>
      <c r="E710" s="3">
        <f t="shared" ref="E710:E735" si="90">C710-D710</f>
        <v>1.5159236830263909E-2</v>
      </c>
      <c r="F710">
        <f t="shared" si="86"/>
        <v>6.1199057418667394E-2</v>
      </c>
      <c r="G710">
        <f t="shared" ref="G710:G735" si="91">E710/F710</f>
        <v>0.24770376325501911</v>
      </c>
      <c r="H710">
        <f t="shared" si="87"/>
        <v>-0.4297685113444068</v>
      </c>
      <c r="P710" s="33">
        <f t="shared" ref="P710:P735" si="92" xml:space="preserve"> C710-$K$16</f>
        <v>-7.9666517466877584E-3</v>
      </c>
      <c r="Q710" s="33">
        <f t="shared" ref="Q710:Q735" si="93" xml:space="preserve"> ABS(E710)/ABS(C710)</f>
        <v>2.4141497485442058</v>
      </c>
    </row>
    <row r="711" spans="1:17" x14ac:dyDescent="0.35">
      <c r="A711" s="13">
        <v>43395</v>
      </c>
      <c r="B711" s="14">
        <v>5053.3100000000004</v>
      </c>
      <c r="C711" s="2">
        <f t="shared" si="88"/>
        <v>-6.1656039931872186E-3</v>
      </c>
      <c r="D711" s="2">
        <f t="shared" si="89"/>
        <v>-2.3940728146938348E-2</v>
      </c>
      <c r="E711" s="3">
        <f t="shared" si="90"/>
        <v>1.777512415375113E-2</v>
      </c>
      <c r="F711">
        <f t="shared" ref="F711:F735" si="94">($K$5+$K$6*G710^2+$K$7*F710^2)^(1/2)</f>
        <v>0.24726322103024637</v>
      </c>
      <c r="G711">
        <f t="shared" si="91"/>
        <v>7.1887456936334235E-2</v>
      </c>
      <c r="H711">
        <f t="shared" ref="H711:H735" si="95">- (G711^2)/2 - LOG(2*PI())/2</f>
        <v>-0.40167383741144419</v>
      </c>
      <c r="P711" s="33">
        <f t="shared" si="92"/>
        <v>-7.852928270895343E-3</v>
      </c>
      <c r="Q711" s="33">
        <f t="shared" si="93"/>
        <v>2.8829493709605796</v>
      </c>
    </row>
    <row r="712" spans="1:17" x14ac:dyDescent="0.35">
      <c r="A712" s="13">
        <v>43396</v>
      </c>
      <c r="B712" s="14">
        <v>4967.6899999999996</v>
      </c>
      <c r="C712" s="2">
        <f t="shared" si="88"/>
        <v>-1.694335000227587E-2</v>
      </c>
      <c r="D712" s="2">
        <f t="shared" si="89"/>
        <v>-2.4288516517208116E-2</v>
      </c>
      <c r="E712" s="3">
        <f t="shared" si="90"/>
        <v>7.3451665149322463E-3</v>
      </c>
      <c r="F712">
        <f t="shared" si="94"/>
        <v>8.3404936640703586E-2</v>
      </c>
      <c r="G712">
        <f t="shared" si="91"/>
        <v>8.8066328094872401E-2</v>
      </c>
      <c r="H712">
        <f t="shared" si="95"/>
        <v>-0.40296777325111438</v>
      </c>
      <c r="P712" s="33">
        <f t="shared" si="92"/>
        <v>-1.8630674279983994E-2</v>
      </c>
      <c r="Q712" s="33">
        <f t="shared" si="93"/>
        <v>0.43351323757967736</v>
      </c>
    </row>
    <row r="713" spans="1:17" x14ac:dyDescent="0.35">
      <c r="A713" s="13">
        <v>43397</v>
      </c>
      <c r="B713" s="14">
        <v>4953.09</v>
      </c>
      <c r="C713" s="2">
        <f t="shared" si="88"/>
        <v>-2.9389917647839603E-3</v>
      </c>
      <c r="D713" s="2">
        <f t="shared" si="89"/>
        <v>-5.7171945265858684E-2</v>
      </c>
      <c r="E713" s="3">
        <f t="shared" si="90"/>
        <v>5.4232953501074724E-2</v>
      </c>
      <c r="F713">
        <f t="shared" si="94"/>
        <v>9.2533203853890911E-2</v>
      </c>
      <c r="G713">
        <f t="shared" si="91"/>
        <v>0.58609181615183303</v>
      </c>
      <c r="H713">
        <f t="shared" si="95"/>
        <v>-0.57084174265913457</v>
      </c>
      <c r="P713" s="33">
        <f t="shared" si="92"/>
        <v>-4.6263160424920846E-3</v>
      </c>
      <c r="Q713" s="33">
        <f t="shared" si="93"/>
        <v>18.452911012175388</v>
      </c>
    </row>
    <row r="714" spans="1:17" x14ac:dyDescent="0.35">
      <c r="A714" s="13">
        <v>43398</v>
      </c>
      <c r="B714" s="14">
        <v>5032.3</v>
      </c>
      <c r="C714" s="2">
        <f t="shared" si="88"/>
        <v>1.5992037293891315E-2</v>
      </c>
      <c r="D714" s="2">
        <f t="shared" si="89"/>
        <v>-2.3620573146991321E-2</v>
      </c>
      <c r="E714" s="3">
        <f t="shared" si="90"/>
        <v>3.9612610440882635E-2</v>
      </c>
      <c r="F714">
        <f t="shared" si="94"/>
        <v>0.58160658824315881</v>
      </c>
      <c r="G714">
        <f t="shared" si="91"/>
        <v>6.8108943814648382E-2</v>
      </c>
      <c r="H714">
        <f t="shared" si="95"/>
        <v>-0.40140934829283098</v>
      </c>
      <c r="P714" s="33">
        <f t="shared" si="92"/>
        <v>1.430471301618319E-2</v>
      </c>
      <c r="Q714" s="33">
        <f t="shared" si="93"/>
        <v>2.4770208893906203</v>
      </c>
    </row>
    <row r="715" spans="1:17" x14ac:dyDescent="0.35">
      <c r="A715" s="13">
        <v>43402</v>
      </c>
      <c r="B715" s="14">
        <v>4989.3500000000004</v>
      </c>
      <c r="C715" s="2">
        <f t="shared" si="88"/>
        <v>-8.5348647735628003E-3</v>
      </c>
      <c r="D715" s="2">
        <f t="shared" si="89"/>
        <v>4.6400995409112897E-2</v>
      </c>
      <c r="E715" s="3">
        <f t="shared" si="90"/>
        <v>-5.4935860182675697E-2</v>
      </c>
      <c r="F715">
        <f t="shared" si="94"/>
        <v>0.10592217458054266</v>
      </c>
      <c r="G715">
        <f t="shared" si="91"/>
        <v>-0.51864362113244533</v>
      </c>
      <c r="H715">
        <f t="shared" si="95"/>
        <v>-0.53358553704974532</v>
      </c>
      <c r="P715" s="33">
        <f t="shared" si="92"/>
        <v>-1.0222189051270925E-2</v>
      </c>
      <c r="Q715" s="33">
        <f t="shared" si="93"/>
        <v>6.436640959191581</v>
      </c>
    </row>
    <row r="716" spans="1:17" x14ac:dyDescent="0.35">
      <c r="A716" s="13">
        <v>43403</v>
      </c>
      <c r="B716" s="14">
        <v>4978.53</v>
      </c>
      <c r="C716" s="2">
        <f t="shared" si="88"/>
        <v>-2.1686191588083936E-3</v>
      </c>
      <c r="D716" s="2">
        <f t="shared" si="89"/>
        <v>-1.2312484295578406E-2</v>
      </c>
      <c r="E716" s="3">
        <f t="shared" si="90"/>
        <v>1.0143865136770012E-2</v>
      </c>
      <c r="F716">
        <f t="shared" si="94"/>
        <v>0.51492444622346689</v>
      </c>
      <c r="G716">
        <f t="shared" si="91"/>
        <v>1.9699715581900683E-2</v>
      </c>
      <c r="H716">
        <f t="shared" si="95"/>
        <v>-0.39928397357606144</v>
      </c>
      <c r="P716" s="33">
        <f t="shared" si="92"/>
        <v>-3.8559434365165179E-3</v>
      </c>
      <c r="Q716" s="33">
        <f t="shared" si="93"/>
        <v>4.6775687172033624</v>
      </c>
    </row>
    <row r="717" spans="1:17" x14ac:dyDescent="0.35">
      <c r="A717" s="13">
        <v>43404</v>
      </c>
      <c r="B717" s="14">
        <v>5093.4399999999996</v>
      </c>
      <c r="C717" s="2">
        <f t="shared" si="88"/>
        <v>2.3081110287574758E-2</v>
      </c>
      <c r="D717" s="2">
        <f t="shared" si="89"/>
        <v>-1.4004264363430443E-2</v>
      </c>
      <c r="E717" s="3">
        <f t="shared" si="90"/>
        <v>3.7085374651005198E-2</v>
      </c>
      <c r="F717">
        <f t="shared" si="94"/>
        <v>7.6051131793807167E-2</v>
      </c>
      <c r="G717">
        <f t="shared" si="91"/>
        <v>0.48763737996105738</v>
      </c>
      <c r="H717">
        <f t="shared" si="95"/>
        <v>-0.51798504134669987</v>
      </c>
      <c r="P717" s="33">
        <f t="shared" si="92"/>
        <v>2.1393786009866633E-2</v>
      </c>
      <c r="Q717" s="33">
        <f t="shared" si="93"/>
        <v>1.6067413650793632</v>
      </c>
    </row>
    <row r="718" spans="1:17" x14ac:dyDescent="0.35">
      <c r="A718" s="13">
        <v>43405</v>
      </c>
      <c r="B718" s="14">
        <v>5085.78</v>
      </c>
      <c r="C718" s="2">
        <f t="shared" si="88"/>
        <v>-1.5038952063830546E-3</v>
      </c>
      <c r="D718" s="2">
        <f t="shared" si="89"/>
        <v>6.8759721950661282E-2</v>
      </c>
      <c r="E718" s="3">
        <f t="shared" si="90"/>
        <v>-7.0263617157044336E-2</v>
      </c>
      <c r="F718">
        <f t="shared" si="94"/>
        <v>0.48416592197960012</v>
      </c>
      <c r="G718">
        <f t="shared" si="91"/>
        <v>-0.14512301251967261</v>
      </c>
      <c r="H718">
        <f t="shared" si="95"/>
        <v>-0.40962027856045002</v>
      </c>
      <c r="P718" s="33">
        <f t="shared" si="92"/>
        <v>-3.1912194840911789E-3</v>
      </c>
      <c r="Q718" s="33">
        <f t="shared" si="93"/>
        <v>46.721085923288463</v>
      </c>
    </row>
    <row r="719" spans="1:17" x14ac:dyDescent="0.35">
      <c r="A719" s="13">
        <v>43409</v>
      </c>
      <c r="B719" s="14">
        <v>5101.3900000000003</v>
      </c>
      <c r="C719" s="2">
        <f t="shared" si="88"/>
        <v>3.0693423624301719E-3</v>
      </c>
      <c r="D719" s="2">
        <f t="shared" si="89"/>
        <v>1.532322165424457E-2</v>
      </c>
      <c r="E719" s="3">
        <f t="shared" si="90"/>
        <v>-1.2253879291814398E-2</v>
      </c>
      <c r="F719">
        <f t="shared" si="94"/>
        <v>0.15985054697987214</v>
      </c>
      <c r="G719">
        <f t="shared" si="91"/>
        <v>-7.6658350711539119E-2</v>
      </c>
      <c r="H719">
        <f t="shared" si="95"/>
        <v>-0.4020281855459642</v>
      </c>
      <c r="P719" s="33">
        <f t="shared" si="92"/>
        <v>1.3820180847220476E-3</v>
      </c>
      <c r="Q719" s="33">
        <f t="shared" si="93"/>
        <v>3.9923468433519123</v>
      </c>
    </row>
    <row r="720" spans="1:17" x14ac:dyDescent="0.35">
      <c r="A720" s="13">
        <v>43410</v>
      </c>
      <c r="B720" s="14">
        <v>5075.1899999999996</v>
      </c>
      <c r="C720" s="2">
        <f t="shared" si="88"/>
        <v>-5.1358551296805111E-3</v>
      </c>
      <c r="D720" s="2">
        <f t="shared" si="89"/>
        <v>8.0943947063819542E-3</v>
      </c>
      <c r="E720" s="3">
        <f t="shared" si="90"/>
        <v>-1.3230249836062465E-2</v>
      </c>
      <c r="F720">
        <f t="shared" si="94"/>
        <v>8.3893507007178791E-2</v>
      </c>
      <c r="G720">
        <f t="shared" si="91"/>
        <v>-0.15770290583906987</v>
      </c>
      <c r="H720">
        <f t="shared" si="95"/>
        <v>-0.41152503743410079</v>
      </c>
      <c r="P720" s="33">
        <f t="shared" si="92"/>
        <v>-6.8231794073886354E-3</v>
      </c>
      <c r="Q720" s="33">
        <f t="shared" si="93"/>
        <v>2.5760558859232243</v>
      </c>
    </row>
    <row r="721" spans="1:17" x14ac:dyDescent="0.35">
      <c r="A721" s="13">
        <v>43411</v>
      </c>
      <c r="B721" s="14">
        <v>5137.9399999999996</v>
      </c>
      <c r="C721" s="2">
        <f t="shared" si="88"/>
        <v>1.2364069128446342E-2</v>
      </c>
      <c r="D721" s="2">
        <f t="shared" si="89"/>
        <v>-1.3066836255545475E-2</v>
      </c>
      <c r="E721" s="3">
        <f t="shared" si="90"/>
        <v>2.5430905383991818E-2</v>
      </c>
      <c r="F721">
        <f t="shared" si="94"/>
        <v>0.15927594142134516</v>
      </c>
      <c r="G721">
        <f t="shared" si="91"/>
        <v>0.1596657044187072</v>
      </c>
      <c r="H721">
        <f t="shared" si="95"/>
        <v>-0.41183650276281852</v>
      </c>
      <c r="P721" s="33">
        <f t="shared" si="92"/>
        <v>1.0676744850738218E-2</v>
      </c>
      <c r="Q721" s="33">
        <f t="shared" si="93"/>
        <v>2.0568394692554945</v>
      </c>
    </row>
    <row r="722" spans="1:17" x14ac:dyDescent="0.35">
      <c r="A722" s="13">
        <v>43412</v>
      </c>
      <c r="B722" s="14">
        <v>5131.45</v>
      </c>
      <c r="C722" s="2">
        <f t="shared" si="88"/>
        <v>-1.2631521582578964E-3</v>
      </c>
      <c r="D722" s="2">
        <f t="shared" si="89"/>
        <v>3.3402339974897485E-2</v>
      </c>
      <c r="E722" s="3">
        <f t="shared" si="90"/>
        <v>-3.4665492133155382E-2</v>
      </c>
      <c r="F722">
        <f t="shared" si="94"/>
        <v>0.16216298554983385</v>
      </c>
      <c r="G722">
        <f t="shared" si="91"/>
        <v>-0.21376944939449469</v>
      </c>
      <c r="H722">
        <f t="shared" si="95"/>
        <v>-0.42193862292627021</v>
      </c>
      <c r="P722" s="33">
        <f t="shared" si="92"/>
        <v>-2.9504764359660207E-3</v>
      </c>
      <c r="Q722" s="33">
        <f t="shared" si="93"/>
        <v>27.44363923738613</v>
      </c>
    </row>
    <row r="723" spans="1:17" x14ac:dyDescent="0.35">
      <c r="A723" s="13">
        <v>43413</v>
      </c>
      <c r="B723" s="14">
        <v>5106.75</v>
      </c>
      <c r="C723" s="2">
        <f t="shared" si="88"/>
        <v>-4.813454286800023E-3</v>
      </c>
      <c r="D723" s="2">
        <f t="shared" si="89"/>
        <v>6.8081644253465854E-3</v>
      </c>
      <c r="E723" s="3">
        <f t="shared" si="90"/>
        <v>-1.1621618712146609E-2</v>
      </c>
      <c r="F723">
        <f t="shared" si="94"/>
        <v>0.21482948190994616</v>
      </c>
      <c r="G723">
        <f t="shared" si="91"/>
        <v>-5.4096945208936674E-2</v>
      </c>
      <c r="H723">
        <f t="shared" si="95"/>
        <v>-0.40055317391952688</v>
      </c>
      <c r="P723" s="33">
        <f t="shared" si="92"/>
        <v>-6.5007785645081473E-3</v>
      </c>
      <c r="Q723" s="33">
        <f t="shared" si="93"/>
        <v>2.4144030502204359</v>
      </c>
    </row>
    <row r="724" spans="1:17" x14ac:dyDescent="0.35">
      <c r="A724" s="13">
        <v>43416</v>
      </c>
      <c r="B724" s="14">
        <v>5059.09</v>
      </c>
      <c r="C724" s="2">
        <f t="shared" si="88"/>
        <v>-9.3327458755568804E-3</v>
      </c>
      <c r="D724" s="2">
        <f t="shared" si="89"/>
        <v>-1.5820379168702152E-2</v>
      </c>
      <c r="E724" s="3">
        <f t="shared" si="90"/>
        <v>6.4876332931452715E-3</v>
      </c>
      <c r="F724">
        <f t="shared" si="94"/>
        <v>6.7059257136544606E-2</v>
      </c>
      <c r="G724">
        <f t="shared" si="91"/>
        <v>9.6744783198765436E-2</v>
      </c>
      <c r="H724">
        <f t="shared" si="95"/>
        <v>-0.40376971071714557</v>
      </c>
      <c r="P724" s="33">
        <f t="shared" si="92"/>
        <v>-1.1020070153265005E-2</v>
      </c>
      <c r="Q724" s="33">
        <f t="shared" si="93"/>
        <v>0.69514732101908405</v>
      </c>
    </row>
    <row r="725" spans="1:17" x14ac:dyDescent="0.35">
      <c r="A725" s="13">
        <v>43417</v>
      </c>
      <c r="B725" s="14">
        <v>5101.8500000000004</v>
      </c>
      <c r="C725" s="2">
        <f t="shared" si="88"/>
        <v>8.4521129294004016E-3</v>
      </c>
      <c r="D725" s="2">
        <f t="shared" si="89"/>
        <v>-3.2715016704632061E-2</v>
      </c>
      <c r="E725" s="3">
        <f t="shared" si="90"/>
        <v>4.1167129634032462E-2</v>
      </c>
      <c r="F725">
        <f t="shared" si="94"/>
        <v>0.10047297949885661</v>
      </c>
      <c r="G725">
        <f t="shared" si="91"/>
        <v>0.40973334163441372</v>
      </c>
      <c r="H725">
        <f t="shared" si="95"/>
        <v>-0.4830306398025091</v>
      </c>
      <c r="P725" s="33">
        <f t="shared" si="92"/>
        <v>6.7647886516922773E-3</v>
      </c>
      <c r="Q725" s="33">
        <f t="shared" si="93"/>
        <v>4.8706317553843768</v>
      </c>
    </row>
    <row r="726" spans="1:17" x14ac:dyDescent="0.35">
      <c r="A726" s="13">
        <v>43418</v>
      </c>
      <c r="B726" s="14">
        <v>5068.8500000000004</v>
      </c>
      <c r="C726" s="2">
        <f t="shared" si="88"/>
        <v>-6.4682419122474855E-3</v>
      </c>
      <c r="D726" s="2">
        <f t="shared" si="89"/>
        <v>1.7808059862510311E-2</v>
      </c>
      <c r="E726" s="3">
        <f t="shared" si="90"/>
        <v>-2.4276301774757796E-2</v>
      </c>
      <c r="F726">
        <f t="shared" si="94"/>
        <v>0.40724255542149146</v>
      </c>
      <c r="G726">
        <f t="shared" si="91"/>
        <v>-5.961140713703679E-2</v>
      </c>
      <c r="H726">
        <f t="shared" si="95"/>
        <v>-0.40086669410948633</v>
      </c>
      <c r="P726" s="33">
        <f t="shared" si="92"/>
        <v>-8.1555661899556098E-3</v>
      </c>
      <c r="Q726" s="33">
        <f t="shared" si="93"/>
        <v>3.7531530366529906</v>
      </c>
    </row>
    <row r="727" spans="1:17" x14ac:dyDescent="0.35">
      <c r="A727" s="13">
        <v>43420</v>
      </c>
      <c r="B727" s="14">
        <v>5025.2</v>
      </c>
      <c r="C727" s="2">
        <f t="shared" si="88"/>
        <v>-8.6114207364590412E-3</v>
      </c>
      <c r="D727" s="2">
        <f t="shared" si="89"/>
        <v>-1.2497331148892666E-2</v>
      </c>
      <c r="E727" s="3">
        <f t="shared" si="90"/>
        <v>3.8859104124336248E-3</v>
      </c>
      <c r="F727">
        <f t="shared" si="94"/>
        <v>8.472475247783566E-2</v>
      </c>
      <c r="G727">
        <f t="shared" si="91"/>
        <v>4.5865113780653353E-2</v>
      </c>
      <c r="H727">
        <f t="shared" si="95"/>
        <v>-0.40014173851011364</v>
      </c>
      <c r="P727" s="33">
        <f t="shared" si="92"/>
        <v>-1.0298745014167165E-2</v>
      </c>
      <c r="Q727" s="33">
        <f t="shared" si="93"/>
        <v>0.45125079024201592</v>
      </c>
    </row>
    <row r="728" spans="1:17" x14ac:dyDescent="0.35">
      <c r="A728" s="13">
        <v>43423</v>
      </c>
      <c r="B728" s="14">
        <v>4985.45</v>
      </c>
      <c r="C728" s="2">
        <f t="shared" si="88"/>
        <v>-7.9101329300326206E-3</v>
      </c>
      <c r="D728" s="2">
        <f t="shared" si="89"/>
        <v>-3.1936187092453862E-2</v>
      </c>
      <c r="E728" s="3">
        <f t="shared" si="90"/>
        <v>2.4026054162421241E-2</v>
      </c>
      <c r="F728">
        <f t="shared" si="94"/>
        <v>5.4921475698974744E-2</v>
      </c>
      <c r="G728">
        <f t="shared" si="91"/>
        <v>0.43746191916088212</v>
      </c>
      <c r="H728">
        <f t="shared" si="95"/>
        <v>-0.49477639953701857</v>
      </c>
      <c r="P728" s="33">
        <f t="shared" si="92"/>
        <v>-9.597457207740745E-3</v>
      </c>
      <c r="Q728" s="33">
        <f t="shared" si="93"/>
        <v>3.0373767893584769</v>
      </c>
    </row>
    <row r="729" spans="1:17" x14ac:dyDescent="0.35">
      <c r="A729" s="13">
        <v>43424</v>
      </c>
      <c r="B729" s="14">
        <v>4924.8900000000003</v>
      </c>
      <c r="C729" s="2">
        <f t="shared" si="88"/>
        <v>-1.2147348784964151E-2</v>
      </c>
      <c r="D729" s="2">
        <f t="shared" si="89"/>
        <v>-3.1640291486787202E-2</v>
      </c>
      <c r="E729" s="3">
        <f t="shared" si="90"/>
        <v>1.949294270182305E-2</v>
      </c>
      <c r="F729">
        <f t="shared" si="94"/>
        <v>0.43450089747086257</v>
      </c>
      <c r="G729">
        <f t="shared" si="91"/>
        <v>4.486283645278371E-2</v>
      </c>
      <c r="H729">
        <f t="shared" si="95"/>
        <v>-0.40009627122635216</v>
      </c>
      <c r="P729" s="33">
        <f t="shared" si="92"/>
        <v>-1.3834673062672276E-2</v>
      </c>
      <c r="Q729" s="33">
        <f t="shared" si="93"/>
        <v>1.6047075824439314</v>
      </c>
    </row>
    <row r="730" spans="1:17" x14ac:dyDescent="0.35">
      <c r="A730" s="13">
        <v>43425</v>
      </c>
      <c r="B730" s="14">
        <v>4975.5</v>
      </c>
      <c r="C730" s="2">
        <f t="shared" si="88"/>
        <v>1.0276371655001393E-2</v>
      </c>
      <c r="D730" s="2">
        <f t="shared" si="89"/>
        <v>-4.4001435418159381E-2</v>
      </c>
      <c r="E730" s="3">
        <f t="shared" si="90"/>
        <v>5.4277807073160773E-2</v>
      </c>
      <c r="F730">
        <f t="shared" si="94"/>
        <v>7.785415674775327E-2</v>
      </c>
      <c r="G730">
        <f t="shared" si="91"/>
        <v>0.69717288505250086</v>
      </c>
      <c r="H730">
        <f t="shared" si="95"/>
        <v>-0.6421149500052713</v>
      </c>
      <c r="P730" s="33">
        <f t="shared" si="92"/>
        <v>8.5890473772932685E-3</v>
      </c>
      <c r="Q730" s="33">
        <f t="shared" si="93"/>
        <v>5.2818065456735779</v>
      </c>
    </row>
    <row r="731" spans="1:17" x14ac:dyDescent="0.35">
      <c r="A731" s="13">
        <v>43426</v>
      </c>
      <c r="B731" s="14">
        <v>4938.1400000000003</v>
      </c>
      <c r="C731" s="2">
        <f t="shared" si="88"/>
        <v>-7.5087930861219565E-3</v>
      </c>
      <c r="D731" s="2">
        <f t="shared" si="89"/>
        <v>2.0960799106661286E-2</v>
      </c>
      <c r="E731" s="3">
        <f t="shared" si="90"/>
        <v>-2.8469592192783243E-2</v>
      </c>
      <c r="F731">
        <f t="shared" si="94"/>
        <v>0.69151398969107791</v>
      </c>
      <c r="G731">
        <f t="shared" si="91"/>
        <v>-4.1169943945026405E-2</v>
      </c>
      <c r="H731">
        <f t="shared" si="95"/>
        <v>-0.39993741632127583</v>
      </c>
      <c r="P731" s="33">
        <f t="shared" si="92"/>
        <v>-9.1961173638300808E-3</v>
      </c>
      <c r="Q731" s="33">
        <f t="shared" si="93"/>
        <v>3.7915004270662154</v>
      </c>
    </row>
    <row r="732" spans="1:17" x14ac:dyDescent="0.35">
      <c r="A732" s="13">
        <v>43427</v>
      </c>
      <c r="B732" s="14">
        <v>4946.95</v>
      </c>
      <c r="C732" s="2">
        <f t="shared" si="88"/>
        <v>1.7840725455331441E-3</v>
      </c>
      <c r="D732" s="2">
        <f t="shared" si="89"/>
        <v>-1.4106742397209856E-2</v>
      </c>
      <c r="E732" s="3">
        <f t="shared" si="90"/>
        <v>1.5890814942742998E-2</v>
      </c>
      <c r="F732">
        <f t="shared" si="94"/>
        <v>0.10365158315762928</v>
      </c>
      <c r="G732">
        <f t="shared" si="91"/>
        <v>0.15330991055464022</v>
      </c>
      <c r="H732">
        <f t="shared" si="95"/>
        <v>-0.4108418985161934</v>
      </c>
      <c r="P732" s="33">
        <f t="shared" si="92"/>
        <v>9.6748267825019774E-5</v>
      </c>
      <c r="Q732" s="33">
        <f t="shared" si="93"/>
        <v>8.9070452782480647</v>
      </c>
    </row>
    <row r="733" spans="1:17" x14ac:dyDescent="0.35">
      <c r="A733" s="13">
        <v>43430</v>
      </c>
      <c r="B733" s="14">
        <v>4994.9799999999996</v>
      </c>
      <c r="C733" s="2">
        <f t="shared" si="88"/>
        <v>9.7090126239398611E-3</v>
      </c>
      <c r="D733" s="2">
        <f t="shared" si="89"/>
        <v>-1.0226205081743022E-3</v>
      </c>
      <c r="E733" s="3">
        <f t="shared" si="90"/>
        <v>1.0731633132114164E-2</v>
      </c>
      <c r="F733">
        <f t="shared" si="94"/>
        <v>0.15521341589374382</v>
      </c>
      <c r="G733">
        <f t="shared" si="91"/>
        <v>6.9141143955370701E-2</v>
      </c>
      <c r="H733">
        <f t="shared" si="95"/>
        <v>-0.40148018307278616</v>
      </c>
      <c r="P733" s="33">
        <f t="shared" si="92"/>
        <v>8.0216883462317368E-3</v>
      </c>
      <c r="Q733" s="33">
        <f t="shared" si="93"/>
        <v>1.1053269315617935</v>
      </c>
    </row>
    <row r="734" spans="1:17" x14ac:dyDescent="0.35">
      <c r="A734" s="13">
        <v>43431</v>
      </c>
      <c r="B734" s="14">
        <v>4983.1499999999996</v>
      </c>
      <c r="C734" s="2">
        <f t="shared" si="88"/>
        <v>-2.3683778513627907E-3</v>
      </c>
      <c r="D734" s="2">
        <f t="shared" si="89"/>
        <v>3.125125850014332E-2</v>
      </c>
      <c r="E734" s="3">
        <f t="shared" si="90"/>
        <v>-3.361963635150611E-2</v>
      </c>
      <c r="F734">
        <f t="shared" si="94"/>
        <v>7.7050133581286803E-2</v>
      </c>
      <c r="G734">
        <f t="shared" si="91"/>
        <v>-0.43633456282120353</v>
      </c>
      <c r="H734">
        <f t="shared" si="95"/>
        <v>-0.4942838595352429</v>
      </c>
      <c r="P734" s="33">
        <f t="shared" si="92"/>
        <v>-4.055702129070915E-3</v>
      </c>
      <c r="Q734" s="33">
        <f t="shared" si="93"/>
        <v>14.195216498989383</v>
      </c>
    </row>
    <row r="735" spans="1:17" x14ac:dyDescent="0.35">
      <c r="A735" s="15">
        <v>43432</v>
      </c>
      <c r="B735" s="16">
        <v>4983.24</v>
      </c>
      <c r="C735" s="2">
        <f t="shared" si="88"/>
        <v>1.8060865115465674E-5</v>
      </c>
      <c r="D735" s="2">
        <f t="shared" si="89"/>
        <v>1.1339517176231781E-3</v>
      </c>
      <c r="E735" s="3">
        <f t="shared" si="90"/>
        <v>-1.1158908525077125E-3</v>
      </c>
      <c r="F735">
        <f t="shared" si="94"/>
        <v>0.43344453246373899</v>
      </c>
      <c r="G735">
        <f t="shared" si="91"/>
        <v>-2.5744720925763792E-3</v>
      </c>
      <c r="H735">
        <f t="shared" si="95"/>
        <v>-0.39909324813233527</v>
      </c>
      <c r="P735" s="33">
        <f t="shared" si="92"/>
        <v>-1.6692634125926586E-3</v>
      </c>
      <c r="Q735" s="33">
        <f t="shared" si="93"/>
        <v>61.785016685173375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A1F38-955F-4049-A775-BA8681747E52}">
  <sheetPr codeName="Feuil2"/>
  <dimension ref="A1:O735"/>
  <sheetViews>
    <sheetView topLeftCell="B1" workbookViewId="0">
      <selection activeCell="N10" sqref="N10"/>
    </sheetView>
  </sheetViews>
  <sheetFormatPr baseColWidth="10" defaultRowHeight="14.5" x14ac:dyDescent="0.35"/>
  <cols>
    <col min="3" max="3" width="12.7265625" customWidth="1"/>
    <col min="4" max="4" width="13.54296875" customWidth="1"/>
    <col min="14" max="14" width="23.54296875" customWidth="1"/>
  </cols>
  <sheetData>
    <row r="1" spans="1:15" x14ac:dyDescent="0.35">
      <c r="A1" s="17" t="s">
        <v>0</v>
      </c>
      <c r="B1" s="18" t="s">
        <v>1</v>
      </c>
      <c r="C1" s="19" t="s">
        <v>2</v>
      </c>
      <c r="D1" s="19" t="s">
        <v>30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20"/>
    </row>
    <row r="2" spans="1:15" x14ac:dyDescent="0.35">
      <c r="A2" s="11">
        <v>42373</v>
      </c>
      <c r="B2" s="12">
        <v>4522.45</v>
      </c>
      <c r="C2" s="8"/>
      <c r="D2" s="8"/>
      <c r="E2" s="8"/>
      <c r="F2" s="8"/>
      <c r="G2" s="8"/>
      <c r="H2" s="8"/>
      <c r="I2" s="8"/>
      <c r="J2" s="8"/>
      <c r="K2" s="8"/>
      <c r="L2" s="8"/>
      <c r="N2" s="24"/>
    </row>
    <row r="3" spans="1:15" x14ac:dyDescent="0.35">
      <c r="A3" s="13">
        <v>42374</v>
      </c>
      <c r="B3" s="14">
        <v>4537.63</v>
      </c>
      <c r="C3" s="2">
        <f>(B3/B2)-1</f>
        <v>3.356587690300783E-3</v>
      </c>
      <c r="D3" s="8"/>
      <c r="E3" s="8"/>
      <c r="F3" s="8"/>
      <c r="G3" s="8"/>
      <c r="H3" s="8"/>
      <c r="I3" s="8"/>
      <c r="J3" s="8"/>
      <c r="K3" s="8"/>
      <c r="L3" s="8"/>
      <c r="N3" s="28"/>
    </row>
    <row r="4" spans="1:15" x14ac:dyDescent="0.35">
      <c r="A4" s="13">
        <v>42375</v>
      </c>
      <c r="B4" s="14">
        <v>4480.47</v>
      </c>
      <c r="C4" s="2">
        <f t="shared" ref="C4:C67" si="0">(B4/B3)-1</f>
        <v>-1.2596884276593667E-2</v>
      </c>
      <c r="D4" s="8"/>
      <c r="E4" s="8"/>
      <c r="F4" s="8"/>
      <c r="G4" s="8"/>
      <c r="H4" s="8"/>
      <c r="I4" s="8"/>
      <c r="J4" s="8"/>
      <c r="K4" s="8"/>
      <c r="L4" s="8"/>
      <c r="N4" s="24"/>
    </row>
    <row r="5" spans="1:15" x14ac:dyDescent="0.35">
      <c r="A5" s="13">
        <v>42376</v>
      </c>
      <c r="B5" s="14">
        <v>4403.58</v>
      </c>
      <c r="C5" s="2">
        <f t="shared" si="0"/>
        <v>-1.7161146040482467E-2</v>
      </c>
      <c r="D5">
        <f>IF(C5&gt;=0,1,0)</f>
        <v>0</v>
      </c>
      <c r="E5">
        <v>0.49851666735637062</v>
      </c>
      <c r="F5">
        <v>0.49932267156750965</v>
      </c>
      <c r="G5">
        <v>0.10622750307361717</v>
      </c>
      <c r="I5">
        <v>0.50010763425499161</v>
      </c>
      <c r="J5">
        <v>0.106018340550862</v>
      </c>
      <c r="K5">
        <f>IF(E5&gt;=0.5,1,0)</f>
        <v>0</v>
      </c>
      <c r="L5" t="b">
        <f>IF(K5=D5,TRUE,FALSE)</f>
        <v>1</v>
      </c>
      <c r="N5" s="24"/>
    </row>
    <row r="6" spans="1:15" x14ac:dyDescent="0.35">
      <c r="A6" s="13">
        <v>42377</v>
      </c>
      <c r="B6" s="14">
        <v>4333.76</v>
      </c>
      <c r="C6" s="2">
        <f t="shared" si="0"/>
        <v>-1.58552813846915E-2</v>
      </c>
      <c r="D6">
        <f t="shared" ref="D6:D69" si="1">IF(C6&gt;=0,1,0)</f>
        <v>0</v>
      </c>
      <c r="E6">
        <v>0.49752054009570673</v>
      </c>
      <c r="F6">
        <v>0.50010763425499161</v>
      </c>
      <c r="G6">
        <v>0.106018340550862</v>
      </c>
      <c r="I6">
        <v>0.50117486084113949</v>
      </c>
      <c r="J6">
        <v>0.10680172236993726</v>
      </c>
      <c r="K6">
        <f t="shared" ref="K6:K69" si="2">IF(E6&gt;=0.5,1,0)</f>
        <v>0</v>
      </c>
      <c r="L6" t="b">
        <f t="shared" ref="L6:L69" si="3">IF(K6=D6,TRUE,FALSE)</f>
        <v>1</v>
      </c>
      <c r="N6" s="28"/>
    </row>
    <row r="7" spans="1:15" x14ac:dyDescent="0.35">
      <c r="A7" s="13">
        <v>42380</v>
      </c>
      <c r="B7" s="14">
        <v>4312.74</v>
      </c>
      <c r="C7" s="2">
        <f t="shared" si="0"/>
        <v>-4.8502916635901894E-3</v>
      </c>
      <c r="D7">
        <f t="shared" si="1"/>
        <v>0</v>
      </c>
      <c r="E7">
        <v>0.49755524238371174</v>
      </c>
      <c r="F7">
        <v>0.50117486084113949</v>
      </c>
      <c r="G7">
        <v>0.10680172236993726</v>
      </c>
      <c r="I7">
        <v>0.5021609470624111</v>
      </c>
      <c r="J7">
        <v>0.10786902412518008</v>
      </c>
      <c r="K7">
        <f t="shared" si="2"/>
        <v>0</v>
      </c>
      <c r="L7" t="b">
        <f t="shared" si="3"/>
        <v>1</v>
      </c>
      <c r="N7" s="24"/>
    </row>
    <row r="8" spans="1:15" x14ac:dyDescent="0.35">
      <c r="A8" s="13">
        <v>42381</v>
      </c>
      <c r="B8" s="14">
        <v>4378.75</v>
      </c>
      <c r="C8" s="2">
        <f t="shared" si="0"/>
        <v>1.5305814864795986E-2</v>
      </c>
      <c r="D8">
        <f t="shared" si="1"/>
        <v>1</v>
      </c>
      <c r="E8">
        <v>0.49896352128826094</v>
      </c>
      <c r="F8">
        <v>0.5021609470624111</v>
      </c>
      <c r="G8">
        <v>0.10786902412518008</v>
      </c>
      <c r="I8">
        <v>0.50185717673578289</v>
      </c>
      <c r="J8">
        <v>0.10687601909804623</v>
      </c>
      <c r="K8">
        <f t="shared" si="2"/>
        <v>0</v>
      </c>
      <c r="L8" t="b">
        <f t="shared" si="3"/>
        <v>0</v>
      </c>
    </row>
    <row r="9" spans="1:15" x14ac:dyDescent="0.35">
      <c r="A9" s="13">
        <v>42382</v>
      </c>
      <c r="B9" s="14">
        <v>4391.9399999999996</v>
      </c>
      <c r="C9" s="2">
        <f t="shared" si="0"/>
        <v>3.0122751926919822E-3</v>
      </c>
      <c r="D9">
        <f t="shared" si="1"/>
        <v>1</v>
      </c>
      <c r="E9">
        <v>0.50179073063625901</v>
      </c>
      <c r="F9">
        <v>0.50185717673578289</v>
      </c>
      <c r="G9">
        <v>0.10687601909804623</v>
      </c>
      <c r="I9">
        <v>0.50281035186447831</v>
      </c>
      <c r="J9">
        <v>0.1065739654392576</v>
      </c>
      <c r="K9">
        <f t="shared" si="2"/>
        <v>1</v>
      </c>
      <c r="L9" t="b">
        <f t="shared" si="3"/>
        <v>1</v>
      </c>
      <c r="N9" s="7" t="s">
        <v>29</v>
      </c>
    </row>
    <row r="10" spans="1:15" x14ac:dyDescent="0.35">
      <c r="A10" s="13">
        <v>42383</v>
      </c>
      <c r="B10" s="14">
        <v>4312.8900000000003</v>
      </c>
      <c r="C10" s="2">
        <f t="shared" si="0"/>
        <v>-1.7998879766116804E-2</v>
      </c>
      <c r="D10">
        <f t="shared" si="1"/>
        <v>0</v>
      </c>
      <c r="E10">
        <v>0.50078645048492765</v>
      </c>
      <c r="F10">
        <v>0.50281035186447831</v>
      </c>
      <c r="G10">
        <v>0.1065739654392576</v>
      </c>
      <c r="I10">
        <v>0.50262178900578325</v>
      </c>
      <c r="J10">
        <v>0.1056158497224184</v>
      </c>
      <c r="K10">
        <f t="shared" si="2"/>
        <v>1</v>
      </c>
      <c r="L10" t="b">
        <f t="shared" si="3"/>
        <v>0</v>
      </c>
      <c r="N10" s="10">
        <v>0.52510460251046021</v>
      </c>
    </row>
    <row r="11" spans="1:15" x14ac:dyDescent="0.35">
      <c r="A11" s="13">
        <v>42384</v>
      </c>
      <c r="B11" s="14">
        <v>4210.16</v>
      </c>
      <c r="C11" s="2">
        <f t="shared" si="0"/>
        <v>-2.3819295182580746E-2</v>
      </c>
      <c r="D11">
        <f t="shared" si="1"/>
        <v>0</v>
      </c>
      <c r="E11">
        <v>0.49781789256788322</v>
      </c>
      <c r="F11">
        <v>0.50262178900578325</v>
      </c>
      <c r="G11">
        <v>0.1056158497224184</v>
      </c>
      <c r="I11">
        <v>0.50374178822267479</v>
      </c>
      <c r="J11">
        <v>0.10542840773154362</v>
      </c>
      <c r="K11">
        <f t="shared" si="2"/>
        <v>0</v>
      </c>
      <c r="L11" t="b">
        <f t="shared" si="3"/>
        <v>1</v>
      </c>
    </row>
    <row r="12" spans="1:15" x14ac:dyDescent="0.35">
      <c r="A12" s="13">
        <v>42387</v>
      </c>
      <c r="B12" s="14">
        <v>4189.57</v>
      </c>
      <c r="C12" s="2">
        <f t="shared" si="0"/>
        <v>-4.8905504778916642E-3</v>
      </c>
      <c r="D12">
        <f t="shared" si="1"/>
        <v>0</v>
      </c>
      <c r="E12">
        <v>0.49421087456393492</v>
      </c>
      <c r="F12">
        <v>0.89038524058583346</v>
      </c>
      <c r="G12">
        <v>0.10829494592295652</v>
      </c>
      <c r="I12">
        <v>0.89185651266465693</v>
      </c>
      <c r="J12">
        <v>0.10940670212930112</v>
      </c>
      <c r="K12">
        <f t="shared" si="2"/>
        <v>0</v>
      </c>
      <c r="L12" t="b">
        <f t="shared" si="3"/>
        <v>1</v>
      </c>
    </row>
    <row r="13" spans="1:15" x14ac:dyDescent="0.35">
      <c r="A13" s="13">
        <v>42388</v>
      </c>
      <c r="B13" s="14">
        <v>4272.26</v>
      </c>
      <c r="C13" s="2">
        <f t="shared" si="0"/>
        <v>1.9737109058925117E-2</v>
      </c>
      <c r="D13">
        <f t="shared" si="1"/>
        <v>1</v>
      </c>
      <c r="E13">
        <v>0.49825809209041583</v>
      </c>
      <c r="F13">
        <v>0.89185651266465693</v>
      </c>
      <c r="G13">
        <v>0.10940670212930112</v>
      </c>
      <c r="I13">
        <v>0.89154979212142282</v>
      </c>
      <c r="J13">
        <v>0.10791282793438524</v>
      </c>
      <c r="K13">
        <f t="shared" si="2"/>
        <v>0</v>
      </c>
      <c r="L13" t="b">
        <f t="shared" si="3"/>
        <v>0</v>
      </c>
      <c r="N13" s="40"/>
      <c r="O13" s="24"/>
    </row>
    <row r="14" spans="1:15" x14ac:dyDescent="0.35">
      <c r="A14" s="13">
        <v>42389</v>
      </c>
      <c r="B14" s="14">
        <v>4124.95</v>
      </c>
      <c r="C14" s="2">
        <f t="shared" si="0"/>
        <v>-3.4480579365488095E-2</v>
      </c>
      <c r="D14">
        <f t="shared" si="1"/>
        <v>0</v>
      </c>
      <c r="E14">
        <v>0.50426711198656471</v>
      </c>
      <c r="F14">
        <v>0.89154979212142282</v>
      </c>
      <c r="G14">
        <v>0.10791282793438524</v>
      </c>
      <c r="I14">
        <v>0.89030578585969056</v>
      </c>
      <c r="J14">
        <v>0.10822107345299953</v>
      </c>
      <c r="K14">
        <f t="shared" si="2"/>
        <v>1</v>
      </c>
      <c r="L14" t="b">
        <f t="shared" si="3"/>
        <v>0</v>
      </c>
      <c r="N14" s="40"/>
      <c r="O14" s="24"/>
    </row>
    <row r="15" spans="1:15" x14ac:dyDescent="0.35">
      <c r="A15" s="13">
        <v>42390</v>
      </c>
      <c r="B15" s="14">
        <v>4206.3999999999996</v>
      </c>
      <c r="C15" s="2">
        <f t="shared" si="0"/>
        <v>1.974569388719849E-2</v>
      </c>
      <c r="D15">
        <f t="shared" si="1"/>
        <v>1</v>
      </c>
      <c r="E15">
        <v>0.49285991335793439</v>
      </c>
      <c r="F15">
        <v>0.89030578585969056</v>
      </c>
      <c r="G15">
        <v>0.10822107345299953</v>
      </c>
      <c r="I15">
        <v>0.88812042109662792</v>
      </c>
      <c r="J15">
        <v>0.10947200320696042</v>
      </c>
      <c r="K15">
        <f t="shared" si="2"/>
        <v>0</v>
      </c>
      <c r="L15" t="b">
        <f t="shared" si="3"/>
        <v>0</v>
      </c>
    </row>
    <row r="16" spans="1:15" x14ac:dyDescent="0.35">
      <c r="A16" s="13">
        <v>42391</v>
      </c>
      <c r="B16" s="14">
        <v>4336.6899999999996</v>
      </c>
      <c r="C16" s="2">
        <f t="shared" si="0"/>
        <v>3.0974229745150295E-2</v>
      </c>
      <c r="D16">
        <f t="shared" si="1"/>
        <v>1</v>
      </c>
      <c r="E16">
        <v>0.5034404196705784</v>
      </c>
      <c r="F16">
        <v>0.88812042109662792</v>
      </c>
      <c r="G16">
        <v>0.10947200320696042</v>
      </c>
      <c r="I16">
        <v>0.88934597725250253</v>
      </c>
      <c r="J16">
        <v>0.10733189678472448</v>
      </c>
      <c r="K16">
        <f t="shared" si="2"/>
        <v>1</v>
      </c>
      <c r="L16" t="b">
        <f t="shared" si="3"/>
        <v>1</v>
      </c>
    </row>
    <row r="17" spans="1:12" x14ac:dyDescent="0.35">
      <c r="A17" s="13">
        <v>42394</v>
      </c>
      <c r="B17" s="14">
        <v>4311.33</v>
      </c>
      <c r="C17" s="2">
        <f t="shared" si="0"/>
        <v>-5.8477779135699404E-3</v>
      </c>
      <c r="D17">
        <f t="shared" si="1"/>
        <v>0</v>
      </c>
      <c r="E17">
        <v>0.50741599346890376</v>
      </c>
      <c r="F17">
        <v>0.88934597725250253</v>
      </c>
      <c r="G17">
        <v>0.10733189678472448</v>
      </c>
      <c r="I17">
        <v>0.88738180699638525</v>
      </c>
      <c r="J17">
        <v>0.10607976218965182</v>
      </c>
      <c r="K17">
        <f t="shared" si="2"/>
        <v>1</v>
      </c>
      <c r="L17" t="b">
        <f t="shared" si="3"/>
        <v>0</v>
      </c>
    </row>
    <row r="18" spans="1:12" x14ac:dyDescent="0.35">
      <c r="A18" s="13">
        <v>42395</v>
      </c>
      <c r="B18" s="14">
        <v>4356.8100000000004</v>
      </c>
      <c r="C18" s="2">
        <f t="shared" si="0"/>
        <v>1.0548948932232127E-2</v>
      </c>
      <c r="D18">
        <f t="shared" si="1"/>
        <v>1</v>
      </c>
      <c r="E18">
        <v>0.49952413194205975</v>
      </c>
      <c r="F18">
        <v>0.88738180699638525</v>
      </c>
      <c r="G18">
        <v>0.10607976218965182</v>
      </c>
      <c r="I18">
        <v>0.88701597336182025</v>
      </c>
      <c r="J18">
        <v>0.10801749224934244</v>
      </c>
      <c r="K18">
        <f t="shared" si="2"/>
        <v>0</v>
      </c>
      <c r="L18" t="b">
        <f t="shared" si="3"/>
        <v>0</v>
      </c>
    </row>
    <row r="19" spans="1:12" x14ac:dyDescent="0.35">
      <c r="A19" s="13">
        <v>42396</v>
      </c>
      <c r="B19" s="14">
        <v>4380.3599999999997</v>
      </c>
      <c r="C19" s="2">
        <f t="shared" si="0"/>
        <v>5.405330964627586E-3</v>
      </c>
      <c r="D19">
        <f t="shared" si="1"/>
        <v>1</v>
      </c>
      <c r="E19">
        <v>0.50218134213557342</v>
      </c>
      <c r="F19">
        <v>0.88701597336182025</v>
      </c>
      <c r="G19">
        <v>0.10801749224934244</v>
      </c>
      <c r="I19">
        <v>0.88767239381783825</v>
      </c>
      <c r="J19">
        <v>0.10765360755624391</v>
      </c>
      <c r="K19">
        <f t="shared" si="2"/>
        <v>1</v>
      </c>
      <c r="L19" t="b">
        <f t="shared" si="3"/>
        <v>1</v>
      </c>
    </row>
    <row r="20" spans="1:12" x14ac:dyDescent="0.35">
      <c r="A20" s="13">
        <v>42397</v>
      </c>
      <c r="B20" s="14">
        <v>4322.16</v>
      </c>
      <c r="C20" s="2">
        <f t="shared" si="0"/>
        <v>-1.3286579185272429E-2</v>
      </c>
      <c r="D20">
        <f t="shared" si="1"/>
        <v>0</v>
      </c>
      <c r="E20">
        <v>0.50148344451864546</v>
      </c>
      <c r="F20">
        <v>0.88767239381783825</v>
      </c>
      <c r="G20">
        <v>0.10765360755624391</v>
      </c>
      <c r="I20">
        <v>0.88733356130155105</v>
      </c>
      <c r="J20">
        <v>0.10699234797116335</v>
      </c>
      <c r="K20">
        <f t="shared" si="2"/>
        <v>1</v>
      </c>
      <c r="L20" t="b">
        <f t="shared" si="3"/>
        <v>0</v>
      </c>
    </row>
    <row r="21" spans="1:12" x14ac:dyDescent="0.35">
      <c r="A21" s="13">
        <v>42398</v>
      </c>
      <c r="B21" s="14">
        <v>4417.0200000000004</v>
      </c>
      <c r="C21" s="2">
        <f t="shared" si="0"/>
        <v>2.1947359653506693E-2</v>
      </c>
      <c r="D21">
        <f t="shared" si="1"/>
        <v>1</v>
      </c>
      <c r="E21">
        <v>0.49719720471400553</v>
      </c>
      <c r="F21">
        <v>0.88733356130155105</v>
      </c>
      <c r="G21">
        <v>0.10699234797116335</v>
      </c>
      <c r="I21">
        <v>0.8864985213972707</v>
      </c>
      <c r="J21">
        <v>0.10733206423585168</v>
      </c>
      <c r="K21">
        <f t="shared" si="2"/>
        <v>0</v>
      </c>
      <c r="L21" t="b">
        <f t="shared" si="3"/>
        <v>0</v>
      </c>
    </row>
    <row r="22" spans="1:12" x14ac:dyDescent="0.35">
      <c r="A22" s="13">
        <v>42401</v>
      </c>
      <c r="B22" s="14">
        <v>4392.33</v>
      </c>
      <c r="C22" s="2">
        <f t="shared" si="0"/>
        <v>-5.5897414999254158E-3</v>
      </c>
      <c r="D22">
        <f t="shared" si="1"/>
        <v>0</v>
      </c>
      <c r="E22">
        <v>0.50450743436857137</v>
      </c>
      <c r="F22">
        <v>0.8864985213972707</v>
      </c>
      <c r="G22">
        <v>0.10733206423585168</v>
      </c>
      <c r="I22">
        <v>0.88511455811439943</v>
      </c>
      <c r="J22">
        <v>0.10816989338877397</v>
      </c>
      <c r="K22">
        <f t="shared" si="2"/>
        <v>1</v>
      </c>
      <c r="L22" t="b">
        <f t="shared" si="3"/>
        <v>0</v>
      </c>
    </row>
    <row r="23" spans="1:12" x14ac:dyDescent="0.35">
      <c r="A23" s="13">
        <v>42402</v>
      </c>
      <c r="B23" s="14">
        <v>4283.99</v>
      </c>
      <c r="C23" s="2">
        <f t="shared" si="0"/>
        <v>-2.4665724114536047E-2</v>
      </c>
      <c r="D23">
        <f t="shared" si="1"/>
        <v>0</v>
      </c>
      <c r="E23">
        <v>0.49935662084914256</v>
      </c>
      <c r="F23">
        <v>0.88511455811439943</v>
      </c>
      <c r="G23">
        <v>0.10816989338877397</v>
      </c>
      <c r="I23">
        <v>0.88546346684004684</v>
      </c>
      <c r="J23">
        <v>0.10679995073791408</v>
      </c>
      <c r="K23">
        <f t="shared" si="2"/>
        <v>0</v>
      </c>
      <c r="L23" t="b">
        <f t="shared" si="3"/>
        <v>1</v>
      </c>
    </row>
    <row r="24" spans="1:12" x14ac:dyDescent="0.35">
      <c r="A24" s="13">
        <v>42404</v>
      </c>
      <c r="B24" s="14">
        <v>4228.53</v>
      </c>
      <c r="C24" s="2">
        <f t="shared" si="0"/>
        <v>-1.294587522379842E-2</v>
      </c>
      <c r="D24">
        <f t="shared" si="1"/>
        <v>0</v>
      </c>
      <c r="E24">
        <v>0.49439083989750837</v>
      </c>
      <c r="F24">
        <v>0.88546346684004684</v>
      </c>
      <c r="G24">
        <v>0.10679995073791408</v>
      </c>
      <c r="I24">
        <v>0.88698758851182058</v>
      </c>
      <c r="J24">
        <v>0.10714534688846247</v>
      </c>
      <c r="K24">
        <f t="shared" si="2"/>
        <v>0</v>
      </c>
      <c r="L24" t="b">
        <f t="shared" si="3"/>
        <v>1</v>
      </c>
    </row>
    <row r="25" spans="1:12" x14ac:dyDescent="0.35">
      <c r="A25" s="13">
        <v>42405</v>
      </c>
      <c r="B25" s="14">
        <v>4200.67</v>
      </c>
      <c r="C25" s="2">
        <f t="shared" si="0"/>
        <v>-6.5885780637714442E-3</v>
      </c>
      <c r="D25">
        <f t="shared" si="1"/>
        <v>0</v>
      </c>
      <c r="E25">
        <v>0.49646864666543128</v>
      </c>
      <c r="F25">
        <v>0.88698758851182058</v>
      </c>
      <c r="G25">
        <v>0.10714534688846247</v>
      </c>
      <c r="I25">
        <v>0.88779095108066242</v>
      </c>
      <c r="J25">
        <v>0.10867599036713367</v>
      </c>
      <c r="K25">
        <f t="shared" si="2"/>
        <v>0</v>
      </c>
      <c r="L25" t="b">
        <f t="shared" si="3"/>
        <v>1</v>
      </c>
    </row>
    <row r="26" spans="1:12" x14ac:dyDescent="0.35">
      <c r="A26" s="13">
        <v>42408</v>
      </c>
      <c r="B26" s="14">
        <v>4066.31</v>
      </c>
      <c r="C26" s="2">
        <f t="shared" si="0"/>
        <v>-3.1985373761804659E-2</v>
      </c>
      <c r="D26">
        <f t="shared" si="1"/>
        <v>0</v>
      </c>
      <c r="E26">
        <v>0.49818596151026923</v>
      </c>
      <c r="F26">
        <v>0.88779095108066242</v>
      </c>
      <c r="G26">
        <v>0.10867599036713367</v>
      </c>
      <c r="I26">
        <v>0.88820123781722127</v>
      </c>
      <c r="J26">
        <v>0.10948216141740576</v>
      </c>
      <c r="K26">
        <f t="shared" si="2"/>
        <v>0</v>
      </c>
      <c r="L26" t="b">
        <f t="shared" si="3"/>
        <v>1</v>
      </c>
    </row>
    <row r="27" spans="1:12" x14ac:dyDescent="0.35">
      <c r="A27" s="13">
        <v>42409</v>
      </c>
      <c r="B27" s="14">
        <v>3997.54</v>
      </c>
      <c r="C27" s="2">
        <f t="shared" si="0"/>
        <v>-1.6912139015471062E-2</v>
      </c>
      <c r="D27">
        <f t="shared" si="1"/>
        <v>0</v>
      </c>
      <c r="E27">
        <v>0.49271781988206204</v>
      </c>
      <c r="F27">
        <v>0.88820123781722127</v>
      </c>
      <c r="G27">
        <v>0.10948216141740576</v>
      </c>
      <c r="I27">
        <v>0.89017079039943181</v>
      </c>
      <c r="J27">
        <v>0.10988786406872487</v>
      </c>
      <c r="K27">
        <f t="shared" si="2"/>
        <v>0</v>
      </c>
      <c r="L27" t="b">
        <f t="shared" si="3"/>
        <v>1</v>
      </c>
    </row>
    <row r="28" spans="1:12" x14ac:dyDescent="0.35">
      <c r="A28" s="13">
        <v>42410</v>
      </c>
      <c r="B28" s="14">
        <v>4061.2</v>
      </c>
      <c r="C28" s="2">
        <f t="shared" si="0"/>
        <v>1.5924793748155031E-2</v>
      </c>
      <c r="D28">
        <f t="shared" si="1"/>
        <v>1</v>
      </c>
      <c r="E28">
        <v>0.49535775925670267</v>
      </c>
      <c r="F28">
        <v>0.89017079039943181</v>
      </c>
      <c r="G28">
        <v>0.10988786406872487</v>
      </c>
      <c r="I28">
        <v>0.88910405989516539</v>
      </c>
      <c r="J28">
        <v>0.10787039165728902</v>
      </c>
      <c r="K28">
        <f t="shared" si="2"/>
        <v>0</v>
      </c>
      <c r="L28" t="b">
        <f t="shared" si="3"/>
        <v>0</v>
      </c>
    </row>
    <row r="29" spans="1:12" x14ac:dyDescent="0.35">
      <c r="A29" s="13">
        <v>42411</v>
      </c>
      <c r="B29" s="14">
        <v>3896.71</v>
      </c>
      <c r="C29" s="2">
        <f t="shared" si="0"/>
        <v>-4.0502807052102741E-2</v>
      </c>
      <c r="D29">
        <f t="shared" si="1"/>
        <v>0</v>
      </c>
      <c r="E29">
        <v>0.50308358083436933</v>
      </c>
      <c r="F29">
        <v>0.88910405989516539</v>
      </c>
      <c r="G29">
        <v>0.10787039165728902</v>
      </c>
      <c r="I29">
        <v>0.88810266020087403</v>
      </c>
      <c r="J29">
        <v>0.10893387863914504</v>
      </c>
      <c r="K29">
        <f t="shared" si="2"/>
        <v>1</v>
      </c>
      <c r="L29" t="b">
        <f t="shared" si="3"/>
        <v>0</v>
      </c>
    </row>
    <row r="30" spans="1:12" x14ac:dyDescent="0.35">
      <c r="A30" s="13">
        <v>42412</v>
      </c>
      <c r="B30" s="14">
        <v>3995.06</v>
      </c>
      <c r="C30" s="2">
        <f t="shared" si="0"/>
        <v>2.5239240282186826E-2</v>
      </c>
      <c r="D30">
        <f t="shared" si="1"/>
        <v>1</v>
      </c>
      <c r="E30">
        <v>0.49144186061297879</v>
      </c>
      <c r="F30">
        <v>0.88810266020087403</v>
      </c>
      <c r="G30">
        <v>0.10893387863914504</v>
      </c>
      <c r="I30">
        <v>0.88552866049453771</v>
      </c>
      <c r="J30">
        <v>0.10994591749310612</v>
      </c>
      <c r="K30">
        <f t="shared" si="2"/>
        <v>0</v>
      </c>
      <c r="L30" t="b">
        <f t="shared" si="3"/>
        <v>0</v>
      </c>
    </row>
    <row r="31" spans="1:12" x14ac:dyDescent="0.35">
      <c r="A31" s="13">
        <v>42415</v>
      </c>
      <c r="B31" s="14">
        <v>4115.25</v>
      </c>
      <c r="C31" s="2">
        <f t="shared" si="0"/>
        <v>3.0084654548367284E-2</v>
      </c>
      <c r="D31">
        <f t="shared" si="1"/>
        <v>1</v>
      </c>
      <c r="E31">
        <v>0.50447411866776526</v>
      </c>
      <c r="F31">
        <v>0.88552866049453771</v>
      </c>
      <c r="G31">
        <v>0.10994591749310612</v>
      </c>
      <c r="I31">
        <v>0.88709187241477216</v>
      </c>
      <c r="J31">
        <v>0.10743734472788342</v>
      </c>
      <c r="K31">
        <f t="shared" si="2"/>
        <v>1</v>
      </c>
      <c r="L31" t="b">
        <f t="shared" si="3"/>
        <v>1</v>
      </c>
    </row>
    <row r="32" spans="1:12" x14ac:dyDescent="0.35">
      <c r="A32" s="13">
        <v>42416</v>
      </c>
      <c r="B32" s="14">
        <v>4110.66</v>
      </c>
      <c r="C32" s="2">
        <f t="shared" si="0"/>
        <v>-1.1153635866594236E-3</v>
      </c>
      <c r="D32">
        <f t="shared" si="1"/>
        <v>0</v>
      </c>
      <c r="E32">
        <v>0.5073493430261139</v>
      </c>
      <c r="F32">
        <v>0.88709187241477216</v>
      </c>
      <c r="G32">
        <v>0.10743734472788342</v>
      </c>
      <c r="I32">
        <v>0.88518435591035283</v>
      </c>
      <c r="J32">
        <v>0.10583705155117853</v>
      </c>
      <c r="K32">
        <f t="shared" si="2"/>
        <v>1</v>
      </c>
      <c r="L32" t="b">
        <f t="shared" si="3"/>
        <v>0</v>
      </c>
    </row>
    <row r="33" spans="1:12" x14ac:dyDescent="0.35">
      <c r="A33" s="13">
        <v>42417</v>
      </c>
      <c r="B33" s="14">
        <v>4233.47</v>
      </c>
      <c r="C33" s="2">
        <f t="shared" si="0"/>
        <v>2.9875980986021844E-2</v>
      </c>
      <c r="D33">
        <f t="shared" si="1"/>
        <v>1</v>
      </c>
      <c r="E33">
        <v>0.50054919196321079</v>
      </c>
      <c r="F33">
        <v>0.88518435591035283</v>
      </c>
      <c r="G33">
        <v>0.10583705155117853</v>
      </c>
      <c r="I33">
        <v>0.88511472233878563</v>
      </c>
      <c r="J33">
        <v>0.1077152749131596</v>
      </c>
      <c r="K33">
        <f t="shared" si="2"/>
        <v>1</v>
      </c>
      <c r="L33" t="b">
        <f t="shared" si="3"/>
        <v>1</v>
      </c>
    </row>
    <row r="34" spans="1:12" x14ac:dyDescent="0.35">
      <c r="A34" s="13">
        <v>42418</v>
      </c>
      <c r="B34" s="14">
        <v>4239.76</v>
      </c>
      <c r="C34" s="2">
        <f t="shared" si="0"/>
        <v>1.485778805566218E-3</v>
      </c>
      <c r="D34">
        <f t="shared" si="1"/>
        <v>1</v>
      </c>
      <c r="E34">
        <v>0.50658050224968965</v>
      </c>
      <c r="F34">
        <v>0.88511472233878563</v>
      </c>
      <c r="G34">
        <v>0.1077152749131596</v>
      </c>
      <c r="I34">
        <v>0.88695707710708926</v>
      </c>
      <c r="J34">
        <v>0.10764649406130286</v>
      </c>
      <c r="K34">
        <f t="shared" si="2"/>
        <v>1</v>
      </c>
      <c r="L34" t="b">
        <f t="shared" si="3"/>
        <v>1</v>
      </c>
    </row>
    <row r="35" spans="1:12" x14ac:dyDescent="0.35">
      <c r="A35" s="13">
        <v>42419</v>
      </c>
      <c r="B35" s="14">
        <v>4223.04</v>
      </c>
      <c r="C35" s="2">
        <f t="shared" si="0"/>
        <v>-3.9436194501576427E-3</v>
      </c>
      <c r="D35">
        <f t="shared" si="1"/>
        <v>0</v>
      </c>
      <c r="E35">
        <v>0.50113346471748066</v>
      </c>
      <c r="F35">
        <v>0.88695707710708926</v>
      </c>
      <c r="G35">
        <v>0.10764649406130286</v>
      </c>
      <c r="I35">
        <v>0.88686400590030212</v>
      </c>
      <c r="J35">
        <v>0.10577502194586975</v>
      </c>
      <c r="K35">
        <f t="shared" si="2"/>
        <v>1</v>
      </c>
      <c r="L35" t="b">
        <f t="shared" si="3"/>
        <v>0</v>
      </c>
    </row>
    <row r="36" spans="1:12" x14ac:dyDescent="0.35">
      <c r="A36" s="13">
        <v>42422</v>
      </c>
      <c r="B36" s="14">
        <v>4298.7</v>
      </c>
      <c r="C36" s="2">
        <f t="shared" si="0"/>
        <v>1.7916003637190148E-2</v>
      </c>
      <c r="D36">
        <f t="shared" si="1"/>
        <v>1</v>
      </c>
      <c r="E36">
        <v>0.49916492681206237</v>
      </c>
      <c r="F36">
        <v>0.88686400590030212</v>
      </c>
      <c r="G36">
        <v>0.10577502194586975</v>
      </c>
      <c r="I36">
        <v>0.88661711872197524</v>
      </c>
      <c r="J36">
        <v>0.10586803795351457</v>
      </c>
      <c r="K36">
        <f t="shared" si="2"/>
        <v>0</v>
      </c>
      <c r="L36" t="b">
        <f t="shared" si="3"/>
        <v>0</v>
      </c>
    </row>
    <row r="37" spans="1:12" x14ac:dyDescent="0.35">
      <c r="A37" s="13">
        <v>42423</v>
      </c>
      <c r="B37" s="14">
        <v>4238.42</v>
      </c>
      <c r="C37" s="2">
        <f t="shared" si="0"/>
        <v>-1.4022844115662791E-2</v>
      </c>
      <c r="D37">
        <f t="shared" si="1"/>
        <v>0</v>
      </c>
      <c r="E37">
        <v>0.50386670598114736</v>
      </c>
      <c r="F37">
        <v>0.88661711872197524</v>
      </c>
      <c r="G37">
        <v>0.10586803795351457</v>
      </c>
      <c r="I37">
        <v>0.88548877649013658</v>
      </c>
      <c r="J37">
        <v>0.10611640541659524</v>
      </c>
      <c r="K37">
        <f t="shared" si="2"/>
        <v>1</v>
      </c>
      <c r="L37" t="b">
        <f t="shared" si="3"/>
        <v>0</v>
      </c>
    </row>
    <row r="38" spans="1:12" x14ac:dyDescent="0.35">
      <c r="A38" s="13">
        <v>42424</v>
      </c>
      <c r="B38" s="14">
        <v>4155.34</v>
      </c>
      <c r="C38" s="2">
        <f t="shared" si="0"/>
        <v>-1.9601644008852337E-2</v>
      </c>
      <c r="D38">
        <f t="shared" si="1"/>
        <v>0</v>
      </c>
      <c r="E38">
        <v>0.49737105193320147</v>
      </c>
      <c r="F38">
        <v>0.88548877649013658</v>
      </c>
      <c r="G38">
        <v>0.10611640541659524</v>
      </c>
      <c r="I38">
        <v>0.88636057197938556</v>
      </c>
      <c r="J38">
        <v>0.10500257351292143</v>
      </c>
      <c r="K38">
        <f t="shared" si="2"/>
        <v>0</v>
      </c>
      <c r="L38" t="b">
        <f t="shared" si="3"/>
        <v>1</v>
      </c>
    </row>
    <row r="39" spans="1:12" x14ac:dyDescent="0.35">
      <c r="A39" s="13">
        <v>42425</v>
      </c>
      <c r="B39" s="14">
        <v>4248.45</v>
      </c>
      <c r="C39" s="2">
        <f t="shared" si="0"/>
        <v>2.2407312037041383E-2</v>
      </c>
      <c r="D39">
        <f t="shared" si="1"/>
        <v>1</v>
      </c>
      <c r="E39">
        <v>0.49528849967786887</v>
      </c>
      <c r="F39">
        <v>0.88636057197938556</v>
      </c>
      <c r="G39">
        <v>0.10500257351292143</v>
      </c>
      <c r="I39">
        <v>0.88512403489033942</v>
      </c>
      <c r="J39">
        <v>0.10411796573027329</v>
      </c>
      <c r="K39">
        <f t="shared" si="2"/>
        <v>0</v>
      </c>
      <c r="L39" t="b">
        <f t="shared" si="3"/>
        <v>0</v>
      </c>
    </row>
    <row r="40" spans="1:12" x14ac:dyDescent="0.35">
      <c r="A40" s="13">
        <v>42426</v>
      </c>
      <c r="B40" s="14">
        <v>4314.57</v>
      </c>
      <c r="C40" s="2">
        <f t="shared" si="0"/>
        <v>1.5563323094304859E-2</v>
      </c>
      <c r="D40">
        <f t="shared" si="1"/>
        <v>1</v>
      </c>
      <c r="E40">
        <v>0.50444797444549172</v>
      </c>
      <c r="F40">
        <v>0.88512403489033942</v>
      </c>
      <c r="G40">
        <v>0.10411796573027329</v>
      </c>
      <c r="I40">
        <v>0.88651192365543352</v>
      </c>
      <c r="J40">
        <v>0.10290385752076164</v>
      </c>
      <c r="K40">
        <f t="shared" si="2"/>
        <v>1</v>
      </c>
      <c r="L40" t="b">
        <f t="shared" si="3"/>
        <v>1</v>
      </c>
    </row>
    <row r="41" spans="1:12" x14ac:dyDescent="0.35">
      <c r="A41" s="13">
        <v>42429</v>
      </c>
      <c r="B41" s="14">
        <v>4353.55</v>
      </c>
      <c r="C41" s="2">
        <f t="shared" si="0"/>
        <v>9.0345040177817193E-3</v>
      </c>
      <c r="D41">
        <f t="shared" si="1"/>
        <v>1</v>
      </c>
      <c r="E41">
        <v>0.50402563059741345</v>
      </c>
      <c r="F41">
        <v>0.88651192365543352</v>
      </c>
      <c r="G41">
        <v>0.10290385752076164</v>
      </c>
      <c r="I41">
        <v>0.88747673727914023</v>
      </c>
      <c r="J41">
        <v>0.10429294902731123</v>
      </c>
      <c r="K41">
        <f t="shared" si="2"/>
        <v>1</v>
      </c>
      <c r="L41" t="b">
        <f t="shared" si="3"/>
        <v>1</v>
      </c>
    </row>
    <row r="42" spans="1:12" x14ac:dyDescent="0.35">
      <c r="A42" s="13">
        <v>42430</v>
      </c>
      <c r="B42" s="14">
        <v>4406.84</v>
      </c>
      <c r="C42" s="2">
        <f t="shared" si="0"/>
        <v>1.2240585269492676E-2</v>
      </c>
      <c r="D42">
        <f t="shared" si="1"/>
        <v>1</v>
      </c>
      <c r="E42">
        <v>0.50241024558337388</v>
      </c>
      <c r="F42">
        <v>0.88747673727914023</v>
      </c>
      <c r="G42">
        <v>0.10429294902731123</v>
      </c>
      <c r="I42">
        <v>0.888038658800826</v>
      </c>
      <c r="J42">
        <v>0.10526094529787865</v>
      </c>
      <c r="K42">
        <f t="shared" si="2"/>
        <v>1</v>
      </c>
      <c r="L42" t="b">
        <f t="shared" si="3"/>
        <v>1</v>
      </c>
    </row>
    <row r="43" spans="1:12" x14ac:dyDescent="0.35">
      <c r="A43" s="13">
        <v>42431</v>
      </c>
      <c r="B43" s="14">
        <v>4424.8900000000003</v>
      </c>
      <c r="C43" s="2">
        <f t="shared" si="0"/>
        <v>4.0959054560638641E-3</v>
      </c>
      <c r="D43">
        <f t="shared" si="1"/>
        <v>1</v>
      </c>
      <c r="E43">
        <v>0.50295523892647087</v>
      </c>
      <c r="F43">
        <v>0.888038658800826</v>
      </c>
      <c r="G43">
        <v>0.10526094529787865</v>
      </c>
      <c r="I43">
        <v>0.88879914708077601</v>
      </c>
      <c r="J43">
        <v>0.10582224480026503</v>
      </c>
      <c r="K43">
        <f t="shared" si="2"/>
        <v>1</v>
      </c>
      <c r="L43" t="b">
        <f t="shared" si="3"/>
        <v>1</v>
      </c>
    </row>
    <row r="44" spans="1:12" x14ac:dyDescent="0.35">
      <c r="A44" s="13">
        <v>42432</v>
      </c>
      <c r="B44" s="14">
        <v>4416.08</v>
      </c>
      <c r="C44" s="2">
        <f t="shared" si="0"/>
        <v>-1.9910099460100916E-3</v>
      </c>
      <c r="D44">
        <f t="shared" si="1"/>
        <v>0</v>
      </c>
      <c r="E44">
        <v>0.50123393836661501</v>
      </c>
      <c r="F44">
        <v>0.88879914708077601</v>
      </c>
      <c r="G44">
        <v>0.10582224480026503</v>
      </c>
      <c r="I44">
        <v>0.88854252279086909</v>
      </c>
      <c r="J44">
        <v>0.10505532487583701</v>
      </c>
      <c r="K44">
        <f t="shared" si="2"/>
        <v>1</v>
      </c>
      <c r="L44" t="b">
        <f t="shared" si="3"/>
        <v>0</v>
      </c>
    </row>
    <row r="45" spans="1:12" x14ac:dyDescent="0.35">
      <c r="A45" s="13">
        <v>42433</v>
      </c>
      <c r="B45" s="14">
        <v>4456.62</v>
      </c>
      <c r="C45" s="2">
        <f t="shared" si="0"/>
        <v>9.1800873172587227E-3</v>
      </c>
      <c r="D45">
        <f t="shared" si="1"/>
        <v>1</v>
      </c>
      <c r="E45">
        <v>0.49966529996949716</v>
      </c>
      <c r="F45">
        <v>0.88854252279086909</v>
      </c>
      <c r="G45">
        <v>0.10505532487583701</v>
      </c>
      <c r="I45">
        <v>0.8884180014261549</v>
      </c>
      <c r="J45">
        <v>0.1053114902145143</v>
      </c>
      <c r="K45">
        <f t="shared" si="2"/>
        <v>0</v>
      </c>
      <c r="L45" t="b">
        <f t="shared" si="3"/>
        <v>0</v>
      </c>
    </row>
    <row r="46" spans="1:12" x14ac:dyDescent="0.35">
      <c r="A46" s="13">
        <v>42436</v>
      </c>
      <c r="B46" s="14">
        <v>4442.29</v>
      </c>
      <c r="C46" s="2">
        <f t="shared" si="0"/>
        <v>-3.2154412985625491E-3</v>
      </c>
      <c r="D46">
        <f t="shared" si="1"/>
        <v>0</v>
      </c>
      <c r="E46">
        <v>0.50198650919835197</v>
      </c>
      <c r="F46">
        <v>0.8884180014261549</v>
      </c>
      <c r="G46">
        <v>0.1053114902145143</v>
      </c>
      <c r="I46">
        <v>0.88784197552047961</v>
      </c>
      <c r="J46">
        <v>0.10543642075904222</v>
      </c>
      <c r="K46">
        <f t="shared" si="2"/>
        <v>1</v>
      </c>
      <c r="L46" t="b">
        <f t="shared" si="3"/>
        <v>0</v>
      </c>
    </row>
    <row r="47" spans="1:12" x14ac:dyDescent="0.35">
      <c r="A47" s="13">
        <v>42437</v>
      </c>
      <c r="B47" s="14">
        <v>4404.0200000000004</v>
      </c>
      <c r="C47" s="2">
        <f t="shared" si="0"/>
        <v>-8.6149260854198051E-3</v>
      </c>
      <c r="D47">
        <f t="shared" si="1"/>
        <v>0</v>
      </c>
      <c r="E47">
        <v>0.49952827808853317</v>
      </c>
      <c r="F47">
        <v>0.88784197552047961</v>
      </c>
      <c r="G47">
        <v>0.10543642075904222</v>
      </c>
      <c r="I47">
        <v>0.88804275082366779</v>
      </c>
      <c r="J47">
        <v>0.10486320711796568</v>
      </c>
      <c r="K47">
        <f t="shared" si="2"/>
        <v>0</v>
      </c>
      <c r="L47" t="b">
        <f t="shared" si="3"/>
        <v>1</v>
      </c>
    </row>
    <row r="48" spans="1:12" x14ac:dyDescent="0.35">
      <c r="A48" s="13">
        <v>42438</v>
      </c>
      <c r="B48" s="14">
        <v>4425.6499999999996</v>
      </c>
      <c r="C48" s="2">
        <f t="shared" si="0"/>
        <v>4.9114218373211838E-3</v>
      </c>
      <c r="D48">
        <f t="shared" si="1"/>
        <v>1</v>
      </c>
      <c r="E48">
        <v>0.49800310958061589</v>
      </c>
      <c r="F48">
        <v>0.88804275082366779</v>
      </c>
      <c r="G48">
        <v>0.10486320711796568</v>
      </c>
      <c r="I48">
        <v>0.88750217618286587</v>
      </c>
      <c r="J48">
        <v>0.10466144264456738</v>
      </c>
      <c r="K48">
        <f t="shared" si="2"/>
        <v>0</v>
      </c>
      <c r="L48" t="b">
        <f t="shared" si="3"/>
        <v>0</v>
      </c>
    </row>
    <row r="49" spans="1:12" x14ac:dyDescent="0.35">
      <c r="A49" s="13">
        <v>42439</v>
      </c>
      <c r="B49" s="14">
        <v>4350.3500000000004</v>
      </c>
      <c r="C49" s="2">
        <f t="shared" si="0"/>
        <v>-1.7014449854823477E-2</v>
      </c>
      <c r="D49">
        <f t="shared" si="1"/>
        <v>0</v>
      </c>
      <c r="E49">
        <v>0.50086431088320604</v>
      </c>
      <c r="F49">
        <v>0.88750217618286587</v>
      </c>
      <c r="G49">
        <v>0.10466144264456738</v>
      </c>
      <c r="I49">
        <v>0.88719468261244949</v>
      </c>
      <c r="J49">
        <v>0.10520080466001246</v>
      </c>
      <c r="K49">
        <f t="shared" si="2"/>
        <v>1</v>
      </c>
      <c r="L49" t="b">
        <f t="shared" si="3"/>
        <v>0</v>
      </c>
    </row>
    <row r="50" spans="1:12" x14ac:dyDescent="0.35">
      <c r="A50" s="13">
        <v>42440</v>
      </c>
      <c r="B50" s="14">
        <v>4492.79</v>
      </c>
      <c r="C50" s="2">
        <f t="shared" si="0"/>
        <v>3.2742193156872323E-2</v>
      </c>
      <c r="D50">
        <f t="shared" si="1"/>
        <v>1</v>
      </c>
      <c r="E50">
        <v>0.49635545357067146</v>
      </c>
      <c r="F50">
        <v>0.88719468261244949</v>
      </c>
      <c r="G50">
        <v>0.10520080466001246</v>
      </c>
      <c r="I50">
        <v>0.88612358516383294</v>
      </c>
      <c r="J50">
        <v>0.1055099895848217</v>
      </c>
      <c r="K50">
        <f t="shared" si="2"/>
        <v>0</v>
      </c>
      <c r="L50" t="b">
        <f t="shared" si="3"/>
        <v>0</v>
      </c>
    </row>
    <row r="51" spans="1:12" x14ac:dyDescent="0.35">
      <c r="A51" s="13">
        <v>42443</v>
      </c>
      <c r="B51" s="14">
        <v>4506.59</v>
      </c>
      <c r="C51" s="2">
        <f t="shared" si="0"/>
        <v>3.0715880332712331E-3</v>
      </c>
      <c r="D51">
        <f t="shared" si="1"/>
        <v>1</v>
      </c>
      <c r="E51">
        <v>0.506804188725264</v>
      </c>
      <c r="F51">
        <v>0.88612358516383294</v>
      </c>
      <c r="G51">
        <v>0.1055099895848217</v>
      </c>
      <c r="I51">
        <v>0.88814175041936283</v>
      </c>
      <c r="J51">
        <v>0.10446125190941789</v>
      </c>
      <c r="K51">
        <f t="shared" si="2"/>
        <v>1</v>
      </c>
      <c r="L51" t="b">
        <f t="shared" si="3"/>
        <v>1</v>
      </c>
    </row>
    <row r="52" spans="1:12" x14ac:dyDescent="0.35">
      <c r="A52" s="13">
        <v>42444</v>
      </c>
      <c r="B52" s="14">
        <v>4472.63</v>
      </c>
      <c r="C52" s="2">
        <f t="shared" si="0"/>
        <v>-7.5356311534885423E-3</v>
      </c>
      <c r="D52">
        <f t="shared" si="1"/>
        <v>0</v>
      </c>
      <c r="E52">
        <v>0.50153706917300322</v>
      </c>
      <c r="F52">
        <v>0.88814175041936283</v>
      </c>
      <c r="G52">
        <v>0.10446125190941789</v>
      </c>
      <c r="I52">
        <v>0.88794918783167021</v>
      </c>
      <c r="J52">
        <v>0.1024085933586206</v>
      </c>
      <c r="K52">
        <f t="shared" si="2"/>
        <v>1</v>
      </c>
      <c r="L52" t="b">
        <f t="shared" si="3"/>
        <v>0</v>
      </c>
    </row>
    <row r="53" spans="1:12" x14ac:dyDescent="0.35">
      <c r="A53" s="13">
        <v>42445</v>
      </c>
      <c r="B53" s="14">
        <v>4463</v>
      </c>
      <c r="C53" s="2">
        <f t="shared" si="0"/>
        <v>-2.1530956059410133E-3</v>
      </c>
      <c r="D53">
        <f t="shared" si="1"/>
        <v>0</v>
      </c>
      <c r="E53">
        <v>0.49840583026371299</v>
      </c>
      <c r="F53">
        <v>0.88794918783167021</v>
      </c>
      <c r="G53">
        <v>0.1024085933586206</v>
      </c>
      <c r="I53">
        <v>0.8884186583719168</v>
      </c>
      <c r="J53">
        <v>0.10221723313092058</v>
      </c>
      <c r="K53">
        <f t="shared" si="2"/>
        <v>0</v>
      </c>
      <c r="L53" t="b">
        <f t="shared" si="3"/>
        <v>1</v>
      </c>
    </row>
    <row r="54" spans="1:12" x14ac:dyDescent="0.35">
      <c r="A54" s="13">
        <v>42446</v>
      </c>
      <c r="B54" s="14">
        <v>4442.8900000000003</v>
      </c>
      <c r="C54" s="2">
        <f t="shared" si="0"/>
        <v>-4.5059377100604703E-3</v>
      </c>
      <c r="D54">
        <f t="shared" si="1"/>
        <v>0</v>
      </c>
      <c r="E54">
        <v>0.49932921998342467</v>
      </c>
      <c r="F54">
        <v>0.8884186583719168</v>
      </c>
      <c r="G54">
        <v>0.10221723313092058</v>
      </c>
      <c r="I54">
        <v>0.88855304607373065</v>
      </c>
      <c r="J54">
        <v>0.10268757738764558</v>
      </c>
      <c r="K54">
        <f t="shared" si="2"/>
        <v>0</v>
      </c>
      <c r="L54" t="b">
        <f t="shared" si="3"/>
        <v>1</v>
      </c>
    </row>
    <row r="55" spans="1:12" x14ac:dyDescent="0.35">
      <c r="A55" s="13">
        <v>42447</v>
      </c>
      <c r="B55" s="14">
        <v>4462.51</v>
      </c>
      <c r="C55" s="2">
        <f t="shared" si="0"/>
        <v>4.4160445115679625E-3</v>
      </c>
      <c r="D55">
        <f t="shared" si="1"/>
        <v>1</v>
      </c>
      <c r="E55">
        <v>0.49894378635873116</v>
      </c>
      <c r="F55">
        <v>0.88855304607373065</v>
      </c>
      <c r="G55">
        <v>0.10268757738764558</v>
      </c>
      <c r="I55">
        <v>0.88827083132208873</v>
      </c>
      <c r="J55">
        <v>0.10255272524791553</v>
      </c>
      <c r="K55">
        <f t="shared" si="2"/>
        <v>0</v>
      </c>
      <c r="L55" t="b">
        <f t="shared" si="3"/>
        <v>0</v>
      </c>
    </row>
    <row r="56" spans="1:12" x14ac:dyDescent="0.35">
      <c r="A56" s="13">
        <v>42450</v>
      </c>
      <c r="B56" s="14">
        <v>4427.8</v>
      </c>
      <c r="C56" s="2">
        <f t="shared" si="0"/>
        <v>-7.7781338305124015E-3</v>
      </c>
      <c r="D56">
        <f t="shared" si="1"/>
        <v>0</v>
      </c>
      <c r="E56">
        <v>0.50086513597100901</v>
      </c>
      <c r="F56">
        <v>0.88827083132208873</v>
      </c>
      <c r="G56">
        <v>0.10255272524791553</v>
      </c>
      <c r="I56">
        <v>0.88799435180798436</v>
      </c>
      <c r="J56">
        <v>0.10283483279130617</v>
      </c>
      <c r="K56">
        <f t="shared" si="2"/>
        <v>1</v>
      </c>
      <c r="L56" t="b">
        <f t="shared" si="3"/>
        <v>0</v>
      </c>
    </row>
    <row r="57" spans="1:12" x14ac:dyDescent="0.35">
      <c r="A57" s="13">
        <v>42451</v>
      </c>
      <c r="B57" s="14">
        <v>4431.97</v>
      </c>
      <c r="C57" s="2">
        <f t="shared" si="0"/>
        <v>9.4177695469532807E-4</v>
      </c>
      <c r="D57">
        <f t="shared" si="1"/>
        <v>1</v>
      </c>
      <c r="E57">
        <v>0.49838680167009825</v>
      </c>
      <c r="F57">
        <v>0.88799435180798436</v>
      </c>
      <c r="G57">
        <v>0.10283483279130617</v>
      </c>
      <c r="I57">
        <v>0.88750665506131232</v>
      </c>
      <c r="J57">
        <v>0.10311172318537497</v>
      </c>
      <c r="K57">
        <f t="shared" si="2"/>
        <v>0</v>
      </c>
      <c r="L57" t="b">
        <f t="shared" si="3"/>
        <v>0</v>
      </c>
    </row>
    <row r="58" spans="1:12" x14ac:dyDescent="0.35">
      <c r="A58" s="13">
        <v>42452</v>
      </c>
      <c r="B58" s="14">
        <v>4423.9799999999996</v>
      </c>
      <c r="C58" s="2">
        <f t="shared" si="0"/>
        <v>-1.8028100370717226E-3</v>
      </c>
      <c r="D58">
        <f t="shared" si="1"/>
        <v>0</v>
      </c>
      <c r="E58">
        <v>0.50000845413311046</v>
      </c>
      <c r="F58">
        <v>0.88750665506131232</v>
      </c>
      <c r="G58">
        <v>0.10311172318537497</v>
      </c>
      <c r="I58">
        <v>0.88744779300642218</v>
      </c>
      <c r="J58">
        <v>0.10359786476931536</v>
      </c>
      <c r="K58">
        <f t="shared" si="2"/>
        <v>1</v>
      </c>
      <c r="L58" t="b">
        <f t="shared" si="3"/>
        <v>0</v>
      </c>
    </row>
    <row r="59" spans="1:12" x14ac:dyDescent="0.35">
      <c r="A59" s="13">
        <v>42453</v>
      </c>
      <c r="B59" s="14">
        <v>4329.68</v>
      </c>
      <c r="C59" s="2">
        <f t="shared" si="0"/>
        <v>-2.1315647900758905E-2</v>
      </c>
      <c r="D59">
        <f t="shared" si="1"/>
        <v>0</v>
      </c>
      <c r="E59">
        <v>0.49962441664388774</v>
      </c>
      <c r="F59">
        <v>0.88744779300642218</v>
      </c>
      <c r="G59">
        <v>0.10359786476931536</v>
      </c>
      <c r="I59">
        <v>0.88756038393202896</v>
      </c>
      <c r="J59">
        <v>0.10353904795730307</v>
      </c>
      <c r="K59">
        <f t="shared" si="2"/>
        <v>0</v>
      </c>
      <c r="L59" t="b">
        <f t="shared" si="3"/>
        <v>1</v>
      </c>
    </row>
    <row r="60" spans="1:12" x14ac:dyDescent="0.35">
      <c r="A60" s="13">
        <v>42458</v>
      </c>
      <c r="B60" s="14">
        <v>4366.67</v>
      </c>
      <c r="C60" s="2">
        <f t="shared" si="0"/>
        <v>8.5433565529091648E-3</v>
      </c>
      <c r="D60">
        <f t="shared" si="1"/>
        <v>1</v>
      </c>
      <c r="E60">
        <v>0.49522374881871351</v>
      </c>
      <c r="F60">
        <v>0.88756038393202896</v>
      </c>
      <c r="G60">
        <v>0.10353904795730307</v>
      </c>
      <c r="I60">
        <v>0.88621555255464068</v>
      </c>
      <c r="J60">
        <v>0.10342530637569071</v>
      </c>
      <c r="K60">
        <f t="shared" si="2"/>
        <v>0</v>
      </c>
      <c r="L60" t="b">
        <f t="shared" si="3"/>
        <v>0</v>
      </c>
    </row>
    <row r="61" spans="1:12" x14ac:dyDescent="0.35">
      <c r="A61" s="13">
        <v>42459</v>
      </c>
      <c r="B61" s="14">
        <v>4444.42</v>
      </c>
      <c r="C61" s="2">
        <f t="shared" si="0"/>
        <v>1.7805329919595492E-2</v>
      </c>
      <c r="D61">
        <f t="shared" si="1"/>
        <v>1</v>
      </c>
      <c r="E61">
        <v>0.5013416662882334</v>
      </c>
      <c r="F61">
        <v>0.88621555255464068</v>
      </c>
      <c r="G61">
        <v>0.10342530637569071</v>
      </c>
      <c r="I61">
        <v>0.88674807571317293</v>
      </c>
      <c r="J61">
        <v>0.10209666275933491</v>
      </c>
      <c r="K61">
        <f t="shared" si="2"/>
        <v>1</v>
      </c>
      <c r="L61" t="b">
        <f t="shared" si="3"/>
        <v>1</v>
      </c>
    </row>
    <row r="62" spans="1:12" x14ac:dyDescent="0.35">
      <c r="A62" s="13">
        <v>42460</v>
      </c>
      <c r="B62" s="14">
        <v>4385.0600000000004</v>
      </c>
      <c r="C62" s="2">
        <f t="shared" si="0"/>
        <v>-1.335607345840395E-2</v>
      </c>
      <c r="D62">
        <f t="shared" si="1"/>
        <v>0</v>
      </c>
      <c r="E62">
        <v>0.50416517620795165</v>
      </c>
      <c r="F62">
        <v>0.88674807571317293</v>
      </c>
      <c r="G62">
        <v>0.10209666275933491</v>
      </c>
      <c r="I62">
        <v>0.88562605016923845</v>
      </c>
      <c r="J62">
        <v>0.101558292264287</v>
      </c>
      <c r="K62">
        <f t="shared" si="2"/>
        <v>1</v>
      </c>
      <c r="L62" t="b">
        <f t="shared" si="3"/>
        <v>0</v>
      </c>
    </row>
    <row r="63" spans="1:12" x14ac:dyDescent="0.35">
      <c r="A63" s="13">
        <v>42461</v>
      </c>
      <c r="B63" s="14">
        <v>4322.24</v>
      </c>
      <c r="C63" s="2">
        <f t="shared" si="0"/>
        <v>-1.432591572293207E-2</v>
      </c>
      <c r="D63">
        <f t="shared" si="1"/>
        <v>0</v>
      </c>
      <c r="E63">
        <v>0.49749496903895124</v>
      </c>
      <c r="F63">
        <v>0.88562605016923845</v>
      </c>
      <c r="G63">
        <v>0.101558292264287</v>
      </c>
      <c r="I63">
        <v>0.88645660174023122</v>
      </c>
      <c r="J63">
        <v>0.10045106230011976</v>
      </c>
      <c r="K63">
        <f t="shared" si="2"/>
        <v>0</v>
      </c>
      <c r="L63" t="b">
        <f t="shared" si="3"/>
        <v>1</v>
      </c>
    </row>
    <row r="64" spans="1:12" x14ac:dyDescent="0.35">
      <c r="A64" s="13">
        <v>42464</v>
      </c>
      <c r="B64" s="14">
        <v>4345.22</v>
      </c>
      <c r="C64" s="2">
        <f t="shared" si="0"/>
        <v>5.3166876434442845E-3</v>
      </c>
      <c r="D64">
        <f t="shared" si="1"/>
        <v>1</v>
      </c>
      <c r="E64">
        <v>0.49648982408453735</v>
      </c>
      <c r="F64">
        <v>0.88645660174023122</v>
      </c>
      <c r="G64">
        <v>0.10045106230011976</v>
      </c>
      <c r="I64">
        <v>0.88555499063540566</v>
      </c>
      <c r="J64">
        <v>9.9610488868036293E-2</v>
      </c>
      <c r="K64">
        <f t="shared" si="2"/>
        <v>0</v>
      </c>
      <c r="L64" t="b">
        <f t="shared" si="3"/>
        <v>0</v>
      </c>
    </row>
    <row r="65" spans="1:12" x14ac:dyDescent="0.35">
      <c r="A65" s="13">
        <v>42466</v>
      </c>
      <c r="B65" s="14">
        <v>4284.6400000000003</v>
      </c>
      <c r="C65" s="2">
        <f t="shared" si="0"/>
        <v>-1.3941756688959361E-2</v>
      </c>
      <c r="D65">
        <f t="shared" si="1"/>
        <v>0</v>
      </c>
      <c r="E65">
        <v>0.50082030121594556</v>
      </c>
      <c r="F65">
        <v>0.88555499063540566</v>
      </c>
      <c r="G65">
        <v>9.9610488868036293E-2</v>
      </c>
      <c r="I65">
        <v>0.88522215339288235</v>
      </c>
      <c r="J65">
        <v>0.10050732513257066</v>
      </c>
      <c r="K65">
        <f t="shared" si="2"/>
        <v>1</v>
      </c>
      <c r="L65" t="b">
        <f t="shared" si="3"/>
        <v>0</v>
      </c>
    </row>
    <row r="66" spans="1:12" x14ac:dyDescent="0.35">
      <c r="A66" s="13">
        <v>42467</v>
      </c>
      <c r="B66" s="14">
        <v>4245.91</v>
      </c>
      <c r="C66" s="2">
        <f t="shared" si="0"/>
        <v>-9.0392658426380335E-3</v>
      </c>
      <c r="D66">
        <f t="shared" si="1"/>
        <v>0</v>
      </c>
      <c r="E66">
        <v>0.49704823783575991</v>
      </c>
      <c r="F66">
        <v>0.88522215339288235</v>
      </c>
      <c r="G66">
        <v>0.10050732513257066</v>
      </c>
      <c r="I66">
        <v>0.88608833890320249</v>
      </c>
      <c r="J66">
        <v>0.10017700536710691</v>
      </c>
      <c r="K66">
        <f t="shared" si="2"/>
        <v>0</v>
      </c>
      <c r="L66" t="b">
        <f t="shared" si="3"/>
        <v>1</v>
      </c>
    </row>
    <row r="67" spans="1:12" x14ac:dyDescent="0.35">
      <c r="A67" s="13">
        <v>42468</v>
      </c>
      <c r="B67" s="14">
        <v>4303.12</v>
      </c>
      <c r="C67" s="2">
        <f t="shared" si="0"/>
        <v>1.3474143352072865E-2</v>
      </c>
      <c r="D67">
        <f t="shared" si="1"/>
        <v>1</v>
      </c>
      <c r="E67">
        <v>0.4976484594656001</v>
      </c>
      <c r="F67">
        <v>0.88608833890320249</v>
      </c>
      <c r="G67">
        <v>0.10017700536710691</v>
      </c>
      <c r="I67">
        <v>0.88552074031800854</v>
      </c>
      <c r="J67">
        <v>9.9301566862527779E-2</v>
      </c>
      <c r="K67">
        <f t="shared" si="2"/>
        <v>0</v>
      </c>
      <c r="L67" t="b">
        <f t="shared" si="3"/>
        <v>0</v>
      </c>
    </row>
    <row r="68" spans="1:12" x14ac:dyDescent="0.35">
      <c r="A68" s="13">
        <v>42471</v>
      </c>
      <c r="B68" s="14">
        <v>4312.63</v>
      </c>
      <c r="C68" s="2">
        <f t="shared" ref="C68:C131" si="4">(B68/B67)-1</f>
        <v>2.2100243544218579E-3</v>
      </c>
      <c r="D68">
        <f t="shared" si="1"/>
        <v>1</v>
      </c>
      <c r="E68">
        <v>0.50275847704680465</v>
      </c>
      <c r="F68">
        <v>0.88552074031800854</v>
      </c>
      <c r="G68">
        <v>9.9301566862527779E-2</v>
      </c>
      <c r="I68">
        <v>0.8863582027726794</v>
      </c>
      <c r="J68">
        <v>9.8739746673800616E-2</v>
      </c>
      <c r="K68">
        <f t="shared" si="2"/>
        <v>1</v>
      </c>
      <c r="L68" t="b">
        <f t="shared" si="3"/>
        <v>1</v>
      </c>
    </row>
    <row r="69" spans="1:12" x14ac:dyDescent="0.35">
      <c r="A69" s="13">
        <v>42472</v>
      </c>
      <c r="B69" s="14">
        <v>4345.91</v>
      </c>
      <c r="C69" s="2">
        <f t="shared" si="4"/>
        <v>7.7168688248236972E-3</v>
      </c>
      <c r="D69">
        <f t="shared" si="1"/>
        <v>1</v>
      </c>
      <c r="E69">
        <v>0.50082232593759268</v>
      </c>
      <c r="F69">
        <v>0.8863582027726794</v>
      </c>
      <c r="G69">
        <v>9.8739746673800616E-2</v>
      </c>
      <c r="I69">
        <v>0.88649610175178595</v>
      </c>
      <c r="J69">
        <v>9.9580493341984697E-2</v>
      </c>
      <c r="K69">
        <f t="shared" si="2"/>
        <v>1</v>
      </c>
      <c r="L69" t="b">
        <f t="shared" si="3"/>
        <v>1</v>
      </c>
    </row>
    <row r="70" spans="1:12" x14ac:dyDescent="0.35">
      <c r="A70" s="13">
        <v>42473</v>
      </c>
      <c r="B70" s="14">
        <v>4490.3100000000004</v>
      </c>
      <c r="C70" s="2">
        <f t="shared" si="4"/>
        <v>3.3226642981562193E-2</v>
      </c>
      <c r="D70">
        <f t="shared" ref="D70:D133" si="5">IF(C70&gt;=0,1,0)</f>
        <v>1</v>
      </c>
      <c r="E70">
        <v>0.50176525502721581</v>
      </c>
      <c r="F70">
        <v>0.88649610175178595</v>
      </c>
      <c r="G70">
        <v>9.9580493341984697E-2</v>
      </c>
      <c r="I70">
        <v>0.88697669728269324</v>
      </c>
      <c r="J70">
        <v>9.9718130491461013E-2</v>
      </c>
      <c r="K70">
        <f t="shared" ref="K70:K133" si="6">IF(E70&gt;=0.5,1,0)</f>
        <v>1</v>
      </c>
      <c r="L70" t="b">
        <f t="shared" ref="L70:L133" si="7">IF(K70=D70,TRUE,FALSE)</f>
        <v>1</v>
      </c>
    </row>
    <row r="71" spans="1:12" x14ac:dyDescent="0.35">
      <c r="A71" s="13">
        <v>42474</v>
      </c>
      <c r="B71" s="14">
        <v>4511.51</v>
      </c>
      <c r="C71" s="2">
        <f t="shared" si="4"/>
        <v>4.7212775955334241E-3</v>
      </c>
      <c r="D71">
        <f t="shared" si="5"/>
        <v>1</v>
      </c>
      <c r="E71">
        <v>0.50755961634690849</v>
      </c>
      <c r="F71">
        <v>0.88697669728269324</v>
      </c>
      <c r="G71">
        <v>9.9718130491461013E-2</v>
      </c>
      <c r="I71">
        <v>0.88902149735469149</v>
      </c>
      <c r="J71">
        <v>0.10019303413843361</v>
      </c>
      <c r="K71">
        <f t="shared" si="6"/>
        <v>1</v>
      </c>
      <c r="L71" t="b">
        <f t="shared" si="7"/>
        <v>1</v>
      </c>
    </row>
    <row r="72" spans="1:12" x14ac:dyDescent="0.35">
      <c r="A72" s="13">
        <v>42475</v>
      </c>
      <c r="B72" s="14">
        <v>4495.17</v>
      </c>
      <c r="C72" s="2">
        <f t="shared" si="4"/>
        <v>-3.621847230749875E-3</v>
      </c>
      <c r="D72">
        <f t="shared" si="5"/>
        <v>0</v>
      </c>
      <c r="E72">
        <v>0.50188158998085575</v>
      </c>
      <c r="F72">
        <v>0.88902149735469149</v>
      </c>
      <c r="G72">
        <v>0.10019303413843361</v>
      </c>
      <c r="I72">
        <v>0.88872531126089882</v>
      </c>
      <c r="J72">
        <v>9.8108583606682606E-2</v>
      </c>
      <c r="K72">
        <f t="shared" si="6"/>
        <v>1</v>
      </c>
      <c r="L72" t="b">
        <f t="shared" si="7"/>
        <v>0</v>
      </c>
    </row>
    <row r="73" spans="1:12" x14ac:dyDescent="0.35">
      <c r="A73" s="13">
        <v>42478</v>
      </c>
      <c r="B73" s="14">
        <v>4506.84</v>
      </c>
      <c r="C73" s="2">
        <f t="shared" si="4"/>
        <v>2.5961198352899562E-3</v>
      </c>
      <c r="D73">
        <f t="shared" si="5"/>
        <v>1</v>
      </c>
      <c r="E73">
        <v>0.4993110930734902</v>
      </c>
      <c r="F73">
        <v>0.88872531126089882</v>
      </c>
      <c r="G73">
        <v>9.8108583606682606E-2</v>
      </c>
      <c r="I73">
        <v>0.88849863434983911</v>
      </c>
      <c r="J73">
        <v>9.8404069460565291E-2</v>
      </c>
      <c r="K73">
        <f t="shared" si="6"/>
        <v>0</v>
      </c>
      <c r="L73" t="b">
        <f t="shared" si="7"/>
        <v>0</v>
      </c>
    </row>
    <row r="74" spans="1:12" x14ac:dyDescent="0.35">
      <c r="A74" s="13">
        <v>42479</v>
      </c>
      <c r="B74" s="14">
        <v>4566.4799999999996</v>
      </c>
      <c r="C74" s="2">
        <f t="shared" si="4"/>
        <v>1.3233218840695393E-2</v>
      </c>
      <c r="D74">
        <f t="shared" si="5"/>
        <v>1</v>
      </c>
      <c r="E74">
        <v>0.50048756095091373</v>
      </c>
      <c r="F74">
        <v>0.88849863434983911</v>
      </c>
      <c r="G74">
        <v>9.8404069460565291E-2</v>
      </c>
      <c r="I74">
        <v>0.88866073346457863</v>
      </c>
      <c r="J74">
        <v>9.8177924957585996E-2</v>
      </c>
      <c r="K74">
        <f t="shared" si="6"/>
        <v>1</v>
      </c>
      <c r="L74" t="b">
        <f t="shared" si="7"/>
        <v>1</v>
      </c>
    </row>
    <row r="75" spans="1:12" x14ac:dyDescent="0.35">
      <c r="A75" s="13">
        <v>42480</v>
      </c>
      <c r="B75" s="14">
        <v>4591.92</v>
      </c>
      <c r="C75" s="2">
        <f t="shared" si="4"/>
        <v>5.5710306406686616E-3</v>
      </c>
      <c r="D75">
        <f t="shared" si="5"/>
        <v>1</v>
      </c>
      <c r="E75">
        <v>0.5030036447727062</v>
      </c>
      <c r="F75">
        <v>0.88866073346457863</v>
      </c>
      <c r="G75">
        <v>9.8177924957585996E-2</v>
      </c>
      <c r="I75">
        <v>0.8894828114882134</v>
      </c>
      <c r="J75">
        <v>9.8339201899273906E-2</v>
      </c>
      <c r="K75">
        <f t="shared" si="6"/>
        <v>1</v>
      </c>
      <c r="L75" t="b">
        <f t="shared" si="7"/>
        <v>1</v>
      </c>
    </row>
    <row r="76" spans="1:12" x14ac:dyDescent="0.35">
      <c r="A76" s="13">
        <v>42481</v>
      </c>
      <c r="B76" s="14">
        <v>4582.83</v>
      </c>
      <c r="C76" s="2">
        <f t="shared" si="4"/>
        <v>-1.9795641039043188E-3</v>
      </c>
      <c r="D76">
        <f t="shared" si="5"/>
        <v>0</v>
      </c>
      <c r="E76">
        <v>0.50156416494155587</v>
      </c>
      <c r="F76">
        <v>0.8894828114882134</v>
      </c>
      <c r="G76">
        <v>9.8339201899273906E-2</v>
      </c>
      <c r="I76">
        <v>0.88913353624001701</v>
      </c>
      <c r="J76">
        <v>9.7509546474067649E-2</v>
      </c>
      <c r="K76">
        <f t="shared" si="6"/>
        <v>1</v>
      </c>
      <c r="L76" t="b">
        <f t="shared" si="7"/>
        <v>0</v>
      </c>
    </row>
    <row r="77" spans="1:12" x14ac:dyDescent="0.35">
      <c r="A77" s="13">
        <v>42482</v>
      </c>
      <c r="B77" s="14">
        <v>4569.66</v>
      </c>
      <c r="C77" s="2">
        <f t="shared" si="4"/>
        <v>-2.8737701376660985E-3</v>
      </c>
      <c r="D77">
        <f t="shared" si="5"/>
        <v>0</v>
      </c>
      <c r="E77">
        <v>0.49969578299735118</v>
      </c>
      <c r="F77">
        <v>0.88913353624001701</v>
      </c>
      <c r="G77">
        <v>9.7509546474067649E-2</v>
      </c>
      <c r="I77">
        <v>0.8892571836736054</v>
      </c>
      <c r="J77">
        <v>9.7161569038124743E-2</v>
      </c>
      <c r="K77">
        <f t="shared" si="6"/>
        <v>0</v>
      </c>
      <c r="L77" t="b">
        <f t="shared" si="7"/>
        <v>1</v>
      </c>
    </row>
    <row r="78" spans="1:12" x14ac:dyDescent="0.35">
      <c r="A78" s="13">
        <v>42485</v>
      </c>
      <c r="B78" s="14">
        <v>4546.12</v>
      </c>
      <c r="C78" s="2">
        <f t="shared" si="4"/>
        <v>-5.1513679354699971E-3</v>
      </c>
      <c r="D78">
        <f t="shared" si="5"/>
        <v>0</v>
      </c>
      <c r="E78">
        <v>0.49931303585888309</v>
      </c>
      <c r="F78">
        <v>0.8892571836736054</v>
      </c>
      <c r="G78">
        <v>9.7161569038124743E-2</v>
      </c>
      <c r="I78">
        <v>0.88943654719649889</v>
      </c>
      <c r="J78">
        <v>9.7285121575196504E-2</v>
      </c>
      <c r="K78">
        <f t="shared" si="6"/>
        <v>0</v>
      </c>
      <c r="L78" t="b">
        <f t="shared" si="7"/>
        <v>1</v>
      </c>
    </row>
    <row r="79" spans="1:12" x14ac:dyDescent="0.35">
      <c r="A79" s="13">
        <v>42486</v>
      </c>
      <c r="B79" s="14">
        <v>4533.18</v>
      </c>
      <c r="C79" s="2">
        <f t="shared" si="4"/>
        <v>-2.8463832894862762E-3</v>
      </c>
      <c r="D79">
        <f t="shared" si="5"/>
        <v>0</v>
      </c>
      <c r="E79">
        <v>0.4987846548967601</v>
      </c>
      <c r="F79">
        <v>0.88943654719649889</v>
      </c>
      <c r="G79">
        <v>9.7285121575196504E-2</v>
      </c>
      <c r="I79">
        <v>0.88975772320864044</v>
      </c>
      <c r="J79">
        <v>9.7464294572386562E-2</v>
      </c>
      <c r="K79">
        <f t="shared" si="6"/>
        <v>0</v>
      </c>
      <c r="L79" t="b">
        <f t="shared" si="7"/>
        <v>1</v>
      </c>
    </row>
    <row r="80" spans="1:12" x14ac:dyDescent="0.35">
      <c r="A80" s="13">
        <v>42487</v>
      </c>
      <c r="B80" s="14">
        <v>4559.3999999999996</v>
      </c>
      <c r="C80" s="2">
        <f t="shared" si="4"/>
        <v>5.7840191653539819E-3</v>
      </c>
      <c r="D80">
        <f t="shared" si="5"/>
        <v>1</v>
      </c>
      <c r="E80">
        <v>0.49924133409298882</v>
      </c>
      <c r="F80">
        <v>0.88975772320864044</v>
      </c>
      <c r="G80">
        <v>9.7464294572386562E-2</v>
      </c>
      <c r="I80">
        <v>0.88957955473150008</v>
      </c>
      <c r="J80">
        <v>9.7141846297889328E-2</v>
      </c>
      <c r="K80">
        <f t="shared" si="6"/>
        <v>0</v>
      </c>
      <c r="L80" t="b">
        <f t="shared" si="7"/>
        <v>0</v>
      </c>
    </row>
    <row r="81" spans="1:12" x14ac:dyDescent="0.35">
      <c r="A81" s="13">
        <v>42488</v>
      </c>
      <c r="B81" s="14">
        <v>4557.3599999999997</v>
      </c>
      <c r="C81" s="2">
        <f t="shared" si="4"/>
        <v>-4.4742729306490592E-4</v>
      </c>
      <c r="D81">
        <f t="shared" si="5"/>
        <v>0</v>
      </c>
      <c r="E81">
        <v>0.50121720816185977</v>
      </c>
      <c r="F81">
        <v>0.88957955473150008</v>
      </c>
      <c r="G81">
        <v>9.7141846297889328E-2</v>
      </c>
      <c r="I81">
        <v>0.88921717563685843</v>
      </c>
      <c r="J81">
        <v>9.7320177276739778E-2</v>
      </c>
      <c r="K81">
        <f t="shared" si="6"/>
        <v>1</v>
      </c>
      <c r="L81" t="b">
        <f t="shared" si="7"/>
        <v>0</v>
      </c>
    </row>
    <row r="82" spans="1:12" x14ac:dyDescent="0.35">
      <c r="A82" s="13">
        <v>42489</v>
      </c>
      <c r="B82" s="14">
        <v>4428.96</v>
      </c>
      <c r="C82" s="2">
        <f t="shared" si="4"/>
        <v>-2.817420611933219E-2</v>
      </c>
      <c r="D82">
        <f t="shared" si="5"/>
        <v>0</v>
      </c>
      <c r="E82">
        <v>0.50004126043408192</v>
      </c>
      <c r="F82">
        <v>0.88921717563685843</v>
      </c>
      <c r="G82">
        <v>9.7320177276739778E-2</v>
      </c>
      <c r="I82">
        <v>0.88924514215011508</v>
      </c>
      <c r="J82">
        <v>9.6958646249974384E-2</v>
      </c>
      <c r="K82">
        <f t="shared" si="6"/>
        <v>1</v>
      </c>
      <c r="L82" t="b">
        <f t="shared" si="7"/>
        <v>0</v>
      </c>
    </row>
    <row r="83" spans="1:12" x14ac:dyDescent="0.35">
      <c r="A83" s="13">
        <v>42492</v>
      </c>
      <c r="B83" s="14">
        <v>4442.75</v>
      </c>
      <c r="C83" s="2">
        <f t="shared" si="4"/>
        <v>3.1135977746468146E-3</v>
      </c>
      <c r="D83">
        <f t="shared" si="5"/>
        <v>1</v>
      </c>
      <c r="E83">
        <v>0.49372603984254326</v>
      </c>
      <c r="F83">
        <v>0.88924514215011508</v>
      </c>
      <c r="G83">
        <v>9.6958646249974384E-2</v>
      </c>
      <c r="I83">
        <v>0.88746243951809722</v>
      </c>
      <c r="J83">
        <v>9.6930335609752435E-2</v>
      </c>
      <c r="K83">
        <f t="shared" si="6"/>
        <v>0</v>
      </c>
      <c r="L83" t="b">
        <f t="shared" si="7"/>
        <v>0</v>
      </c>
    </row>
    <row r="84" spans="1:12" x14ac:dyDescent="0.35">
      <c r="A84" s="13">
        <v>42493</v>
      </c>
      <c r="B84" s="14">
        <v>4371.9799999999996</v>
      </c>
      <c r="C84" s="2">
        <f t="shared" si="4"/>
        <v>-1.5929323054414635E-2</v>
      </c>
      <c r="D84">
        <f t="shared" si="5"/>
        <v>0</v>
      </c>
      <c r="E84">
        <v>0.50000806645551954</v>
      </c>
      <c r="F84">
        <v>0.88746243951809722</v>
      </c>
      <c r="G84">
        <v>9.6930335609752435E-2</v>
      </c>
      <c r="I84">
        <v>0.88726783651777019</v>
      </c>
      <c r="J84">
        <v>9.8691251899999943E-2</v>
      </c>
      <c r="K84">
        <f t="shared" si="6"/>
        <v>1</v>
      </c>
      <c r="L84" t="b">
        <f t="shared" si="7"/>
        <v>0</v>
      </c>
    </row>
    <row r="85" spans="1:12" x14ac:dyDescent="0.35">
      <c r="A85" s="13">
        <v>42494</v>
      </c>
      <c r="B85" s="14">
        <v>4324.2299999999996</v>
      </c>
      <c r="C85" s="2">
        <f t="shared" si="4"/>
        <v>-1.0921824893983967E-2</v>
      </c>
      <c r="D85">
        <f t="shared" si="5"/>
        <v>0</v>
      </c>
      <c r="E85">
        <v>0.49654348227862671</v>
      </c>
      <c r="F85">
        <v>0.88726783651777019</v>
      </c>
      <c r="G85">
        <v>9.8691251899999943E-2</v>
      </c>
      <c r="I85">
        <v>0.88825648946020219</v>
      </c>
      <c r="J85">
        <v>9.8498006550468212E-2</v>
      </c>
      <c r="K85">
        <f t="shared" si="6"/>
        <v>0</v>
      </c>
      <c r="L85" t="b">
        <f t="shared" si="7"/>
        <v>1</v>
      </c>
    </row>
    <row r="86" spans="1:12" x14ac:dyDescent="0.35">
      <c r="A86" s="13">
        <v>42495</v>
      </c>
      <c r="B86" s="14">
        <v>4319.46</v>
      </c>
      <c r="C86" s="2">
        <f t="shared" si="4"/>
        <v>-1.1030865610754947E-3</v>
      </c>
      <c r="D86">
        <f t="shared" si="5"/>
        <v>0</v>
      </c>
      <c r="E86">
        <v>0.49718243272292817</v>
      </c>
      <c r="F86">
        <v>0.88825648946020219</v>
      </c>
      <c r="G86">
        <v>9.8498006550468212E-2</v>
      </c>
      <c r="I86">
        <v>0.88893523533993846</v>
      </c>
      <c r="J86">
        <v>9.948794756262698E-2</v>
      </c>
      <c r="K86">
        <f t="shared" si="6"/>
        <v>0</v>
      </c>
      <c r="L86" t="b">
        <f t="shared" si="7"/>
        <v>1</v>
      </c>
    </row>
    <row r="87" spans="1:12" x14ac:dyDescent="0.35">
      <c r="A87" s="13">
        <v>42496</v>
      </c>
      <c r="B87" s="14">
        <v>4301.24</v>
      </c>
      <c r="C87" s="2">
        <f t="shared" si="4"/>
        <v>-4.2181198575748091E-3</v>
      </c>
      <c r="D87">
        <f t="shared" si="5"/>
        <v>0</v>
      </c>
      <c r="E87">
        <v>0.49948320957049969</v>
      </c>
      <c r="F87">
        <v>0.88893523533993846</v>
      </c>
      <c r="G87">
        <v>9.948794756262698E-2</v>
      </c>
      <c r="I87">
        <v>0.88900410691835863</v>
      </c>
      <c r="J87">
        <v>0.10016985535320311</v>
      </c>
      <c r="K87">
        <f t="shared" si="6"/>
        <v>0</v>
      </c>
      <c r="L87" t="b">
        <f t="shared" si="7"/>
        <v>1</v>
      </c>
    </row>
    <row r="88" spans="1:12" x14ac:dyDescent="0.35">
      <c r="A88" s="13">
        <v>42499</v>
      </c>
      <c r="B88" s="14">
        <v>4322.8100000000004</v>
      </c>
      <c r="C88" s="2">
        <f t="shared" si="4"/>
        <v>5.0148329318988605E-3</v>
      </c>
      <c r="D88">
        <f t="shared" si="5"/>
        <v>1</v>
      </c>
      <c r="E88">
        <v>0.49903489572403659</v>
      </c>
      <c r="F88">
        <v>0.88900410691835863</v>
      </c>
      <c r="G88">
        <v>0.10016985535320311</v>
      </c>
      <c r="I88">
        <v>0.8887399665456841</v>
      </c>
      <c r="J88">
        <v>0.10010077962629803</v>
      </c>
      <c r="K88">
        <f t="shared" si="6"/>
        <v>0</v>
      </c>
      <c r="L88" t="b">
        <f t="shared" si="7"/>
        <v>0</v>
      </c>
    </row>
    <row r="89" spans="1:12" x14ac:dyDescent="0.35">
      <c r="A89" s="13">
        <v>42500</v>
      </c>
      <c r="B89" s="14">
        <v>4338.21</v>
      </c>
      <c r="C89" s="2">
        <f t="shared" si="4"/>
        <v>3.5624975421080229E-3</v>
      </c>
      <c r="D89">
        <f t="shared" si="5"/>
        <v>1</v>
      </c>
      <c r="E89">
        <v>0.50100865997317945</v>
      </c>
      <c r="F89">
        <v>0.8887399665456841</v>
      </c>
      <c r="G89">
        <v>0.10010077962629803</v>
      </c>
      <c r="I89">
        <v>0.88905276004832812</v>
      </c>
      <c r="J89">
        <v>9.9837680036991533E-2</v>
      </c>
      <c r="K89">
        <f t="shared" si="6"/>
        <v>1</v>
      </c>
      <c r="L89" t="b">
        <f t="shared" si="7"/>
        <v>1</v>
      </c>
    </row>
    <row r="90" spans="1:12" x14ac:dyDescent="0.35">
      <c r="A90" s="13">
        <v>42501</v>
      </c>
      <c r="B90" s="14">
        <v>4316.67</v>
      </c>
      <c r="C90" s="2">
        <f t="shared" si="4"/>
        <v>-4.9651814919056125E-3</v>
      </c>
      <c r="D90">
        <f t="shared" si="5"/>
        <v>0</v>
      </c>
      <c r="E90">
        <v>0.50091697836148641</v>
      </c>
      <c r="F90">
        <v>0.88905276004832812</v>
      </c>
      <c r="G90">
        <v>9.9837680036991533E-2</v>
      </c>
      <c r="I90">
        <v>0.88882969636055587</v>
      </c>
      <c r="J90">
        <v>9.9523679223200254E-2</v>
      </c>
      <c r="K90">
        <f t="shared" si="6"/>
        <v>1</v>
      </c>
      <c r="L90" t="b">
        <f t="shared" si="7"/>
        <v>0</v>
      </c>
    </row>
    <row r="91" spans="1:12" x14ac:dyDescent="0.35">
      <c r="A91" s="13">
        <v>42502</v>
      </c>
      <c r="B91" s="14">
        <v>4293.2700000000004</v>
      </c>
      <c r="C91" s="2">
        <f t="shared" si="4"/>
        <v>-5.42084523486841E-3</v>
      </c>
      <c r="D91">
        <f t="shared" si="5"/>
        <v>0</v>
      </c>
      <c r="E91">
        <v>0.49898533941904016</v>
      </c>
      <c r="F91">
        <v>0.88882969636055587</v>
      </c>
      <c r="G91">
        <v>9.9523679223200254E-2</v>
      </c>
      <c r="I91">
        <v>0.88913938918169277</v>
      </c>
      <c r="J91">
        <v>9.9301475882615925E-2</v>
      </c>
      <c r="K91">
        <f t="shared" si="6"/>
        <v>0</v>
      </c>
      <c r="L91" t="b">
        <f t="shared" si="7"/>
        <v>1</v>
      </c>
    </row>
    <row r="92" spans="1:12" x14ac:dyDescent="0.35">
      <c r="A92" s="13">
        <v>42503</v>
      </c>
      <c r="B92" s="14">
        <v>4319.99</v>
      </c>
      <c r="C92" s="2">
        <f t="shared" si="4"/>
        <v>6.2236942936269024E-3</v>
      </c>
      <c r="D92">
        <f t="shared" si="5"/>
        <v>1</v>
      </c>
      <c r="E92">
        <v>0.49867176890657544</v>
      </c>
      <c r="F92">
        <v>0.88913938918169277</v>
      </c>
      <c r="G92">
        <v>9.9301475882615925E-2</v>
      </c>
      <c r="I92">
        <v>0.8887996887348264</v>
      </c>
      <c r="J92">
        <v>9.8990329871524549E-2</v>
      </c>
      <c r="K92">
        <f t="shared" si="6"/>
        <v>0</v>
      </c>
      <c r="L92" t="b">
        <f t="shared" si="7"/>
        <v>0</v>
      </c>
    </row>
    <row r="93" spans="1:12" x14ac:dyDescent="0.35">
      <c r="A93" s="13">
        <v>42506</v>
      </c>
      <c r="B93" s="14">
        <v>4312.28</v>
      </c>
      <c r="C93" s="2">
        <f t="shared" si="4"/>
        <v>-1.784726353533217E-3</v>
      </c>
      <c r="D93">
        <f t="shared" si="5"/>
        <v>0</v>
      </c>
      <c r="E93">
        <v>0.50124874897687821</v>
      </c>
      <c r="F93">
        <v>0.8887996887348264</v>
      </c>
      <c r="G93">
        <v>9.8990329871524549E-2</v>
      </c>
      <c r="I93">
        <v>0.88840973879481588</v>
      </c>
      <c r="J93">
        <v>9.932997673951223E-2</v>
      </c>
      <c r="K93">
        <f t="shared" si="6"/>
        <v>1</v>
      </c>
      <c r="L93" t="b">
        <f t="shared" si="7"/>
        <v>0</v>
      </c>
    </row>
    <row r="94" spans="1:12" x14ac:dyDescent="0.35">
      <c r="A94" s="13">
        <v>42507</v>
      </c>
      <c r="B94" s="14">
        <v>4297.57</v>
      </c>
      <c r="C94" s="2">
        <f t="shared" si="4"/>
        <v>-3.4111885128053077E-3</v>
      </c>
      <c r="D94">
        <f t="shared" si="5"/>
        <v>0</v>
      </c>
      <c r="E94">
        <v>0.49975815780282401</v>
      </c>
      <c r="F94">
        <v>0.88840973879481588</v>
      </c>
      <c r="G94">
        <v>9.932997673951223E-2</v>
      </c>
      <c r="I94">
        <v>0.8885212302130604</v>
      </c>
      <c r="J94">
        <v>9.8941184081106665E-2</v>
      </c>
      <c r="K94">
        <f t="shared" si="6"/>
        <v>0</v>
      </c>
      <c r="L94" t="b">
        <f t="shared" si="7"/>
        <v>1</v>
      </c>
    </row>
    <row r="95" spans="1:12" x14ac:dyDescent="0.35">
      <c r="A95" s="13">
        <v>42508</v>
      </c>
      <c r="B95" s="14">
        <v>4319.3</v>
      </c>
      <c r="C95" s="2">
        <f t="shared" si="4"/>
        <v>5.0563457954146962E-3</v>
      </c>
      <c r="D95">
        <f t="shared" si="5"/>
        <v>1</v>
      </c>
      <c r="E95">
        <v>0.49919812659933338</v>
      </c>
      <c r="F95">
        <v>0.8885212302130604</v>
      </c>
      <c r="G95">
        <v>9.8941184081106665E-2</v>
      </c>
      <c r="I95">
        <v>0.88830768956257222</v>
      </c>
      <c r="J95">
        <v>9.8829460080792339E-2</v>
      </c>
      <c r="K95">
        <f t="shared" si="6"/>
        <v>0</v>
      </c>
      <c r="L95" t="b">
        <f t="shared" si="7"/>
        <v>0</v>
      </c>
    </row>
    <row r="96" spans="1:12" x14ac:dyDescent="0.35">
      <c r="A96" s="13">
        <v>42509</v>
      </c>
      <c r="B96" s="14">
        <v>4282.54</v>
      </c>
      <c r="C96" s="2">
        <f t="shared" si="4"/>
        <v>-8.5106382978723527E-3</v>
      </c>
      <c r="D96">
        <f t="shared" si="5"/>
        <v>0</v>
      </c>
      <c r="E96">
        <v>0.50103861473921263</v>
      </c>
      <c r="F96">
        <v>0.88830768956257222</v>
      </c>
      <c r="G96">
        <v>9.8829460080792339E-2</v>
      </c>
      <c r="I96">
        <v>0.88799101286737869</v>
      </c>
      <c r="J96">
        <v>9.9043101304835415E-2</v>
      </c>
      <c r="K96">
        <f t="shared" si="6"/>
        <v>1</v>
      </c>
      <c r="L96" t="b">
        <f t="shared" si="7"/>
        <v>0</v>
      </c>
    </row>
    <row r="97" spans="1:12" x14ac:dyDescent="0.35">
      <c r="A97" s="13">
        <v>42510</v>
      </c>
      <c r="B97" s="14">
        <v>4353.8999999999996</v>
      </c>
      <c r="C97" s="2">
        <f t="shared" si="4"/>
        <v>1.666300840155599E-2</v>
      </c>
      <c r="D97">
        <f t="shared" si="5"/>
        <v>1</v>
      </c>
      <c r="E97">
        <v>0.49823586378210227</v>
      </c>
      <c r="F97">
        <v>0.88799101286737869</v>
      </c>
      <c r="G97">
        <v>9.9043101304835415E-2</v>
      </c>
      <c r="I97">
        <v>0.88745722787811965</v>
      </c>
      <c r="J97">
        <v>9.9360233979451623E-2</v>
      </c>
      <c r="K97">
        <f t="shared" si="6"/>
        <v>0</v>
      </c>
      <c r="L97" t="b">
        <f t="shared" si="7"/>
        <v>0</v>
      </c>
    </row>
    <row r="98" spans="1:12" x14ac:dyDescent="0.35">
      <c r="A98" s="13">
        <v>42513</v>
      </c>
      <c r="B98" s="14">
        <v>4325.1000000000004</v>
      </c>
      <c r="C98" s="2">
        <f t="shared" si="4"/>
        <v>-6.6147591814234019E-3</v>
      </c>
      <c r="D98">
        <f t="shared" si="5"/>
        <v>0</v>
      </c>
      <c r="E98">
        <v>0.50348546559881036</v>
      </c>
      <c r="F98">
        <v>0.88745722787811965</v>
      </c>
      <c r="G98">
        <v>9.9360233979451623E-2</v>
      </c>
      <c r="I98">
        <v>0.88640858102050057</v>
      </c>
      <c r="J98">
        <v>9.9895830787202294E-2</v>
      </c>
      <c r="K98">
        <f t="shared" si="6"/>
        <v>1</v>
      </c>
      <c r="L98" t="b">
        <f t="shared" si="7"/>
        <v>0</v>
      </c>
    </row>
    <row r="99" spans="1:12" x14ac:dyDescent="0.35">
      <c r="A99" s="13">
        <v>42514</v>
      </c>
      <c r="B99" s="14">
        <v>4431.5200000000004</v>
      </c>
      <c r="C99" s="2">
        <f t="shared" si="4"/>
        <v>2.4605211440198005E-2</v>
      </c>
      <c r="D99">
        <f t="shared" si="5"/>
        <v>1</v>
      </c>
      <c r="E99">
        <v>0.49895029798416279</v>
      </c>
      <c r="F99">
        <v>0.88640858102050057</v>
      </c>
      <c r="G99">
        <v>9.9895830787202294E-2</v>
      </c>
      <c r="I99">
        <v>0.88599429245688954</v>
      </c>
      <c r="J99">
        <v>0.10093945061171636</v>
      </c>
      <c r="K99">
        <f t="shared" si="6"/>
        <v>0</v>
      </c>
      <c r="L99" t="b">
        <f t="shared" si="7"/>
        <v>0</v>
      </c>
    </row>
    <row r="100" spans="1:12" x14ac:dyDescent="0.35">
      <c r="A100" s="13">
        <v>42515</v>
      </c>
      <c r="B100" s="14">
        <v>4481.6400000000003</v>
      </c>
      <c r="C100" s="2">
        <f t="shared" si="4"/>
        <v>1.1309889157670394E-2</v>
      </c>
      <c r="D100">
        <f t="shared" si="5"/>
        <v>1</v>
      </c>
      <c r="E100">
        <v>0.50528290008507082</v>
      </c>
      <c r="F100">
        <v>0.88599429245688954</v>
      </c>
      <c r="G100">
        <v>0.10093945061171636</v>
      </c>
      <c r="I100">
        <v>0.88751569994968815</v>
      </c>
      <c r="J100">
        <v>0.10053044196709912</v>
      </c>
      <c r="K100">
        <f t="shared" si="6"/>
        <v>1</v>
      </c>
      <c r="L100" t="b">
        <f t="shared" si="7"/>
        <v>1</v>
      </c>
    </row>
    <row r="101" spans="1:12" x14ac:dyDescent="0.35">
      <c r="A101" s="13">
        <v>42516</v>
      </c>
      <c r="B101" s="14">
        <v>4512.6400000000003</v>
      </c>
      <c r="C101" s="2">
        <f t="shared" si="4"/>
        <v>6.9171107005470134E-3</v>
      </c>
      <c r="D101">
        <f t="shared" si="5"/>
        <v>1</v>
      </c>
      <c r="E101">
        <v>0.50312777844353351</v>
      </c>
      <c r="F101">
        <v>0.88751569994968815</v>
      </c>
      <c r="G101">
        <v>0.10053044196709912</v>
      </c>
      <c r="I101">
        <v>0.8882181186804845</v>
      </c>
      <c r="J101">
        <v>0.10205858792413336</v>
      </c>
      <c r="K101">
        <f t="shared" si="6"/>
        <v>1</v>
      </c>
      <c r="L101" t="b">
        <f t="shared" si="7"/>
        <v>1</v>
      </c>
    </row>
    <row r="102" spans="1:12" x14ac:dyDescent="0.35">
      <c r="A102" s="13">
        <v>42517</v>
      </c>
      <c r="B102" s="14">
        <v>4514.74</v>
      </c>
      <c r="C102" s="2">
        <f t="shared" si="4"/>
        <v>4.6535952347181997E-4</v>
      </c>
      <c r="D102">
        <f t="shared" si="5"/>
        <v>1</v>
      </c>
      <c r="E102">
        <v>0.50182453549413997</v>
      </c>
      <c r="F102">
        <v>0.8882181186804845</v>
      </c>
      <c r="G102">
        <v>0.10205858792413336</v>
      </c>
      <c r="I102">
        <v>0.88864885479938238</v>
      </c>
      <c r="J102">
        <v>0.10276286720660244</v>
      </c>
      <c r="K102">
        <f t="shared" si="6"/>
        <v>1</v>
      </c>
      <c r="L102" t="b">
        <f t="shared" si="7"/>
        <v>1</v>
      </c>
    </row>
    <row r="103" spans="1:12" x14ac:dyDescent="0.35">
      <c r="A103" s="13">
        <v>42520</v>
      </c>
      <c r="B103" s="14">
        <v>4529.3999999999996</v>
      </c>
      <c r="C103" s="2">
        <f t="shared" si="4"/>
        <v>3.2471415851189622E-3</v>
      </c>
      <c r="D103">
        <f t="shared" si="5"/>
        <v>1</v>
      </c>
      <c r="E103">
        <v>0.50028109080438143</v>
      </c>
      <c r="F103">
        <v>0.88864885479938238</v>
      </c>
      <c r="G103">
        <v>0.10276286720660244</v>
      </c>
      <c r="I103">
        <v>0.8886779234093769</v>
      </c>
      <c r="J103">
        <v>0.10319494344680333</v>
      </c>
      <c r="K103">
        <f t="shared" si="6"/>
        <v>1</v>
      </c>
      <c r="L103" t="b">
        <f t="shared" si="7"/>
        <v>1</v>
      </c>
    </row>
    <row r="104" spans="1:12" x14ac:dyDescent="0.35">
      <c r="A104" s="13">
        <v>42521</v>
      </c>
      <c r="B104" s="14">
        <v>4505.62</v>
      </c>
      <c r="C104" s="2">
        <f t="shared" si="4"/>
        <v>-5.2501435068661451E-3</v>
      </c>
      <c r="D104">
        <f t="shared" si="5"/>
        <v>0</v>
      </c>
      <c r="E104">
        <v>0.50073342092163042</v>
      </c>
      <c r="F104">
        <v>0.8886779234093769</v>
      </c>
      <c r="G104">
        <v>0.10319494344680333</v>
      </c>
      <c r="I104">
        <v>0.88847467980741512</v>
      </c>
      <c r="J104">
        <v>0.10316581587620675</v>
      </c>
      <c r="K104">
        <f t="shared" si="6"/>
        <v>1</v>
      </c>
      <c r="L104" t="b">
        <f t="shared" si="7"/>
        <v>0</v>
      </c>
    </row>
    <row r="105" spans="1:12" x14ac:dyDescent="0.35">
      <c r="A105" s="13">
        <v>42522</v>
      </c>
      <c r="B105" s="14">
        <v>4475.3900000000003</v>
      </c>
      <c r="C105" s="2">
        <f t="shared" si="4"/>
        <v>-6.7093984845592036E-3</v>
      </c>
      <c r="D105">
        <f t="shared" si="5"/>
        <v>0</v>
      </c>
      <c r="E105">
        <v>0.49891759530078728</v>
      </c>
      <c r="F105">
        <v>0.88847467980741512</v>
      </c>
      <c r="G105">
        <v>0.10316581587620675</v>
      </c>
      <c r="I105">
        <v>0.88880210189465592</v>
      </c>
      <c r="J105">
        <v>0.10296330981632945</v>
      </c>
      <c r="K105">
        <f t="shared" si="6"/>
        <v>0</v>
      </c>
      <c r="L105" t="b">
        <f t="shared" si="7"/>
        <v>1</v>
      </c>
    </row>
    <row r="106" spans="1:12" x14ac:dyDescent="0.35">
      <c r="A106" s="13">
        <v>42523</v>
      </c>
      <c r="B106" s="14">
        <v>4466</v>
      </c>
      <c r="C106" s="2">
        <f t="shared" si="4"/>
        <v>-2.0981411675854433E-3</v>
      </c>
      <c r="D106">
        <f t="shared" si="5"/>
        <v>0</v>
      </c>
      <c r="E106">
        <v>0.49837403082463289</v>
      </c>
      <c r="F106">
        <v>0.88880210189465592</v>
      </c>
      <c r="G106">
        <v>0.10296330981632945</v>
      </c>
      <c r="I106">
        <v>0.88922007122043534</v>
      </c>
      <c r="J106">
        <v>0.10329037325530389</v>
      </c>
      <c r="K106">
        <f t="shared" si="6"/>
        <v>0</v>
      </c>
      <c r="L106" t="b">
        <f t="shared" si="7"/>
        <v>1</v>
      </c>
    </row>
    <row r="107" spans="1:12" x14ac:dyDescent="0.35">
      <c r="A107" s="13">
        <v>42524</v>
      </c>
      <c r="B107" s="14">
        <v>4421.78</v>
      </c>
      <c r="C107" s="2">
        <f t="shared" si="4"/>
        <v>-9.9014778325123842E-3</v>
      </c>
      <c r="D107">
        <f t="shared" si="5"/>
        <v>0</v>
      </c>
      <c r="E107">
        <v>0.49936031897093847</v>
      </c>
      <c r="F107">
        <v>0.88922007122043534</v>
      </c>
      <c r="G107">
        <v>0.10329037325530389</v>
      </c>
      <c r="I107">
        <v>0.88935103706141083</v>
      </c>
      <c r="J107">
        <v>0.10370917349074332</v>
      </c>
      <c r="K107">
        <f t="shared" si="6"/>
        <v>0</v>
      </c>
      <c r="L107" t="b">
        <f t="shared" si="7"/>
        <v>1</v>
      </c>
    </row>
    <row r="108" spans="1:12" x14ac:dyDescent="0.35">
      <c r="A108" s="13">
        <v>42527</v>
      </c>
      <c r="B108" s="14">
        <v>4423.38</v>
      </c>
      <c r="C108" s="2">
        <f t="shared" si="4"/>
        <v>3.6184522974913591E-4</v>
      </c>
      <c r="D108">
        <f t="shared" si="5"/>
        <v>1</v>
      </c>
      <c r="E108">
        <v>0.49774414379029847</v>
      </c>
      <c r="F108">
        <v>0.88935103706141083</v>
      </c>
      <c r="G108">
        <v>0.10370917349074332</v>
      </c>
      <c r="I108">
        <v>0.8887294153118066</v>
      </c>
      <c r="J108">
        <v>0.10357745071101558</v>
      </c>
      <c r="K108">
        <f t="shared" si="6"/>
        <v>0</v>
      </c>
      <c r="L108" t="b">
        <f t="shared" si="7"/>
        <v>0</v>
      </c>
    </row>
    <row r="109" spans="1:12" x14ac:dyDescent="0.35">
      <c r="A109" s="13">
        <v>42528</v>
      </c>
      <c r="B109" s="14">
        <v>4475.8599999999997</v>
      </c>
      <c r="C109" s="2">
        <f t="shared" si="4"/>
        <v>1.1864230520552077E-2</v>
      </c>
      <c r="D109">
        <f t="shared" si="5"/>
        <v>1</v>
      </c>
      <c r="E109">
        <v>0.49982400317409487</v>
      </c>
      <c r="F109">
        <v>0.8887294153118066</v>
      </c>
      <c r="G109">
        <v>0.10357745071101558</v>
      </c>
      <c r="I109">
        <v>0.88875203859631435</v>
      </c>
      <c r="J109">
        <v>0.10295839059460103</v>
      </c>
      <c r="K109">
        <f t="shared" si="6"/>
        <v>0</v>
      </c>
      <c r="L109" t="b">
        <f t="shared" si="7"/>
        <v>0</v>
      </c>
    </row>
    <row r="110" spans="1:12" x14ac:dyDescent="0.35">
      <c r="A110" s="13">
        <v>42529</v>
      </c>
      <c r="B110" s="14">
        <v>4448.7299999999996</v>
      </c>
      <c r="C110" s="2">
        <f t="shared" si="4"/>
        <v>-6.0614049590470565E-3</v>
      </c>
      <c r="D110">
        <f t="shared" si="5"/>
        <v>0</v>
      </c>
      <c r="E110">
        <v>0.50264537883233862</v>
      </c>
      <c r="F110">
        <v>0.88875203859631435</v>
      </c>
      <c r="G110">
        <v>0.10295839059460103</v>
      </c>
      <c r="I110">
        <v>0.88800662188212043</v>
      </c>
      <c r="J110">
        <v>0.10293565625192798</v>
      </c>
      <c r="K110">
        <f t="shared" si="6"/>
        <v>1</v>
      </c>
      <c r="L110" t="b">
        <f t="shared" si="7"/>
        <v>0</v>
      </c>
    </row>
    <row r="111" spans="1:12" x14ac:dyDescent="0.35">
      <c r="A111" s="13">
        <v>42530</v>
      </c>
      <c r="B111" s="14">
        <v>4405.6099999999997</v>
      </c>
      <c r="C111" s="2">
        <f t="shared" si="4"/>
        <v>-9.6926538585169197E-3</v>
      </c>
      <c r="D111">
        <f t="shared" si="5"/>
        <v>0</v>
      </c>
      <c r="E111">
        <v>0.49895967265449281</v>
      </c>
      <c r="F111">
        <v>0.88800662188212043</v>
      </c>
      <c r="G111">
        <v>0.10293565625192798</v>
      </c>
      <c r="I111">
        <v>0.88838466982477104</v>
      </c>
      <c r="J111">
        <v>0.10219568788325262</v>
      </c>
      <c r="K111">
        <f t="shared" si="6"/>
        <v>0</v>
      </c>
      <c r="L111" t="b">
        <f t="shared" si="7"/>
        <v>1</v>
      </c>
    </row>
    <row r="112" spans="1:12" x14ac:dyDescent="0.35">
      <c r="A112" s="13">
        <v>42531</v>
      </c>
      <c r="B112" s="14">
        <v>4306.72</v>
      </c>
      <c r="C112" s="2">
        <f t="shared" si="4"/>
        <v>-2.2446380864397764E-2</v>
      </c>
      <c r="D112">
        <f t="shared" si="5"/>
        <v>0</v>
      </c>
      <c r="E112">
        <v>0.49769245274631224</v>
      </c>
      <c r="F112">
        <v>0.88838466982477104</v>
      </c>
      <c r="G112">
        <v>0.10219568788325262</v>
      </c>
      <c r="I112">
        <v>0.88898765206557839</v>
      </c>
      <c r="J112">
        <v>0.10257276928923259</v>
      </c>
      <c r="K112">
        <f t="shared" si="6"/>
        <v>0</v>
      </c>
      <c r="L112" t="b">
        <f t="shared" si="7"/>
        <v>1</v>
      </c>
    </row>
    <row r="113" spans="1:12" x14ac:dyDescent="0.35">
      <c r="A113" s="13">
        <v>42534</v>
      </c>
      <c r="B113" s="14">
        <v>4227.0200000000004</v>
      </c>
      <c r="C113" s="2">
        <f t="shared" si="4"/>
        <v>-1.8505962774454709E-2</v>
      </c>
      <c r="D113">
        <f t="shared" si="5"/>
        <v>0</v>
      </c>
      <c r="E113">
        <v>0.49476300207766449</v>
      </c>
      <c r="F113">
        <v>0.88898765206557839</v>
      </c>
      <c r="G113">
        <v>0.10257276928923259</v>
      </c>
      <c r="I113">
        <v>0.8903757046209172</v>
      </c>
      <c r="J113">
        <v>0.10317214934241828</v>
      </c>
      <c r="K113">
        <f t="shared" si="6"/>
        <v>0</v>
      </c>
      <c r="L113" t="b">
        <f t="shared" si="7"/>
        <v>1</v>
      </c>
    </row>
    <row r="114" spans="1:12" x14ac:dyDescent="0.35">
      <c r="A114" s="13">
        <v>42535</v>
      </c>
      <c r="B114" s="14">
        <v>4130.33</v>
      </c>
      <c r="C114" s="2">
        <f t="shared" si="4"/>
        <v>-2.287427076285431E-2</v>
      </c>
      <c r="D114">
        <f t="shared" si="5"/>
        <v>0</v>
      </c>
      <c r="E114">
        <v>0.49530186302250723</v>
      </c>
      <c r="F114">
        <v>0.8903757046209172</v>
      </c>
      <c r="G114">
        <v>0.10317214934241828</v>
      </c>
      <c r="I114">
        <v>0.8915213581921746</v>
      </c>
      <c r="J114">
        <v>0.10456174342690437</v>
      </c>
      <c r="K114">
        <f t="shared" si="6"/>
        <v>0</v>
      </c>
      <c r="L114" t="b">
        <f t="shared" si="7"/>
        <v>1</v>
      </c>
    </row>
    <row r="115" spans="1:12" x14ac:dyDescent="0.35">
      <c r="A115" s="13">
        <v>42536</v>
      </c>
      <c r="B115" s="14">
        <v>4171.58</v>
      </c>
      <c r="C115" s="2">
        <f t="shared" si="4"/>
        <v>9.987095462105966E-3</v>
      </c>
      <c r="D115">
        <f t="shared" si="5"/>
        <v>1</v>
      </c>
      <c r="E115">
        <v>0.49441825272242806</v>
      </c>
      <c r="F115">
        <v>0.8915213581921746</v>
      </c>
      <c r="G115">
        <v>0.10456174342690437</v>
      </c>
      <c r="I115">
        <v>0.89007593662578288</v>
      </c>
      <c r="J115">
        <v>0.10339235455421175</v>
      </c>
      <c r="K115">
        <f t="shared" si="6"/>
        <v>0</v>
      </c>
      <c r="L115" t="b">
        <f t="shared" si="7"/>
        <v>0</v>
      </c>
    </row>
    <row r="116" spans="1:12" x14ac:dyDescent="0.35">
      <c r="A116" s="13">
        <v>42537</v>
      </c>
      <c r="B116" s="14">
        <v>4153.01</v>
      </c>
      <c r="C116" s="2">
        <f t="shared" si="4"/>
        <v>-4.4515507313774849E-3</v>
      </c>
      <c r="D116">
        <f t="shared" si="5"/>
        <v>0</v>
      </c>
      <c r="E116">
        <v>0.50163105637308048</v>
      </c>
      <c r="F116">
        <v>0.89007593662578288</v>
      </c>
      <c r="G116">
        <v>0.10339235455421175</v>
      </c>
      <c r="I116">
        <v>0.88944971363388592</v>
      </c>
      <c r="J116">
        <v>0.10482664486703851</v>
      </c>
      <c r="K116">
        <f t="shared" si="6"/>
        <v>1</v>
      </c>
      <c r="L116" t="b">
        <f t="shared" si="7"/>
        <v>0</v>
      </c>
    </row>
    <row r="117" spans="1:12" x14ac:dyDescent="0.35">
      <c r="A117" s="13">
        <v>42538</v>
      </c>
      <c r="B117" s="14">
        <v>4193.83</v>
      </c>
      <c r="C117" s="2">
        <f t="shared" si="4"/>
        <v>9.8290155814697577E-3</v>
      </c>
      <c r="D117">
        <f t="shared" si="5"/>
        <v>1</v>
      </c>
      <c r="E117">
        <v>0.49927187131121353</v>
      </c>
      <c r="F117">
        <v>0.88944971363388592</v>
      </c>
      <c r="G117">
        <v>0.10482664486703851</v>
      </c>
      <c r="I117">
        <v>0.88917108714133064</v>
      </c>
      <c r="J117">
        <v>0.10545174599411485</v>
      </c>
      <c r="K117">
        <f t="shared" si="6"/>
        <v>0</v>
      </c>
      <c r="L117" t="b">
        <f t="shared" si="7"/>
        <v>0</v>
      </c>
    </row>
    <row r="118" spans="1:12" x14ac:dyDescent="0.35">
      <c r="A118" s="13">
        <v>42541</v>
      </c>
      <c r="B118" s="14">
        <v>4340.76</v>
      </c>
      <c r="C118" s="2">
        <f t="shared" si="4"/>
        <v>3.5034801124509185E-2</v>
      </c>
      <c r="D118">
        <f t="shared" si="5"/>
        <v>1</v>
      </c>
      <c r="E118">
        <v>0.50206755138374859</v>
      </c>
      <c r="F118">
        <v>0.88917108714133064</v>
      </c>
      <c r="G118">
        <v>0.10545174599411485</v>
      </c>
      <c r="I118">
        <v>0.88978284990507051</v>
      </c>
      <c r="J118">
        <v>0.10517467928730344</v>
      </c>
      <c r="K118">
        <f t="shared" si="6"/>
        <v>1</v>
      </c>
      <c r="L118" t="b">
        <f t="shared" si="7"/>
        <v>1</v>
      </c>
    </row>
    <row r="119" spans="1:12" x14ac:dyDescent="0.35">
      <c r="A119" s="13">
        <v>42542</v>
      </c>
      <c r="B119" s="14">
        <v>4367.24</v>
      </c>
      <c r="C119" s="2">
        <f t="shared" si="4"/>
        <v>6.1003142306876867E-3</v>
      </c>
      <c r="D119">
        <f t="shared" si="5"/>
        <v>1</v>
      </c>
      <c r="E119">
        <v>0.50805108625127138</v>
      </c>
      <c r="F119">
        <v>0.88978284990507051</v>
      </c>
      <c r="G119">
        <v>0.10517467928730344</v>
      </c>
      <c r="I119">
        <v>0.89193670785261214</v>
      </c>
      <c r="J119">
        <v>0.10577894426518708</v>
      </c>
      <c r="K119">
        <f t="shared" si="6"/>
        <v>1</v>
      </c>
      <c r="L119" t="b">
        <f t="shared" si="7"/>
        <v>1</v>
      </c>
    </row>
    <row r="120" spans="1:12" x14ac:dyDescent="0.35">
      <c r="A120" s="13">
        <v>42543</v>
      </c>
      <c r="B120" s="14">
        <v>4380.03</v>
      </c>
      <c r="C120" s="2">
        <f t="shared" si="4"/>
        <v>2.9286231120799755E-3</v>
      </c>
      <c r="D120">
        <f t="shared" si="5"/>
        <v>1</v>
      </c>
      <c r="E120">
        <v>0.50228674367284287</v>
      </c>
      <c r="F120">
        <v>0.89193670785261214</v>
      </c>
      <c r="G120">
        <v>0.10577894426518708</v>
      </c>
      <c r="I120">
        <v>0.89231622582169656</v>
      </c>
      <c r="J120">
        <v>0.10795855929274799</v>
      </c>
      <c r="K120">
        <f t="shared" si="6"/>
        <v>1</v>
      </c>
      <c r="L120" t="b">
        <f t="shared" si="7"/>
        <v>1</v>
      </c>
    </row>
    <row r="121" spans="1:12" x14ac:dyDescent="0.35">
      <c r="A121" s="13">
        <v>42544</v>
      </c>
      <c r="B121" s="14">
        <v>4465.8999999999996</v>
      </c>
      <c r="C121" s="2">
        <f t="shared" si="4"/>
        <v>1.9604888550991628E-2</v>
      </c>
      <c r="D121">
        <f t="shared" si="5"/>
        <v>1</v>
      </c>
      <c r="E121">
        <v>0.50081795903476811</v>
      </c>
      <c r="F121">
        <v>0.89231622582169656</v>
      </c>
      <c r="G121">
        <v>0.10795855929274799</v>
      </c>
      <c r="I121">
        <v>0.89249896484043223</v>
      </c>
      <c r="J121">
        <v>0.10833920418757825</v>
      </c>
      <c r="K121">
        <f t="shared" si="6"/>
        <v>1</v>
      </c>
      <c r="L121" t="b">
        <f t="shared" si="7"/>
        <v>1</v>
      </c>
    </row>
    <row r="122" spans="1:12" x14ac:dyDescent="0.35">
      <c r="A122" s="13">
        <v>42545</v>
      </c>
      <c r="B122" s="14">
        <v>4106.7299999999996</v>
      </c>
      <c r="C122" s="2">
        <f t="shared" si="4"/>
        <v>-8.0424998320607344E-2</v>
      </c>
      <c r="D122">
        <f t="shared" si="5"/>
        <v>0</v>
      </c>
      <c r="E122">
        <v>0.50445353907773172</v>
      </c>
      <c r="F122">
        <v>0.89249896484043223</v>
      </c>
      <c r="G122">
        <v>0.10833920418757825</v>
      </c>
      <c r="I122">
        <v>0.89126284349059115</v>
      </c>
      <c r="J122">
        <v>0.1081545495518192</v>
      </c>
      <c r="K122">
        <f t="shared" si="6"/>
        <v>1</v>
      </c>
      <c r="L122" t="b">
        <f t="shared" si="7"/>
        <v>0</v>
      </c>
    </row>
    <row r="123" spans="1:12" x14ac:dyDescent="0.35">
      <c r="A123" s="13">
        <v>42548</v>
      </c>
      <c r="B123" s="14">
        <v>3984.72</v>
      </c>
      <c r="C123" s="2">
        <f t="shared" si="4"/>
        <v>-2.9709769086353366E-2</v>
      </c>
      <c r="D123">
        <f t="shared" si="5"/>
        <v>0</v>
      </c>
      <c r="E123">
        <v>0.48261714467251499</v>
      </c>
      <c r="F123">
        <v>0.89126284349059115</v>
      </c>
      <c r="G123">
        <v>0.1081545495518192</v>
      </c>
      <c r="I123">
        <v>0.89610878970869723</v>
      </c>
      <c r="J123">
        <v>0.10697327211925596</v>
      </c>
      <c r="K123">
        <f t="shared" si="6"/>
        <v>0</v>
      </c>
      <c r="L123" t="b">
        <f t="shared" si="7"/>
        <v>1</v>
      </c>
    </row>
    <row r="124" spans="1:12" x14ac:dyDescent="0.35">
      <c r="A124" s="13">
        <v>42549</v>
      </c>
      <c r="B124" s="14">
        <v>4088.85</v>
      </c>
      <c r="C124" s="2">
        <f t="shared" si="4"/>
        <v>2.6132325483346319E-2</v>
      </c>
      <c r="D124">
        <f t="shared" si="5"/>
        <v>1</v>
      </c>
      <c r="E124">
        <v>0.49119428295859635</v>
      </c>
      <c r="F124">
        <v>0.89610878970869723</v>
      </c>
      <c r="G124">
        <v>0.10697327211925596</v>
      </c>
      <c r="I124">
        <v>0.89421981323495936</v>
      </c>
      <c r="J124">
        <v>0.10185977126078521</v>
      </c>
      <c r="K124">
        <f t="shared" si="6"/>
        <v>0</v>
      </c>
      <c r="L124" t="b">
        <f t="shared" si="7"/>
        <v>0</v>
      </c>
    </row>
    <row r="125" spans="1:12" x14ac:dyDescent="0.35">
      <c r="A125" s="13">
        <v>42550</v>
      </c>
      <c r="B125" s="14">
        <v>4195.32</v>
      </c>
      <c r="C125" s="2">
        <f t="shared" si="4"/>
        <v>2.6039106350196128E-2</v>
      </c>
      <c r="D125">
        <f t="shared" si="5"/>
        <v>1</v>
      </c>
      <c r="E125">
        <v>0.50508527788083046</v>
      </c>
      <c r="F125">
        <v>0.89421981323495936</v>
      </c>
      <c r="G125">
        <v>0.10185977126078521</v>
      </c>
      <c r="I125">
        <v>0.89583630508302869</v>
      </c>
      <c r="J125">
        <v>0.10002198611737273</v>
      </c>
      <c r="K125">
        <f t="shared" si="6"/>
        <v>1</v>
      </c>
      <c r="L125" t="b">
        <f t="shared" si="7"/>
        <v>1</v>
      </c>
    </row>
    <row r="126" spans="1:12" x14ac:dyDescent="0.35">
      <c r="A126" s="13">
        <v>42551</v>
      </c>
      <c r="B126" s="14">
        <v>4237.4799999999996</v>
      </c>
      <c r="C126" s="2">
        <f t="shared" si="4"/>
        <v>1.0049293021747951E-2</v>
      </c>
      <c r="D126">
        <f t="shared" si="5"/>
        <v>1</v>
      </c>
      <c r="E126">
        <v>0.50648478234168359</v>
      </c>
      <c r="F126">
        <v>0.89583630508302869</v>
      </c>
      <c r="G126">
        <v>0.10002198611737273</v>
      </c>
      <c r="I126">
        <v>0.89744237178648312</v>
      </c>
      <c r="J126">
        <v>0.10163380248611384</v>
      </c>
      <c r="K126">
        <f t="shared" si="6"/>
        <v>1</v>
      </c>
      <c r="L126" t="b">
        <f t="shared" si="7"/>
        <v>1</v>
      </c>
    </row>
    <row r="127" spans="1:12" x14ac:dyDescent="0.35">
      <c r="A127" s="13">
        <v>42552</v>
      </c>
      <c r="B127" s="14">
        <v>4273.96</v>
      </c>
      <c r="C127" s="2">
        <f t="shared" si="4"/>
        <v>8.6088901894523229E-3</v>
      </c>
      <c r="D127">
        <f t="shared" si="5"/>
        <v>1</v>
      </c>
      <c r="E127">
        <v>0.50291624562006998</v>
      </c>
      <c r="F127">
        <v>0.89744237178648312</v>
      </c>
      <c r="G127">
        <v>0.10163380248611384</v>
      </c>
      <c r="I127">
        <v>0.89806676808309027</v>
      </c>
      <c r="J127">
        <v>0.10325169953985057</v>
      </c>
      <c r="K127">
        <f t="shared" si="6"/>
        <v>1</v>
      </c>
      <c r="L127" t="b">
        <f t="shared" si="7"/>
        <v>1</v>
      </c>
    </row>
    <row r="128" spans="1:12" x14ac:dyDescent="0.35">
      <c r="A128" s="13">
        <v>42555</v>
      </c>
      <c r="B128" s="14">
        <v>4234.8599999999997</v>
      </c>
      <c r="C128" s="2">
        <f t="shared" si="4"/>
        <v>-9.1484244120207947E-3</v>
      </c>
      <c r="D128">
        <f t="shared" si="5"/>
        <v>0</v>
      </c>
      <c r="E128">
        <v>0.50219222714567935</v>
      </c>
      <c r="F128">
        <v>0.89806676808309027</v>
      </c>
      <c r="G128">
        <v>0.10325169953985057</v>
      </c>
      <c r="I128">
        <v>0.8975263637545331</v>
      </c>
      <c r="J128">
        <v>0.1026208770611825</v>
      </c>
      <c r="K128">
        <f t="shared" si="6"/>
        <v>1</v>
      </c>
      <c r="L128" t="b">
        <f t="shared" si="7"/>
        <v>0</v>
      </c>
    </row>
    <row r="129" spans="1:12" x14ac:dyDescent="0.35">
      <c r="A129" s="13">
        <v>42556</v>
      </c>
      <c r="B129" s="14">
        <v>4163.42</v>
      </c>
      <c r="C129" s="2">
        <f t="shared" si="4"/>
        <v>-1.686950690223521E-2</v>
      </c>
      <c r="D129">
        <f t="shared" si="5"/>
        <v>0</v>
      </c>
      <c r="E129">
        <v>0.49816813313770547</v>
      </c>
      <c r="F129">
        <v>0.8975263637545331</v>
      </c>
      <c r="G129">
        <v>0.1026208770611825</v>
      </c>
      <c r="I129">
        <v>0.89809603779653824</v>
      </c>
      <c r="J129">
        <v>0.1020847999127547</v>
      </c>
      <c r="K129">
        <f t="shared" si="6"/>
        <v>0</v>
      </c>
      <c r="L129" t="b">
        <f t="shared" si="7"/>
        <v>1</v>
      </c>
    </row>
    <row r="130" spans="1:12" x14ac:dyDescent="0.35">
      <c r="A130" s="13">
        <v>42557</v>
      </c>
      <c r="B130" s="14">
        <v>4085.3</v>
      </c>
      <c r="C130" s="2">
        <f t="shared" si="4"/>
        <v>-1.8763420457220237E-2</v>
      </c>
      <c r="D130">
        <f t="shared" si="5"/>
        <v>0</v>
      </c>
      <c r="E130">
        <v>0.49597899859183242</v>
      </c>
      <c r="F130">
        <v>0.89809603779653824</v>
      </c>
      <c r="G130">
        <v>0.1020847999127547</v>
      </c>
      <c r="I130">
        <v>0.89914183529896907</v>
      </c>
      <c r="J130">
        <v>0.10265194152849455</v>
      </c>
      <c r="K130">
        <f t="shared" si="6"/>
        <v>0</v>
      </c>
      <c r="L130" t="b">
        <f t="shared" si="7"/>
        <v>1</v>
      </c>
    </row>
    <row r="131" spans="1:12" x14ac:dyDescent="0.35">
      <c r="A131" s="13">
        <v>42558</v>
      </c>
      <c r="B131" s="14">
        <v>4117.8500000000004</v>
      </c>
      <c r="C131" s="2">
        <f t="shared" si="4"/>
        <v>7.9675911193792803E-3</v>
      </c>
      <c r="D131">
        <f t="shared" si="5"/>
        <v>1</v>
      </c>
      <c r="E131">
        <v>0.49534946812683478</v>
      </c>
      <c r="F131">
        <v>0.89914183529896907</v>
      </c>
      <c r="G131">
        <v>0.10265194152849455</v>
      </c>
      <c r="I131">
        <v>0.89795831642960533</v>
      </c>
      <c r="J131">
        <v>0.1015878828841137</v>
      </c>
      <c r="K131">
        <f t="shared" si="6"/>
        <v>0</v>
      </c>
      <c r="L131" t="b">
        <f t="shared" si="7"/>
        <v>0</v>
      </c>
    </row>
    <row r="132" spans="1:12" x14ac:dyDescent="0.35">
      <c r="A132" s="13">
        <v>42559</v>
      </c>
      <c r="B132" s="14">
        <v>4190.68</v>
      </c>
      <c r="C132" s="2">
        <f t="shared" ref="C132:C195" si="8">(B132/B131)-1</f>
        <v>1.7686414026737207E-2</v>
      </c>
      <c r="D132">
        <f t="shared" si="5"/>
        <v>1</v>
      </c>
      <c r="E132">
        <v>0.50131210412497706</v>
      </c>
      <c r="F132">
        <v>0.89795831642960533</v>
      </c>
      <c r="G132">
        <v>0.1015878828841137</v>
      </c>
      <c r="I132">
        <v>0.89845498066563345</v>
      </c>
      <c r="J132">
        <v>0.10041825460537429</v>
      </c>
      <c r="K132">
        <f t="shared" si="6"/>
        <v>1</v>
      </c>
      <c r="L132" t="b">
        <f t="shared" si="7"/>
        <v>1</v>
      </c>
    </row>
    <row r="133" spans="1:12" x14ac:dyDescent="0.35">
      <c r="A133" s="13">
        <v>42562</v>
      </c>
      <c r="B133" s="14">
        <v>4264.53</v>
      </c>
      <c r="C133" s="2">
        <f t="shared" si="8"/>
        <v>1.7622438363224857E-2</v>
      </c>
      <c r="D133">
        <f t="shared" si="5"/>
        <v>1</v>
      </c>
      <c r="E133">
        <v>0.50417253772856141</v>
      </c>
      <c r="F133">
        <v>0.89845498066563345</v>
      </c>
      <c r="G133">
        <v>0.10041825460537429</v>
      </c>
      <c r="I133">
        <v>0.89955108055055444</v>
      </c>
      <c r="J133">
        <v>0.10091203902633417</v>
      </c>
      <c r="K133">
        <f t="shared" si="6"/>
        <v>1</v>
      </c>
      <c r="L133" t="b">
        <f t="shared" si="7"/>
        <v>1</v>
      </c>
    </row>
    <row r="134" spans="1:12" x14ac:dyDescent="0.35">
      <c r="A134" s="13">
        <v>42563</v>
      </c>
      <c r="B134" s="14">
        <v>4331.38</v>
      </c>
      <c r="C134" s="2">
        <f t="shared" si="8"/>
        <v>1.5675818906186745E-2</v>
      </c>
      <c r="D134">
        <f t="shared" ref="D134:D197" si="9">IF(C134&gt;=0,1,0)</f>
        <v>1</v>
      </c>
      <c r="E134">
        <v>0.50440914959950034</v>
      </c>
      <c r="F134">
        <v>0.89955108055055444</v>
      </c>
      <c r="G134">
        <v>0.10091203902633417</v>
      </c>
      <c r="I134">
        <v>0.90064268555994687</v>
      </c>
      <c r="J134">
        <v>0.10200760694672283</v>
      </c>
      <c r="K134">
        <f t="shared" ref="K134:K197" si="10">IF(E134&gt;=0.5,1,0)</f>
        <v>1</v>
      </c>
      <c r="L134" t="b">
        <f t="shared" ref="L134:L197" si="11">IF(K134=D134,TRUE,FALSE)</f>
        <v>1</v>
      </c>
    </row>
    <row r="135" spans="1:12" x14ac:dyDescent="0.35">
      <c r="A135" s="13">
        <v>42564</v>
      </c>
      <c r="B135" s="14">
        <v>4335.26</v>
      </c>
      <c r="C135" s="2">
        <f t="shared" si="8"/>
        <v>8.9578840923687508E-4</v>
      </c>
      <c r="D135">
        <f t="shared" si="9"/>
        <v>1</v>
      </c>
      <c r="E135">
        <v>0.50397889960779374</v>
      </c>
      <c r="F135">
        <v>0.90064268555994687</v>
      </c>
      <c r="G135">
        <v>0.10200760694672283</v>
      </c>
      <c r="I135">
        <v>0.9016145661281123</v>
      </c>
      <c r="J135">
        <v>0.10310017541229453</v>
      </c>
      <c r="K135">
        <f t="shared" si="10"/>
        <v>1</v>
      </c>
      <c r="L135" t="b">
        <f t="shared" si="11"/>
        <v>1</v>
      </c>
    </row>
    <row r="136" spans="1:12" x14ac:dyDescent="0.35">
      <c r="A136" s="13">
        <v>42565</v>
      </c>
      <c r="B136" s="14">
        <v>4385.5200000000004</v>
      </c>
      <c r="C136" s="2">
        <f t="shared" si="8"/>
        <v>1.1593306975821616E-2</v>
      </c>
      <c r="D136">
        <f t="shared" si="9"/>
        <v>1</v>
      </c>
      <c r="E136">
        <v>0.50060595859255785</v>
      </c>
      <c r="F136">
        <v>0.9016145661281123</v>
      </c>
      <c r="G136">
        <v>0.10310017541229453</v>
      </c>
      <c r="I136">
        <v>0.90167048497022362</v>
      </c>
      <c r="J136">
        <v>0.10407872529454534</v>
      </c>
      <c r="K136">
        <f t="shared" si="10"/>
        <v>1</v>
      </c>
      <c r="L136" t="b">
        <f t="shared" si="11"/>
        <v>1</v>
      </c>
    </row>
    <row r="137" spans="1:12" x14ac:dyDescent="0.35">
      <c r="A137" s="13">
        <v>42566</v>
      </c>
      <c r="B137" s="14">
        <v>4372.51</v>
      </c>
      <c r="C137" s="2">
        <f t="shared" si="8"/>
        <v>-2.9665809299695978E-3</v>
      </c>
      <c r="D137">
        <f t="shared" si="9"/>
        <v>0</v>
      </c>
      <c r="E137">
        <v>0.50263661937049231</v>
      </c>
      <c r="F137">
        <v>0.90167048497022362</v>
      </c>
      <c r="G137">
        <v>0.10407872529454534</v>
      </c>
      <c r="I137">
        <v>0.90094210264674179</v>
      </c>
      <c r="J137">
        <v>0.10402244485237049</v>
      </c>
      <c r="K137">
        <f t="shared" si="10"/>
        <v>1</v>
      </c>
      <c r="L137" t="b">
        <f t="shared" si="11"/>
        <v>0</v>
      </c>
    </row>
    <row r="138" spans="1:12" x14ac:dyDescent="0.35">
      <c r="A138" s="13">
        <v>42569</v>
      </c>
      <c r="B138" s="14">
        <v>4357.74</v>
      </c>
      <c r="C138" s="2">
        <f t="shared" si="8"/>
        <v>-3.377922520474641E-3</v>
      </c>
      <c r="D138">
        <f t="shared" si="9"/>
        <v>0</v>
      </c>
      <c r="E138">
        <v>0.49963331168444769</v>
      </c>
      <c r="F138">
        <v>0.90094210264674179</v>
      </c>
      <c r="G138">
        <v>0.10402244485237049</v>
      </c>
      <c r="I138">
        <v>0.90112737787889563</v>
      </c>
      <c r="J138">
        <v>0.10329839494708161</v>
      </c>
      <c r="K138">
        <f t="shared" si="10"/>
        <v>0</v>
      </c>
      <c r="L138" t="b">
        <f t="shared" si="11"/>
        <v>1</v>
      </c>
    </row>
    <row r="139" spans="1:12" x14ac:dyDescent="0.35">
      <c r="A139" s="13">
        <v>42570</v>
      </c>
      <c r="B139" s="14">
        <v>4330.13</v>
      </c>
      <c r="C139" s="2">
        <f t="shared" si="8"/>
        <v>-6.3358529880166436E-3</v>
      </c>
      <c r="D139">
        <f t="shared" si="9"/>
        <v>0</v>
      </c>
      <c r="E139">
        <v>0.49916240540547874</v>
      </c>
      <c r="F139">
        <v>0.90112737787889563</v>
      </c>
      <c r="G139">
        <v>0.10329839494708161</v>
      </c>
      <c r="I139">
        <v>0.90133814377875454</v>
      </c>
      <c r="J139">
        <v>0.10348349513674532</v>
      </c>
      <c r="K139">
        <f t="shared" si="10"/>
        <v>0</v>
      </c>
      <c r="L139" t="b">
        <f t="shared" si="11"/>
        <v>1</v>
      </c>
    </row>
    <row r="140" spans="1:12" x14ac:dyDescent="0.35">
      <c r="A140" s="13">
        <v>42571</v>
      </c>
      <c r="B140" s="14">
        <v>4379.76</v>
      </c>
      <c r="C140" s="2">
        <f t="shared" si="8"/>
        <v>1.1461549653243752E-2</v>
      </c>
      <c r="D140">
        <f t="shared" si="9"/>
        <v>1</v>
      </c>
      <c r="E140">
        <v>0.49848492833698954</v>
      </c>
      <c r="F140">
        <v>0.90133814377875454</v>
      </c>
      <c r="G140">
        <v>0.10348349513674532</v>
      </c>
      <c r="I140">
        <v>0.90094095670500141</v>
      </c>
      <c r="J140">
        <v>0.10327173719920955</v>
      </c>
      <c r="K140">
        <f t="shared" si="10"/>
        <v>0</v>
      </c>
      <c r="L140" t="b">
        <f t="shared" si="11"/>
        <v>0</v>
      </c>
    </row>
    <row r="141" spans="1:12" x14ac:dyDescent="0.35">
      <c r="A141" s="13">
        <v>42572</v>
      </c>
      <c r="B141" s="14">
        <v>4376.25</v>
      </c>
      <c r="C141" s="2">
        <f t="shared" si="8"/>
        <v>-8.0141377609732611E-4</v>
      </c>
      <c r="D141">
        <f t="shared" si="9"/>
        <v>0</v>
      </c>
      <c r="E141">
        <v>0.50241794739242862</v>
      </c>
      <c r="F141">
        <v>0.90094095670500141</v>
      </c>
      <c r="G141">
        <v>0.10327173719920955</v>
      </c>
      <c r="I141">
        <v>0.90022116250707473</v>
      </c>
      <c r="J141">
        <v>0.10366963367548578</v>
      </c>
      <c r="K141">
        <f t="shared" si="10"/>
        <v>1</v>
      </c>
      <c r="L141" t="b">
        <f t="shared" si="11"/>
        <v>0</v>
      </c>
    </row>
    <row r="142" spans="1:12" x14ac:dyDescent="0.35">
      <c r="A142" s="13">
        <v>42573</v>
      </c>
      <c r="B142" s="14">
        <v>4381.1000000000004</v>
      </c>
      <c r="C142" s="2">
        <f t="shared" si="8"/>
        <v>1.1082547843475066E-3</v>
      </c>
      <c r="D142">
        <f t="shared" si="9"/>
        <v>1</v>
      </c>
      <c r="E142">
        <v>0.50011669125106573</v>
      </c>
      <c r="F142">
        <v>0.90022116250707473</v>
      </c>
      <c r="G142">
        <v>0.10366963367548578</v>
      </c>
      <c r="I142">
        <v>0.90017108583854322</v>
      </c>
      <c r="J142">
        <v>0.10438581330698404</v>
      </c>
      <c r="K142">
        <f t="shared" si="10"/>
        <v>1</v>
      </c>
      <c r="L142" t="b">
        <f t="shared" si="11"/>
        <v>1</v>
      </c>
    </row>
    <row r="143" spans="1:12" x14ac:dyDescent="0.35">
      <c r="A143" s="13">
        <v>42576</v>
      </c>
      <c r="B143" s="14">
        <v>4388</v>
      </c>
      <c r="C143" s="2">
        <f t="shared" si="8"/>
        <v>1.5749469311359121E-3</v>
      </c>
      <c r="D143">
        <f t="shared" si="9"/>
        <v>1</v>
      </c>
      <c r="E143">
        <v>0.50022849065504427</v>
      </c>
      <c r="F143">
        <v>0.90017108583854322</v>
      </c>
      <c r="G143">
        <v>0.10438581330698404</v>
      </c>
      <c r="I143">
        <v>0.90024032009487387</v>
      </c>
      <c r="J143">
        <v>0.10433574784587807</v>
      </c>
      <c r="K143">
        <f t="shared" si="10"/>
        <v>1</v>
      </c>
      <c r="L143" t="b">
        <f t="shared" si="11"/>
        <v>1</v>
      </c>
    </row>
    <row r="144" spans="1:12" x14ac:dyDescent="0.35">
      <c r="A144" s="13">
        <v>42577</v>
      </c>
      <c r="B144" s="14">
        <v>4394.7700000000004</v>
      </c>
      <c r="C144" s="2">
        <f t="shared" si="8"/>
        <v>1.542844120328235E-3</v>
      </c>
      <c r="D144">
        <f t="shared" si="9"/>
        <v>1</v>
      </c>
      <c r="E144">
        <v>0.50038336525516303</v>
      </c>
      <c r="F144">
        <v>0.90024032009487387</v>
      </c>
      <c r="G144">
        <v>0.10433574784587807</v>
      </c>
      <c r="I144">
        <v>0.90033867874775564</v>
      </c>
      <c r="J144">
        <v>0.10440496062091398</v>
      </c>
      <c r="K144">
        <f t="shared" si="10"/>
        <v>1</v>
      </c>
      <c r="L144" t="b">
        <f t="shared" si="11"/>
        <v>1</v>
      </c>
    </row>
    <row r="145" spans="1:12" x14ac:dyDescent="0.35">
      <c r="A145" s="13">
        <v>42578</v>
      </c>
      <c r="B145" s="14">
        <v>4446.96</v>
      </c>
      <c r="C145" s="2">
        <f t="shared" si="8"/>
        <v>1.1875479262851041E-2</v>
      </c>
      <c r="D145">
        <f t="shared" si="9"/>
        <v>1</v>
      </c>
      <c r="E145">
        <v>0.50038837854917417</v>
      </c>
      <c r="F145">
        <v>0.90033867874775564</v>
      </c>
      <c r="G145">
        <v>0.10440496062091398</v>
      </c>
      <c r="I145">
        <v>0.90043503154619642</v>
      </c>
      <c r="J145">
        <v>0.10450331828531517</v>
      </c>
      <c r="K145">
        <f t="shared" si="10"/>
        <v>1</v>
      </c>
      <c r="L145" t="b">
        <f t="shared" si="11"/>
        <v>1</v>
      </c>
    </row>
    <row r="146" spans="1:12" x14ac:dyDescent="0.35">
      <c r="A146" s="13">
        <v>42579</v>
      </c>
      <c r="B146" s="14">
        <v>4420.58</v>
      </c>
      <c r="C146" s="2">
        <f t="shared" si="8"/>
        <v>-5.9321424073974782E-3</v>
      </c>
      <c r="D146">
        <f t="shared" si="9"/>
        <v>0</v>
      </c>
      <c r="E146">
        <v>0.50271355582696398</v>
      </c>
      <c r="F146">
        <v>0.90043503154619642</v>
      </c>
      <c r="G146">
        <v>0.10450331828531517</v>
      </c>
      <c r="I146">
        <v>0.89968880797484807</v>
      </c>
      <c r="J146">
        <v>0.1044063700591407</v>
      </c>
      <c r="K146">
        <f t="shared" si="10"/>
        <v>1</v>
      </c>
      <c r="L146" t="b">
        <f t="shared" si="11"/>
        <v>0</v>
      </c>
    </row>
    <row r="147" spans="1:12" x14ac:dyDescent="0.35">
      <c r="A147" s="13">
        <v>42580</v>
      </c>
      <c r="B147" s="14">
        <v>4439.8100000000004</v>
      </c>
      <c r="C147" s="2">
        <f t="shared" si="8"/>
        <v>4.3501079043928303E-3</v>
      </c>
      <c r="D147">
        <f t="shared" si="9"/>
        <v>1</v>
      </c>
      <c r="E147">
        <v>0.49897569982074336</v>
      </c>
      <c r="F147">
        <v>0.89968880797484807</v>
      </c>
      <c r="G147">
        <v>0.1044063700591407</v>
      </c>
      <c r="I147">
        <v>0.8993172910967443</v>
      </c>
      <c r="J147">
        <v>0.10515010489871883</v>
      </c>
      <c r="K147">
        <f t="shared" si="10"/>
        <v>0</v>
      </c>
      <c r="L147" t="b">
        <f t="shared" si="11"/>
        <v>0</v>
      </c>
    </row>
    <row r="148" spans="1:12" x14ac:dyDescent="0.35">
      <c r="A148" s="13">
        <v>42583</v>
      </c>
      <c r="B148" s="14">
        <v>4409.17</v>
      </c>
      <c r="C148" s="2">
        <f t="shared" si="8"/>
        <v>-6.9011962223609613E-3</v>
      </c>
      <c r="D148">
        <f t="shared" si="9"/>
        <v>0</v>
      </c>
      <c r="E148">
        <v>0.50082208972424291</v>
      </c>
      <c r="F148">
        <v>0.8993172910967443</v>
      </c>
      <c r="G148">
        <v>0.10515010489871883</v>
      </c>
      <c r="I148">
        <v>0.89904496306653725</v>
      </c>
      <c r="J148">
        <v>0.10552147238941553</v>
      </c>
      <c r="K148">
        <f t="shared" si="10"/>
        <v>1</v>
      </c>
      <c r="L148" t="b">
        <f t="shared" si="11"/>
        <v>0</v>
      </c>
    </row>
    <row r="149" spans="1:12" x14ac:dyDescent="0.35">
      <c r="A149" s="13">
        <v>42584</v>
      </c>
      <c r="B149" s="14">
        <v>4327.99</v>
      </c>
      <c r="C149" s="2">
        <f t="shared" si="8"/>
        <v>-1.8411628492437382E-2</v>
      </c>
      <c r="D149">
        <f t="shared" si="9"/>
        <v>0</v>
      </c>
      <c r="E149">
        <v>0.49856363997328568</v>
      </c>
      <c r="F149">
        <v>0.89904496306653725</v>
      </c>
      <c r="G149">
        <v>0.10552147238941553</v>
      </c>
      <c r="I149">
        <v>0.89947504520584509</v>
      </c>
      <c r="J149">
        <v>0.10525037392279332</v>
      </c>
      <c r="K149">
        <f t="shared" si="10"/>
        <v>0</v>
      </c>
      <c r="L149" t="b">
        <f t="shared" si="11"/>
        <v>1</v>
      </c>
    </row>
    <row r="150" spans="1:12" x14ac:dyDescent="0.35">
      <c r="A150" s="13">
        <v>42585</v>
      </c>
      <c r="B150" s="14">
        <v>4321.08</v>
      </c>
      <c r="C150" s="2">
        <f t="shared" si="8"/>
        <v>-1.5965840956193578E-3</v>
      </c>
      <c r="D150">
        <f t="shared" si="9"/>
        <v>0</v>
      </c>
      <c r="E150">
        <v>0.4956783191624044</v>
      </c>
      <c r="F150">
        <v>0.89947504520584509</v>
      </c>
      <c r="G150">
        <v>0.10525037392279332</v>
      </c>
      <c r="I150">
        <v>0.90061574061376837</v>
      </c>
      <c r="J150">
        <v>0.10567793864599301</v>
      </c>
      <c r="K150">
        <f t="shared" si="10"/>
        <v>0</v>
      </c>
      <c r="L150" t="b">
        <f t="shared" si="11"/>
        <v>1</v>
      </c>
    </row>
    <row r="151" spans="1:12" x14ac:dyDescent="0.35">
      <c r="A151" s="13">
        <v>42586</v>
      </c>
      <c r="B151" s="14">
        <v>4345.63</v>
      </c>
      <c r="C151" s="2">
        <f t="shared" si="8"/>
        <v>5.6814500078683494E-3</v>
      </c>
      <c r="D151">
        <f t="shared" si="9"/>
        <v>1</v>
      </c>
      <c r="E151">
        <v>0.49915409787856763</v>
      </c>
      <c r="F151">
        <v>0.90061574061376837</v>
      </c>
      <c r="G151">
        <v>0.10567793864599301</v>
      </c>
      <c r="I151">
        <v>0.90051578557465028</v>
      </c>
      <c r="J151">
        <v>0.10452526835994976</v>
      </c>
      <c r="K151">
        <f t="shared" si="10"/>
        <v>0</v>
      </c>
      <c r="L151" t="b">
        <f t="shared" si="11"/>
        <v>0</v>
      </c>
    </row>
    <row r="152" spans="1:12" x14ac:dyDescent="0.35">
      <c r="A152" s="13">
        <v>42587</v>
      </c>
      <c r="B152" s="14">
        <v>4410.55</v>
      </c>
      <c r="C152" s="2">
        <f t="shared" si="8"/>
        <v>1.4939145762524753E-2</v>
      </c>
      <c r="D152">
        <f t="shared" si="9"/>
        <v>1</v>
      </c>
      <c r="E152">
        <v>0.50123733548317428</v>
      </c>
      <c r="F152">
        <v>0.90051578557465028</v>
      </c>
      <c r="G152">
        <v>0.10452526835994976</v>
      </c>
      <c r="I152">
        <v>0.90086999529848832</v>
      </c>
      <c r="J152">
        <v>0.10442572940232267</v>
      </c>
      <c r="K152">
        <f t="shared" si="10"/>
        <v>1</v>
      </c>
      <c r="L152" t="b">
        <f t="shared" si="11"/>
        <v>1</v>
      </c>
    </row>
    <row r="153" spans="1:12" x14ac:dyDescent="0.35">
      <c r="A153" s="13">
        <v>42590</v>
      </c>
      <c r="B153" s="14">
        <v>4415.46</v>
      </c>
      <c r="C153" s="2">
        <f t="shared" si="8"/>
        <v>1.113239845370817E-3</v>
      </c>
      <c r="D153">
        <f t="shared" si="9"/>
        <v>1</v>
      </c>
      <c r="E153">
        <v>0.50351282163455302</v>
      </c>
      <c r="F153">
        <v>0.90086999529848832</v>
      </c>
      <c r="G153">
        <v>0.10442572940232267</v>
      </c>
      <c r="I153">
        <v>0.90179708632618172</v>
      </c>
      <c r="J153">
        <v>0.10477830788373733</v>
      </c>
      <c r="K153">
        <f t="shared" si="10"/>
        <v>1</v>
      </c>
      <c r="L153" t="b">
        <f t="shared" si="11"/>
        <v>1</v>
      </c>
    </row>
    <row r="154" spans="1:12" x14ac:dyDescent="0.35">
      <c r="A154" s="13">
        <v>42591</v>
      </c>
      <c r="B154" s="14">
        <v>4468.07</v>
      </c>
      <c r="C154" s="2">
        <f t="shared" si="8"/>
        <v>1.1914953368391989E-2</v>
      </c>
      <c r="D154">
        <f t="shared" si="9"/>
        <v>1</v>
      </c>
      <c r="E154">
        <v>0.50064230336247773</v>
      </c>
      <c r="F154">
        <v>0.90179708632618172</v>
      </c>
      <c r="G154">
        <v>0.10477830788373733</v>
      </c>
      <c r="I154">
        <v>0.90186657432213513</v>
      </c>
      <c r="J154">
        <v>0.10571080352213034</v>
      </c>
      <c r="K154">
        <f t="shared" si="10"/>
        <v>1</v>
      </c>
      <c r="L154" t="b">
        <f t="shared" si="11"/>
        <v>1</v>
      </c>
    </row>
    <row r="155" spans="1:12" x14ac:dyDescent="0.35">
      <c r="A155" s="13">
        <v>42592</v>
      </c>
      <c r="B155" s="14">
        <v>4452.01</v>
      </c>
      <c r="C155" s="2">
        <f t="shared" si="8"/>
        <v>-3.5943931048527666E-3</v>
      </c>
      <c r="D155">
        <f t="shared" si="9"/>
        <v>0</v>
      </c>
      <c r="E155">
        <v>0.50271581820559241</v>
      </c>
      <c r="F155">
        <v>0.90186657432213513</v>
      </c>
      <c r="G155">
        <v>0.10571080352213034</v>
      </c>
      <c r="I155">
        <v>0.90111786697022178</v>
      </c>
      <c r="J155">
        <v>0.10564085017603643</v>
      </c>
      <c r="K155">
        <f t="shared" si="10"/>
        <v>1</v>
      </c>
      <c r="L155" t="b">
        <f t="shared" si="11"/>
        <v>0</v>
      </c>
    </row>
    <row r="156" spans="1:12" x14ac:dyDescent="0.35">
      <c r="A156" s="13">
        <v>42593</v>
      </c>
      <c r="B156" s="14">
        <v>4503.95</v>
      </c>
      <c r="C156" s="2">
        <f t="shared" si="8"/>
        <v>1.1666640461274635E-2</v>
      </c>
      <c r="D156">
        <f t="shared" si="9"/>
        <v>1</v>
      </c>
      <c r="E156">
        <v>0.49950493365076848</v>
      </c>
      <c r="F156">
        <v>0.90111786697022178</v>
      </c>
      <c r="G156">
        <v>0.10564085017603643</v>
      </c>
      <c r="I156">
        <v>0.90089299518874055</v>
      </c>
      <c r="J156">
        <v>0.10638627136733521</v>
      </c>
      <c r="K156">
        <f t="shared" si="10"/>
        <v>0</v>
      </c>
      <c r="L156" t="b">
        <f t="shared" si="11"/>
        <v>0</v>
      </c>
    </row>
    <row r="157" spans="1:12" x14ac:dyDescent="0.35">
      <c r="A157" s="13">
        <v>42594</v>
      </c>
      <c r="B157" s="14">
        <v>4500.1899999999996</v>
      </c>
      <c r="C157" s="2">
        <f t="shared" si="8"/>
        <v>-8.3482276668267463E-4</v>
      </c>
      <c r="D157">
        <f t="shared" si="9"/>
        <v>0</v>
      </c>
      <c r="E157">
        <v>0.50253197850377473</v>
      </c>
      <c r="F157">
        <v>0.90089299518874055</v>
      </c>
      <c r="G157">
        <v>0.10638627136733521</v>
      </c>
      <c r="I157">
        <v>0.9001601564927022</v>
      </c>
      <c r="J157">
        <v>0.10661205276213803</v>
      </c>
      <c r="K157">
        <f t="shared" si="10"/>
        <v>1</v>
      </c>
      <c r="L157" t="b">
        <f t="shared" si="11"/>
        <v>0</v>
      </c>
    </row>
    <row r="158" spans="1:12" x14ac:dyDescent="0.35">
      <c r="A158" s="13">
        <v>42597</v>
      </c>
      <c r="B158" s="14">
        <v>4497.8599999999997</v>
      </c>
      <c r="C158" s="2">
        <f t="shared" si="8"/>
        <v>-5.1775591697234002E-4</v>
      </c>
      <c r="D158">
        <f t="shared" si="9"/>
        <v>0</v>
      </c>
      <c r="E158">
        <v>0.50012308257154225</v>
      </c>
      <c r="F158">
        <v>0.9001601564927022</v>
      </c>
      <c r="G158">
        <v>0.10661205276213803</v>
      </c>
      <c r="I158">
        <v>0.90021234575647391</v>
      </c>
      <c r="J158">
        <v>0.10588270828249101</v>
      </c>
      <c r="K158">
        <f t="shared" si="10"/>
        <v>1</v>
      </c>
      <c r="L158" t="b">
        <f t="shared" si="11"/>
        <v>0</v>
      </c>
    </row>
    <row r="159" spans="1:12" x14ac:dyDescent="0.35">
      <c r="A159" s="13">
        <v>42598</v>
      </c>
      <c r="B159" s="14">
        <v>4460.4399999999996</v>
      </c>
      <c r="C159" s="2">
        <f t="shared" si="8"/>
        <v>-8.3195119456808131E-3</v>
      </c>
      <c r="D159">
        <f t="shared" si="9"/>
        <v>0</v>
      </c>
      <c r="E159">
        <v>0.4998613791125468</v>
      </c>
      <c r="F159">
        <v>0.90021234575647391</v>
      </c>
      <c r="G159">
        <v>0.10588270828249101</v>
      </c>
      <c r="I159">
        <v>0.90024469652732497</v>
      </c>
      <c r="J159">
        <v>0.10593487023591526</v>
      </c>
      <c r="K159">
        <f t="shared" si="10"/>
        <v>0</v>
      </c>
      <c r="L159" t="b">
        <f t="shared" si="11"/>
        <v>1</v>
      </c>
    </row>
    <row r="160" spans="1:12" x14ac:dyDescent="0.35">
      <c r="A160" s="13">
        <v>42599</v>
      </c>
      <c r="B160" s="14">
        <v>4417.68</v>
      </c>
      <c r="C160" s="2">
        <f t="shared" si="8"/>
        <v>-9.5864981930032789E-3</v>
      </c>
      <c r="D160">
        <f t="shared" si="9"/>
        <v>0</v>
      </c>
      <c r="E160">
        <v>0.49811389771802272</v>
      </c>
      <c r="F160">
        <v>0.90024469652732497</v>
      </c>
      <c r="G160">
        <v>0.10593487023591526</v>
      </c>
      <c r="I160">
        <v>0.90076269722161195</v>
      </c>
      <c r="J160">
        <v>0.10596710745442206</v>
      </c>
      <c r="K160">
        <f t="shared" si="10"/>
        <v>0</v>
      </c>
      <c r="L160" t="b">
        <f t="shared" si="11"/>
        <v>1</v>
      </c>
    </row>
    <row r="161" spans="1:12" x14ac:dyDescent="0.35">
      <c r="A161" s="13">
        <v>42600</v>
      </c>
      <c r="B161" s="14">
        <v>4437.0600000000004</v>
      </c>
      <c r="C161" s="2">
        <f t="shared" si="8"/>
        <v>4.386918020318431E-3</v>
      </c>
      <c r="D161">
        <f t="shared" si="9"/>
        <v>1</v>
      </c>
      <c r="E161">
        <v>0.49762082931010065</v>
      </c>
      <c r="F161">
        <v>0.90076269722161195</v>
      </c>
      <c r="G161">
        <v>0.10596710745442206</v>
      </c>
      <c r="I161">
        <v>0.90016070372564194</v>
      </c>
      <c r="J161">
        <v>0.10544467559451723</v>
      </c>
      <c r="K161">
        <f t="shared" si="10"/>
        <v>0</v>
      </c>
      <c r="L161" t="b">
        <f t="shared" si="11"/>
        <v>0</v>
      </c>
    </row>
    <row r="162" spans="1:12" x14ac:dyDescent="0.35">
      <c r="A162" s="13">
        <v>42601</v>
      </c>
      <c r="B162" s="14">
        <v>4400.5200000000004</v>
      </c>
      <c r="C162" s="2">
        <f t="shared" si="8"/>
        <v>-8.2351827561493174E-3</v>
      </c>
      <c r="D162">
        <f t="shared" si="9"/>
        <v>0</v>
      </c>
      <c r="E162">
        <v>0.50073452097669024</v>
      </c>
      <c r="F162">
        <v>0.90016070372564194</v>
      </c>
      <c r="G162">
        <v>0.10544467559451723</v>
      </c>
      <c r="I162">
        <v>0.89988611915653638</v>
      </c>
      <c r="J162">
        <v>0.10604471062215295</v>
      </c>
      <c r="K162">
        <f t="shared" si="10"/>
        <v>1</v>
      </c>
      <c r="L162" t="b">
        <f t="shared" si="11"/>
        <v>0</v>
      </c>
    </row>
    <row r="163" spans="1:12" x14ac:dyDescent="0.35">
      <c r="A163" s="13">
        <v>42604</v>
      </c>
      <c r="B163" s="14">
        <v>4389.9399999999996</v>
      </c>
      <c r="C163" s="2">
        <f t="shared" si="8"/>
        <v>-2.4042613145720537E-3</v>
      </c>
      <c r="D163">
        <f t="shared" si="9"/>
        <v>0</v>
      </c>
      <c r="E163">
        <v>0.49826362768049431</v>
      </c>
      <c r="F163">
        <v>0.89988611915653638</v>
      </c>
      <c r="G163">
        <v>0.10604471062215295</v>
      </c>
      <c r="I163">
        <v>0.90039902447518294</v>
      </c>
      <c r="J163">
        <v>0.10577148370640449</v>
      </c>
      <c r="K163">
        <f t="shared" si="10"/>
        <v>0</v>
      </c>
      <c r="L163" t="b">
        <f t="shared" si="11"/>
        <v>1</v>
      </c>
    </row>
    <row r="164" spans="1:12" x14ac:dyDescent="0.35">
      <c r="A164" s="13">
        <v>42605</v>
      </c>
      <c r="B164" s="14">
        <v>4421.45</v>
      </c>
      <c r="C164" s="2">
        <f t="shared" si="8"/>
        <v>7.1777746392889252E-3</v>
      </c>
      <c r="D164">
        <f t="shared" si="9"/>
        <v>1</v>
      </c>
      <c r="E164">
        <v>0.49924104007266862</v>
      </c>
      <c r="F164">
        <v>0.90039902447518294</v>
      </c>
      <c r="G164">
        <v>0.10577148370640449</v>
      </c>
      <c r="I164">
        <v>0.90024853039752439</v>
      </c>
      <c r="J164">
        <v>0.10525600470013985</v>
      </c>
      <c r="K164">
        <f t="shared" si="10"/>
        <v>0</v>
      </c>
      <c r="L164" t="b">
        <f t="shared" si="11"/>
        <v>0</v>
      </c>
    </row>
    <row r="165" spans="1:12" x14ac:dyDescent="0.35">
      <c r="A165" s="13">
        <v>42606</v>
      </c>
      <c r="B165" s="14">
        <v>4435.47</v>
      </c>
      <c r="C165" s="2">
        <f t="shared" si="8"/>
        <v>3.1709054721869023E-3</v>
      </c>
      <c r="D165">
        <f t="shared" si="9"/>
        <v>1</v>
      </c>
      <c r="E165">
        <v>0.50155217454645717</v>
      </c>
      <c r="F165">
        <v>0.90024853039752439</v>
      </c>
      <c r="G165">
        <v>0.10525600470013985</v>
      </c>
      <c r="I165">
        <v>0.90069574435775801</v>
      </c>
      <c r="J165">
        <v>0.10510620629074971</v>
      </c>
      <c r="K165">
        <f t="shared" si="10"/>
        <v>1</v>
      </c>
      <c r="L165" t="b">
        <f t="shared" si="11"/>
        <v>1</v>
      </c>
    </row>
    <row r="166" spans="1:12" x14ac:dyDescent="0.35">
      <c r="A166" s="13">
        <v>42607</v>
      </c>
      <c r="B166" s="14">
        <v>4406.6099999999997</v>
      </c>
      <c r="C166" s="2">
        <f t="shared" si="8"/>
        <v>-6.5066385298515605E-3</v>
      </c>
      <c r="D166">
        <f t="shared" si="9"/>
        <v>0</v>
      </c>
      <c r="E166">
        <v>0.50090261145113868</v>
      </c>
      <c r="F166">
        <v>0.90069574435775801</v>
      </c>
      <c r="G166">
        <v>0.10510620629074971</v>
      </c>
      <c r="I166">
        <v>0.9004972056508036</v>
      </c>
      <c r="J166">
        <v>0.10465678699768199</v>
      </c>
      <c r="K166">
        <f t="shared" si="10"/>
        <v>1</v>
      </c>
      <c r="L166" t="b">
        <f t="shared" si="11"/>
        <v>0</v>
      </c>
    </row>
    <row r="167" spans="1:12" x14ac:dyDescent="0.35">
      <c r="A167" s="13">
        <v>42608</v>
      </c>
      <c r="B167" s="14">
        <v>4441.87</v>
      </c>
      <c r="C167" s="2">
        <f t="shared" si="8"/>
        <v>8.0016157545141908E-3</v>
      </c>
      <c r="D167">
        <f t="shared" si="9"/>
        <v>1</v>
      </c>
      <c r="E167">
        <v>0.49861816525917735</v>
      </c>
      <c r="F167">
        <v>0.9004972056508036</v>
      </c>
      <c r="G167">
        <v>0.10465678699768199</v>
      </c>
      <c r="I167">
        <v>0.90008941996992942</v>
      </c>
      <c r="J167">
        <v>0.10485551478024298</v>
      </c>
      <c r="K167">
        <f t="shared" si="10"/>
        <v>0</v>
      </c>
      <c r="L167" t="b">
        <f t="shared" si="11"/>
        <v>0</v>
      </c>
    </row>
    <row r="168" spans="1:12" x14ac:dyDescent="0.35">
      <c r="A168" s="13">
        <v>42611</v>
      </c>
      <c r="B168" s="14">
        <v>4424.25</v>
      </c>
      <c r="C168" s="2">
        <f t="shared" si="8"/>
        <v>-3.9667977676068888E-3</v>
      </c>
      <c r="D168">
        <f t="shared" si="9"/>
        <v>0</v>
      </c>
      <c r="E168">
        <v>0.50162997241361862</v>
      </c>
      <c r="F168">
        <v>0.90008941996992942</v>
      </c>
      <c r="G168">
        <v>0.10485551478024298</v>
      </c>
      <c r="I168">
        <v>0.89958769401567318</v>
      </c>
      <c r="J168">
        <v>0.10526350105770806</v>
      </c>
      <c r="K168">
        <f t="shared" si="10"/>
        <v>1</v>
      </c>
      <c r="L168" t="b">
        <f t="shared" si="11"/>
        <v>0</v>
      </c>
    </row>
    <row r="169" spans="1:12" x14ac:dyDescent="0.35">
      <c r="A169" s="13">
        <v>42612</v>
      </c>
      <c r="B169" s="14">
        <v>4457.49</v>
      </c>
      <c r="C169" s="2">
        <f t="shared" si="8"/>
        <v>7.5131378199695398E-3</v>
      </c>
      <c r="D169">
        <f t="shared" si="9"/>
        <v>1</v>
      </c>
      <c r="E169">
        <v>0.49931844933013042</v>
      </c>
      <c r="F169">
        <v>0.89958769401567318</v>
      </c>
      <c r="G169">
        <v>0.10526350105770806</v>
      </c>
      <c r="I169">
        <v>0.89933943166977182</v>
      </c>
      <c r="J169">
        <v>0.10576428280021051</v>
      </c>
      <c r="K169">
        <f t="shared" si="10"/>
        <v>0</v>
      </c>
      <c r="L169" t="b">
        <f t="shared" si="11"/>
        <v>0</v>
      </c>
    </row>
    <row r="170" spans="1:12" x14ac:dyDescent="0.35">
      <c r="A170" s="13">
        <v>42613</v>
      </c>
      <c r="B170" s="14">
        <v>4438.22</v>
      </c>
      <c r="C170" s="2">
        <f t="shared" si="8"/>
        <v>-4.3230607359746598E-3</v>
      </c>
      <c r="D170">
        <f t="shared" si="9"/>
        <v>0</v>
      </c>
      <c r="E170">
        <v>0.50158432359163441</v>
      </c>
      <c r="F170">
        <v>0.89933943166977182</v>
      </c>
      <c r="G170">
        <v>0.10576428280021051</v>
      </c>
      <c r="I170">
        <v>0.89886837738042247</v>
      </c>
      <c r="J170">
        <v>0.10601299074996304</v>
      </c>
      <c r="K170">
        <f t="shared" si="10"/>
        <v>1</v>
      </c>
      <c r="L170" t="b">
        <f t="shared" si="11"/>
        <v>0</v>
      </c>
    </row>
    <row r="171" spans="1:12" x14ac:dyDescent="0.35">
      <c r="A171" s="13">
        <v>42614</v>
      </c>
      <c r="B171" s="14">
        <v>4439.67</v>
      </c>
      <c r="C171" s="2">
        <f t="shared" si="8"/>
        <v>3.2670755392927298E-4</v>
      </c>
      <c r="D171">
        <f t="shared" si="9"/>
        <v>1</v>
      </c>
      <c r="E171">
        <v>0.49922765751957116</v>
      </c>
      <c r="F171">
        <v>0.89886837738042247</v>
      </c>
      <c r="G171">
        <v>0.10601299074996304</v>
      </c>
      <c r="I171">
        <v>0.89859776936967883</v>
      </c>
      <c r="J171">
        <v>0.10648328608099697</v>
      </c>
      <c r="K171">
        <f t="shared" si="10"/>
        <v>0</v>
      </c>
      <c r="L171" t="b">
        <f t="shared" si="11"/>
        <v>0</v>
      </c>
    </row>
    <row r="172" spans="1:12" x14ac:dyDescent="0.35">
      <c r="A172" s="13">
        <v>42615</v>
      </c>
      <c r="B172" s="14">
        <v>4542.17</v>
      </c>
      <c r="C172" s="2">
        <f t="shared" si="8"/>
        <v>2.3087301533672555E-2</v>
      </c>
      <c r="D172">
        <f t="shared" si="9"/>
        <v>1</v>
      </c>
      <c r="E172">
        <v>0.49995831124162232</v>
      </c>
      <c r="F172">
        <v>0.89859776936967883</v>
      </c>
      <c r="G172">
        <v>0.10648328608099697</v>
      </c>
      <c r="I172">
        <v>0.89861819029416146</v>
      </c>
      <c r="J172">
        <v>0.10621307225899772</v>
      </c>
      <c r="K172">
        <f t="shared" si="10"/>
        <v>0</v>
      </c>
      <c r="L172" t="b">
        <f t="shared" si="11"/>
        <v>0</v>
      </c>
    </row>
    <row r="173" spans="1:12" x14ac:dyDescent="0.35">
      <c r="A173" s="13">
        <v>42618</v>
      </c>
      <c r="B173" s="14">
        <v>4541.08</v>
      </c>
      <c r="C173" s="2">
        <f t="shared" si="8"/>
        <v>-2.3997340478232321E-4</v>
      </c>
      <c r="D173">
        <f t="shared" si="9"/>
        <v>0</v>
      </c>
      <c r="E173">
        <v>0.50519515546805172</v>
      </c>
      <c r="F173">
        <v>0.89861819029416146</v>
      </c>
      <c r="G173">
        <v>0.10621307225899772</v>
      </c>
      <c r="I173">
        <v>0.89716039858129482</v>
      </c>
      <c r="J173">
        <v>0.10619244310214479</v>
      </c>
      <c r="K173">
        <f t="shared" si="10"/>
        <v>1</v>
      </c>
      <c r="L173" t="b">
        <f t="shared" si="11"/>
        <v>0</v>
      </c>
    </row>
    <row r="174" spans="1:12" x14ac:dyDescent="0.35">
      <c r="A174" s="13">
        <v>42619</v>
      </c>
      <c r="B174" s="14">
        <v>4529.96</v>
      </c>
      <c r="C174" s="2">
        <f t="shared" si="8"/>
        <v>-2.4487566834321406E-3</v>
      </c>
      <c r="D174">
        <f t="shared" si="9"/>
        <v>0</v>
      </c>
      <c r="E174">
        <v>0.50055910034672513</v>
      </c>
      <c r="F174">
        <v>0.89716039858129482</v>
      </c>
      <c r="G174">
        <v>0.10619244310214479</v>
      </c>
      <c r="I174">
        <v>0.89717541367147091</v>
      </c>
      <c r="J174">
        <v>0.10474787504775455</v>
      </c>
      <c r="K174">
        <f t="shared" si="10"/>
        <v>1</v>
      </c>
      <c r="L174" t="b">
        <f t="shared" si="11"/>
        <v>0</v>
      </c>
    </row>
    <row r="175" spans="1:12" x14ac:dyDescent="0.35">
      <c r="A175" s="13">
        <v>42620</v>
      </c>
      <c r="B175" s="14">
        <v>4557.66</v>
      </c>
      <c r="C175" s="2">
        <f t="shared" si="8"/>
        <v>6.114844281185583E-3</v>
      </c>
      <c r="D175">
        <f t="shared" si="9"/>
        <v>1</v>
      </c>
      <c r="E175">
        <v>0.49944447497992167</v>
      </c>
      <c r="F175">
        <v>0.89717541367147091</v>
      </c>
      <c r="G175">
        <v>0.10474787504775455</v>
      </c>
      <c r="I175">
        <v>0.89702219652469206</v>
      </c>
      <c r="J175">
        <v>0.10473286006458685</v>
      </c>
      <c r="K175">
        <f t="shared" si="10"/>
        <v>0</v>
      </c>
      <c r="L175" t="b">
        <f t="shared" si="11"/>
        <v>0</v>
      </c>
    </row>
    <row r="176" spans="1:12" x14ac:dyDescent="0.35">
      <c r="A176" s="13">
        <v>42621</v>
      </c>
      <c r="B176" s="14">
        <v>4542.2</v>
      </c>
      <c r="C176" s="2">
        <f t="shared" si="8"/>
        <v>-3.392091555754484E-3</v>
      </c>
      <c r="D176">
        <f t="shared" si="9"/>
        <v>0</v>
      </c>
      <c r="E176">
        <v>0.50130716846129231</v>
      </c>
      <c r="F176">
        <v>0.89702219652469206</v>
      </c>
      <c r="G176">
        <v>0.10473286006458685</v>
      </c>
      <c r="I176">
        <v>0.89663902223459047</v>
      </c>
      <c r="J176">
        <v>0.10488630642571375</v>
      </c>
      <c r="K176">
        <f t="shared" si="10"/>
        <v>1</v>
      </c>
      <c r="L176" t="b">
        <f t="shared" si="11"/>
        <v>0</v>
      </c>
    </row>
    <row r="177" spans="1:12" x14ac:dyDescent="0.35">
      <c r="A177" s="13">
        <v>42622</v>
      </c>
      <c r="B177" s="14">
        <v>4491.3999999999996</v>
      </c>
      <c r="C177" s="2">
        <f t="shared" si="8"/>
        <v>-1.1184007749548752E-2</v>
      </c>
      <c r="D177">
        <f t="shared" si="9"/>
        <v>0</v>
      </c>
      <c r="E177">
        <v>0.4993999707318274</v>
      </c>
      <c r="F177">
        <v>0.89663902223459047</v>
      </c>
      <c r="G177">
        <v>0.10488630642571375</v>
      </c>
      <c r="I177">
        <v>0.89685077323259677</v>
      </c>
      <c r="J177">
        <v>0.10450458784356122</v>
      </c>
      <c r="K177">
        <f t="shared" si="10"/>
        <v>0</v>
      </c>
      <c r="L177" t="b">
        <f t="shared" si="11"/>
        <v>1</v>
      </c>
    </row>
    <row r="178" spans="1:12" x14ac:dyDescent="0.35">
      <c r="A178" s="13">
        <v>42625</v>
      </c>
      <c r="B178" s="14">
        <v>4439.8</v>
      </c>
      <c r="C178" s="2">
        <f t="shared" si="8"/>
        <v>-1.1488622701162132E-2</v>
      </c>
      <c r="D178">
        <f t="shared" si="9"/>
        <v>0</v>
      </c>
      <c r="E178">
        <v>0.49740380455032357</v>
      </c>
      <c r="F178">
        <v>0.89685077323259677</v>
      </c>
      <c r="G178">
        <v>0.10450458784356122</v>
      </c>
      <c r="I178">
        <v>0.89754612548534585</v>
      </c>
      <c r="J178">
        <v>0.10471548706302215</v>
      </c>
      <c r="K178">
        <f t="shared" si="10"/>
        <v>0</v>
      </c>
      <c r="L178" t="b">
        <f t="shared" si="11"/>
        <v>1</v>
      </c>
    </row>
    <row r="179" spans="1:12" x14ac:dyDescent="0.35">
      <c r="A179" s="13">
        <v>42626</v>
      </c>
      <c r="B179" s="14">
        <v>4387.18</v>
      </c>
      <c r="C179" s="2">
        <f t="shared" si="8"/>
        <v>-1.1851885220054981E-2</v>
      </c>
      <c r="D179">
        <f t="shared" si="9"/>
        <v>0</v>
      </c>
      <c r="E179">
        <v>0.49712935463891195</v>
      </c>
      <c r="F179">
        <v>0.89754612548534585</v>
      </c>
      <c r="G179">
        <v>0.10471548706302215</v>
      </c>
      <c r="I179">
        <v>0.89826001840157244</v>
      </c>
      <c r="J179">
        <v>0.10541045147391004</v>
      </c>
      <c r="K179">
        <f t="shared" si="10"/>
        <v>0</v>
      </c>
      <c r="L179" t="b">
        <f t="shared" si="11"/>
        <v>1</v>
      </c>
    </row>
    <row r="180" spans="1:12" x14ac:dyDescent="0.35">
      <c r="A180" s="13">
        <v>42627</v>
      </c>
      <c r="B180" s="14">
        <v>4370.26</v>
      </c>
      <c r="C180" s="2">
        <f t="shared" si="8"/>
        <v>-3.8566915421751613E-3</v>
      </c>
      <c r="D180">
        <f t="shared" si="9"/>
        <v>0</v>
      </c>
      <c r="E180">
        <v>0.49703576084322637</v>
      </c>
      <c r="F180">
        <v>0.89826001840157244</v>
      </c>
      <c r="G180">
        <v>0.10541045147391004</v>
      </c>
      <c r="I180">
        <v>0.89899634386961036</v>
      </c>
      <c r="J180">
        <v>0.10612420842738018</v>
      </c>
      <c r="K180">
        <f t="shared" si="10"/>
        <v>0</v>
      </c>
      <c r="L180" t="b">
        <f t="shared" si="11"/>
        <v>1</v>
      </c>
    </row>
    <row r="181" spans="1:12" x14ac:dyDescent="0.35">
      <c r="A181" s="13">
        <v>42628</v>
      </c>
      <c r="B181" s="14">
        <v>4373.22</v>
      </c>
      <c r="C181" s="2">
        <f t="shared" si="8"/>
        <v>6.7730524042053375E-4</v>
      </c>
      <c r="D181">
        <f t="shared" si="9"/>
        <v>1</v>
      </c>
      <c r="E181">
        <v>0.49881877131426744</v>
      </c>
      <c r="F181">
        <v>0.89899634386961036</v>
      </c>
      <c r="G181">
        <v>0.10612420842738018</v>
      </c>
      <c r="I181">
        <v>0.89875473254237903</v>
      </c>
      <c r="J181">
        <v>0.1053817197717809</v>
      </c>
      <c r="K181">
        <f t="shared" si="10"/>
        <v>0</v>
      </c>
      <c r="L181" t="b">
        <f t="shared" si="11"/>
        <v>0</v>
      </c>
    </row>
    <row r="182" spans="1:12" x14ac:dyDescent="0.35">
      <c r="A182" s="13">
        <v>42629</v>
      </c>
      <c r="B182" s="14">
        <v>4332.45</v>
      </c>
      <c r="C182" s="2">
        <f t="shared" si="8"/>
        <v>-9.3226501296528319E-3</v>
      </c>
      <c r="D182">
        <f t="shared" si="9"/>
        <v>0</v>
      </c>
      <c r="E182">
        <v>0.50005057662554253</v>
      </c>
      <c r="F182">
        <v>0.89875473254237903</v>
      </c>
      <c r="G182">
        <v>0.1053817197717809</v>
      </c>
      <c r="I182">
        <v>0.89871239668330927</v>
      </c>
      <c r="J182">
        <v>0.10562278737300575</v>
      </c>
      <c r="K182">
        <f t="shared" si="10"/>
        <v>1</v>
      </c>
      <c r="L182" t="b">
        <f t="shared" si="11"/>
        <v>0</v>
      </c>
    </row>
    <row r="183" spans="1:12" x14ac:dyDescent="0.35">
      <c r="A183" s="13">
        <v>42632</v>
      </c>
      <c r="B183" s="14">
        <v>4394.1899999999996</v>
      </c>
      <c r="C183" s="2">
        <f t="shared" si="8"/>
        <v>1.4250597237128959E-2</v>
      </c>
      <c r="D183">
        <f t="shared" si="9"/>
        <v>1</v>
      </c>
      <c r="E183">
        <v>0.49792330134811558</v>
      </c>
      <c r="F183">
        <v>0.89871239668330927</v>
      </c>
      <c r="G183">
        <v>0.10562278737300575</v>
      </c>
      <c r="I183">
        <v>0.8981273211014793</v>
      </c>
      <c r="J183">
        <v>0.10566529403710924</v>
      </c>
      <c r="K183">
        <f t="shared" si="10"/>
        <v>0</v>
      </c>
      <c r="L183" t="b">
        <f t="shared" si="11"/>
        <v>0</v>
      </c>
    </row>
    <row r="184" spans="1:12" x14ac:dyDescent="0.35">
      <c r="A184" s="13">
        <v>42633</v>
      </c>
      <c r="B184" s="14">
        <v>4388.6000000000004</v>
      </c>
      <c r="C184" s="2">
        <f t="shared" si="8"/>
        <v>-1.2721343410274644E-3</v>
      </c>
      <c r="D184">
        <f t="shared" si="9"/>
        <v>0</v>
      </c>
      <c r="E184">
        <v>0.50295340818905243</v>
      </c>
      <c r="F184">
        <v>0.8981273211014793</v>
      </c>
      <c r="G184">
        <v>0.10566529403710924</v>
      </c>
      <c r="I184">
        <v>0.89723142905453035</v>
      </c>
      <c r="J184">
        <v>0.10625138091955114</v>
      </c>
      <c r="K184">
        <f t="shared" si="10"/>
        <v>1</v>
      </c>
      <c r="L184" t="b">
        <f t="shared" si="11"/>
        <v>0</v>
      </c>
    </row>
    <row r="185" spans="1:12" x14ac:dyDescent="0.35">
      <c r="A185" s="13">
        <v>42634</v>
      </c>
      <c r="B185" s="14">
        <v>4409.55</v>
      </c>
      <c r="C185" s="2">
        <f t="shared" si="8"/>
        <v>4.7737319418492685E-3</v>
      </c>
      <c r="D185">
        <f t="shared" si="9"/>
        <v>1</v>
      </c>
      <c r="E185">
        <v>0.50009318667957703</v>
      </c>
      <c r="F185">
        <v>0.89723142905453035</v>
      </c>
      <c r="G185">
        <v>0.10625138091955114</v>
      </c>
      <c r="I185">
        <v>0.89715193547922423</v>
      </c>
      <c r="J185">
        <v>0.10714187722021047</v>
      </c>
      <c r="K185">
        <f t="shared" si="10"/>
        <v>1</v>
      </c>
      <c r="L185" t="b">
        <f t="shared" si="11"/>
        <v>1</v>
      </c>
    </row>
    <row r="186" spans="1:12" x14ac:dyDescent="0.35">
      <c r="A186" s="13">
        <v>42635</v>
      </c>
      <c r="B186" s="14">
        <v>4509.82</v>
      </c>
      <c r="C186" s="2">
        <f t="shared" si="8"/>
        <v>2.2739281786123167E-2</v>
      </c>
      <c r="D186">
        <f t="shared" si="9"/>
        <v>1</v>
      </c>
      <c r="E186">
        <v>0.5010366145122056</v>
      </c>
      <c r="F186">
        <v>0.89715193547922423</v>
      </c>
      <c r="G186">
        <v>0.10714187722021047</v>
      </c>
      <c r="I186">
        <v>0.89744967388084562</v>
      </c>
      <c r="J186">
        <v>0.10706253400405188</v>
      </c>
      <c r="K186">
        <f t="shared" si="10"/>
        <v>1</v>
      </c>
      <c r="L186" t="b">
        <f t="shared" si="11"/>
        <v>1</v>
      </c>
    </row>
    <row r="187" spans="1:12" x14ac:dyDescent="0.35">
      <c r="A187" s="13">
        <v>42636</v>
      </c>
      <c r="B187" s="14">
        <v>4488.6899999999996</v>
      </c>
      <c r="C187" s="2">
        <f t="shared" si="8"/>
        <v>-4.685331121862979E-3</v>
      </c>
      <c r="D187">
        <f t="shared" si="9"/>
        <v>0</v>
      </c>
      <c r="E187">
        <v>0.50522942152527772</v>
      </c>
      <c r="F187">
        <v>0.89744967388084562</v>
      </c>
      <c r="G187">
        <v>0.10706253400405188</v>
      </c>
      <c r="I187">
        <v>0.89601376169588876</v>
      </c>
      <c r="J187">
        <v>0.10676108825358838</v>
      </c>
      <c r="K187">
        <f t="shared" si="10"/>
        <v>1</v>
      </c>
      <c r="L187" t="b">
        <f t="shared" si="11"/>
        <v>0</v>
      </c>
    </row>
    <row r="188" spans="1:12" x14ac:dyDescent="0.35">
      <c r="A188" s="13">
        <v>42639</v>
      </c>
      <c r="B188" s="14">
        <v>4407.8500000000004</v>
      </c>
      <c r="C188" s="2">
        <f t="shared" si="8"/>
        <v>-1.8009708846010608E-2</v>
      </c>
      <c r="D188">
        <f t="shared" si="9"/>
        <v>0</v>
      </c>
      <c r="E188">
        <v>0.49955738744218897</v>
      </c>
      <c r="F188">
        <v>0.89601376169588876</v>
      </c>
      <c r="G188">
        <v>0.10676108825358838</v>
      </c>
      <c r="I188">
        <v>0.8963063354384383</v>
      </c>
      <c r="J188">
        <v>0.10534114234111881</v>
      </c>
      <c r="K188">
        <f t="shared" si="10"/>
        <v>0</v>
      </c>
      <c r="L188" t="b">
        <f t="shared" si="11"/>
        <v>1</v>
      </c>
    </row>
    <row r="189" spans="1:12" x14ac:dyDescent="0.35">
      <c r="A189" s="13">
        <v>42640</v>
      </c>
      <c r="B189" s="14">
        <v>4398.68</v>
      </c>
      <c r="C189" s="2">
        <f t="shared" si="8"/>
        <v>-2.08037932325289E-3</v>
      </c>
      <c r="D189">
        <f t="shared" si="9"/>
        <v>0</v>
      </c>
      <c r="E189">
        <v>0.49584115234495396</v>
      </c>
      <c r="F189">
        <v>0.8963063354384383</v>
      </c>
      <c r="G189">
        <v>0.10534114234111881</v>
      </c>
      <c r="I189">
        <v>0.89742250256057798</v>
      </c>
      <c r="J189">
        <v>0.10563151974806505</v>
      </c>
      <c r="K189">
        <f t="shared" si="10"/>
        <v>0</v>
      </c>
      <c r="L189" t="b">
        <f t="shared" si="11"/>
        <v>1</v>
      </c>
    </row>
    <row r="190" spans="1:12" x14ac:dyDescent="0.35">
      <c r="A190" s="13">
        <v>42641</v>
      </c>
      <c r="B190" s="14">
        <v>4432.45</v>
      </c>
      <c r="C190" s="2">
        <f t="shared" si="8"/>
        <v>7.6773031909571632E-3</v>
      </c>
      <c r="D190">
        <f t="shared" si="9"/>
        <v>1</v>
      </c>
      <c r="E190">
        <v>0.49905765808220232</v>
      </c>
      <c r="F190">
        <v>0.89742250256057798</v>
      </c>
      <c r="G190">
        <v>0.10563151974806505</v>
      </c>
      <c r="I190">
        <v>0.89729223426201343</v>
      </c>
      <c r="J190">
        <v>0.10450379553797079</v>
      </c>
      <c r="K190">
        <f t="shared" si="10"/>
        <v>0</v>
      </c>
      <c r="L190" t="b">
        <f t="shared" si="11"/>
        <v>0</v>
      </c>
    </row>
    <row r="191" spans="1:12" x14ac:dyDescent="0.35">
      <c r="A191" s="13">
        <v>42642</v>
      </c>
      <c r="B191" s="14">
        <v>4443.84</v>
      </c>
      <c r="C191" s="2">
        <f t="shared" si="8"/>
        <v>2.5696849372243147E-3</v>
      </c>
      <c r="D191">
        <f t="shared" si="9"/>
        <v>1</v>
      </c>
      <c r="E191">
        <v>0.50166783806356507</v>
      </c>
      <c r="F191">
        <v>0.89729223426201343</v>
      </c>
      <c r="G191">
        <v>0.10450379553797079</v>
      </c>
      <c r="I191">
        <v>0.89777045982798886</v>
      </c>
      <c r="J191">
        <v>0.10437420698915875</v>
      </c>
      <c r="K191">
        <f t="shared" si="10"/>
        <v>1</v>
      </c>
      <c r="L191" t="b">
        <f t="shared" si="11"/>
        <v>1</v>
      </c>
    </row>
    <row r="192" spans="1:12" x14ac:dyDescent="0.35">
      <c r="A192" s="13">
        <v>42643</v>
      </c>
      <c r="B192" s="14">
        <v>4448.26</v>
      </c>
      <c r="C192" s="2">
        <f t="shared" si="8"/>
        <v>9.9463527039689303E-4</v>
      </c>
      <c r="D192">
        <f t="shared" si="9"/>
        <v>1</v>
      </c>
      <c r="E192">
        <v>0.50077707428937557</v>
      </c>
      <c r="F192">
        <v>0.89777045982798886</v>
      </c>
      <c r="G192">
        <v>0.10437420698915875</v>
      </c>
      <c r="I192">
        <v>0.89793081514473372</v>
      </c>
      <c r="J192">
        <v>0.10485329155205537</v>
      </c>
      <c r="K192">
        <f t="shared" si="10"/>
        <v>1</v>
      </c>
      <c r="L192" t="b">
        <f t="shared" si="11"/>
        <v>1</v>
      </c>
    </row>
    <row r="193" spans="1:12" x14ac:dyDescent="0.35">
      <c r="A193" s="13">
        <v>42646</v>
      </c>
      <c r="B193" s="14">
        <v>4453.5600000000004</v>
      </c>
      <c r="C193" s="2">
        <f t="shared" si="8"/>
        <v>1.1914771168952676E-3</v>
      </c>
      <c r="D193">
        <f t="shared" si="9"/>
        <v>1</v>
      </c>
      <c r="E193">
        <v>0.50029063836302579</v>
      </c>
      <c r="F193">
        <v>0.89793081514473372</v>
      </c>
      <c r="G193">
        <v>0.10485329155205537</v>
      </c>
      <c r="I193">
        <v>0.89799294369324556</v>
      </c>
      <c r="J193">
        <v>0.10501380345026974</v>
      </c>
      <c r="K193">
        <f t="shared" si="10"/>
        <v>1</v>
      </c>
      <c r="L193" t="b">
        <f t="shared" si="11"/>
        <v>1</v>
      </c>
    </row>
    <row r="194" spans="1:12" x14ac:dyDescent="0.35">
      <c r="A194" s="13">
        <v>42647</v>
      </c>
      <c r="B194" s="14">
        <v>4503.09</v>
      </c>
      <c r="C194" s="2">
        <f t="shared" si="8"/>
        <v>1.112143992671033E-2</v>
      </c>
      <c r="D194">
        <f t="shared" si="9"/>
        <v>1</v>
      </c>
      <c r="E194">
        <v>0.50029359708533971</v>
      </c>
      <c r="F194">
        <v>0.89799294369324556</v>
      </c>
      <c r="G194">
        <v>0.10501380345026974</v>
      </c>
      <c r="I194">
        <v>0.89806736726061442</v>
      </c>
      <c r="J194">
        <v>0.10507593163049589</v>
      </c>
      <c r="K194">
        <f t="shared" si="10"/>
        <v>1</v>
      </c>
      <c r="L194" t="b">
        <f t="shared" si="11"/>
        <v>1</v>
      </c>
    </row>
    <row r="195" spans="1:12" x14ac:dyDescent="0.35">
      <c r="A195" s="13">
        <v>42648</v>
      </c>
      <c r="B195" s="14">
        <v>4489.95</v>
      </c>
      <c r="C195" s="2">
        <f t="shared" si="8"/>
        <v>-2.9179963092010874E-3</v>
      </c>
      <c r="D195">
        <f t="shared" si="9"/>
        <v>0</v>
      </c>
      <c r="E195">
        <v>0.50252822791344065</v>
      </c>
      <c r="F195">
        <v>0.89806736726061442</v>
      </c>
      <c r="G195">
        <v>0.10507593163049589</v>
      </c>
      <c r="I195">
        <v>0.89736878043508439</v>
      </c>
      <c r="J195">
        <v>0.10500108968356557</v>
      </c>
      <c r="K195">
        <f t="shared" si="10"/>
        <v>1</v>
      </c>
      <c r="L195" t="b">
        <f t="shared" si="11"/>
        <v>0</v>
      </c>
    </row>
    <row r="196" spans="1:12" x14ac:dyDescent="0.35">
      <c r="A196" s="13">
        <v>42649</v>
      </c>
      <c r="B196" s="14">
        <v>4480.1000000000004</v>
      </c>
      <c r="C196" s="2">
        <f t="shared" ref="C196:C259" si="12">(B196/B195)-1</f>
        <v>-2.1937883495360966E-3</v>
      </c>
      <c r="D196">
        <f t="shared" si="9"/>
        <v>0</v>
      </c>
      <c r="E196">
        <v>0.49963731119407556</v>
      </c>
      <c r="F196">
        <v>0.89736878043508439</v>
      </c>
      <c r="G196">
        <v>0.10500108968356557</v>
      </c>
      <c r="I196">
        <v>0.89755102281794386</v>
      </c>
      <c r="J196">
        <v>0.10430650425633914</v>
      </c>
      <c r="K196">
        <f t="shared" si="10"/>
        <v>0</v>
      </c>
      <c r="L196" t="b">
        <f t="shared" si="11"/>
        <v>1</v>
      </c>
    </row>
    <row r="197" spans="1:12" x14ac:dyDescent="0.35">
      <c r="A197" s="13">
        <v>42650</v>
      </c>
      <c r="B197" s="14">
        <v>4449.91</v>
      </c>
      <c r="C197" s="2">
        <f t="shared" si="12"/>
        <v>-6.7386888685521118E-3</v>
      </c>
      <c r="D197">
        <f t="shared" si="9"/>
        <v>0</v>
      </c>
      <c r="E197">
        <v>0.4994316495019322</v>
      </c>
      <c r="F197">
        <v>0.89755102281794386</v>
      </c>
      <c r="G197">
        <v>0.10430650425633914</v>
      </c>
      <c r="I197">
        <v>0.89768797855774296</v>
      </c>
      <c r="J197">
        <v>0.10448867148470564</v>
      </c>
      <c r="K197">
        <f t="shared" si="10"/>
        <v>0</v>
      </c>
      <c r="L197" t="b">
        <f t="shared" si="11"/>
        <v>1</v>
      </c>
    </row>
    <row r="198" spans="1:12" x14ac:dyDescent="0.35">
      <c r="A198" s="13">
        <v>42653</v>
      </c>
      <c r="B198" s="14">
        <v>4497.26</v>
      </c>
      <c r="C198" s="2">
        <f t="shared" si="12"/>
        <v>1.0640664642655784E-2</v>
      </c>
      <c r="D198">
        <f t="shared" ref="D198:D261" si="13">IF(C198&gt;=0,1,0)</f>
        <v>1</v>
      </c>
      <c r="E198">
        <v>0.4984303886513814</v>
      </c>
      <c r="F198">
        <v>0.89768797855774296</v>
      </c>
      <c r="G198">
        <v>0.10448867148470564</v>
      </c>
      <c r="I198">
        <v>0.89726549252666532</v>
      </c>
      <c r="J198">
        <v>0.10435113064391312</v>
      </c>
      <c r="K198">
        <f t="shared" ref="K198:K261" si="14">IF(E198&gt;=0.5,1,0)</f>
        <v>0</v>
      </c>
      <c r="L198" t="b">
        <f t="shared" ref="L198:L261" si="15">IF(K198=D198,TRUE,FALSE)</f>
        <v>0</v>
      </c>
    </row>
    <row r="199" spans="1:12" x14ac:dyDescent="0.35">
      <c r="A199" s="13">
        <v>42654</v>
      </c>
      <c r="B199" s="14">
        <v>4471.74</v>
      </c>
      <c r="C199" s="2">
        <f t="shared" si="12"/>
        <v>-5.6745662914753359E-3</v>
      </c>
      <c r="D199">
        <f t="shared" si="13"/>
        <v>0</v>
      </c>
      <c r="E199">
        <v>0.50221106343695865</v>
      </c>
      <c r="F199">
        <v>0.89726549252666532</v>
      </c>
      <c r="G199">
        <v>0.10435113064391312</v>
      </c>
      <c r="I199">
        <v>0.89659752315096652</v>
      </c>
      <c r="J199">
        <v>0.10477415288432006</v>
      </c>
      <c r="K199">
        <f t="shared" si="14"/>
        <v>1</v>
      </c>
      <c r="L199" t="b">
        <f t="shared" si="15"/>
        <v>0</v>
      </c>
    </row>
    <row r="200" spans="1:12" x14ac:dyDescent="0.35">
      <c r="A200" s="13">
        <v>42655</v>
      </c>
      <c r="B200" s="14">
        <v>4452.24</v>
      </c>
      <c r="C200" s="2">
        <f t="shared" si="12"/>
        <v>-4.3607186464329484E-3</v>
      </c>
      <c r="D200">
        <f t="shared" si="13"/>
        <v>0</v>
      </c>
      <c r="E200">
        <v>0.49900676744199135</v>
      </c>
      <c r="F200">
        <v>0.89659752315096652</v>
      </c>
      <c r="G200">
        <v>0.10477415288432006</v>
      </c>
      <c r="I200">
        <v>0.89695147762695926</v>
      </c>
      <c r="J200">
        <v>0.10411043504504422</v>
      </c>
      <c r="K200">
        <f t="shared" si="14"/>
        <v>0</v>
      </c>
      <c r="L200" t="b">
        <f t="shared" si="15"/>
        <v>1</v>
      </c>
    </row>
    <row r="201" spans="1:12" x14ac:dyDescent="0.35">
      <c r="A201" s="13">
        <v>42656</v>
      </c>
      <c r="B201" s="14">
        <v>4405.17</v>
      </c>
      <c r="C201" s="2">
        <f t="shared" si="12"/>
        <v>-1.0572206350061952E-2</v>
      </c>
      <c r="D201">
        <f t="shared" si="13"/>
        <v>0</v>
      </c>
      <c r="E201">
        <v>0.49887446825145382</v>
      </c>
      <c r="F201">
        <v>0.89695147762695926</v>
      </c>
      <c r="G201">
        <v>0.10411043504504422</v>
      </c>
      <c r="I201">
        <v>0.89722340764849651</v>
      </c>
      <c r="J201">
        <v>0.10446429528207597</v>
      </c>
      <c r="K201">
        <f t="shared" si="14"/>
        <v>0</v>
      </c>
      <c r="L201" t="b">
        <f t="shared" si="15"/>
        <v>1</v>
      </c>
    </row>
    <row r="202" spans="1:12" x14ac:dyDescent="0.35">
      <c r="A202" s="13">
        <v>42657</v>
      </c>
      <c r="B202" s="14">
        <v>4470.92</v>
      </c>
      <c r="C202" s="2">
        <f t="shared" si="12"/>
        <v>1.4925644186262854E-2</v>
      </c>
      <c r="D202">
        <f t="shared" si="13"/>
        <v>1</v>
      </c>
      <c r="E202">
        <v>0.49751472786558282</v>
      </c>
      <c r="F202">
        <v>0.89722340764849651</v>
      </c>
      <c r="G202">
        <v>0.10446429528207597</v>
      </c>
      <c r="I202">
        <v>0.89655937680654485</v>
      </c>
      <c r="J202">
        <v>0.10419040243715548</v>
      </c>
      <c r="K202">
        <f t="shared" si="14"/>
        <v>0</v>
      </c>
      <c r="L202" t="b">
        <f t="shared" si="15"/>
        <v>0</v>
      </c>
    </row>
    <row r="203" spans="1:12" x14ac:dyDescent="0.35">
      <c r="A203" s="13">
        <v>42660</v>
      </c>
      <c r="B203" s="14">
        <v>4450.2299999999996</v>
      </c>
      <c r="C203" s="2">
        <f t="shared" si="12"/>
        <v>-4.6276828930065239E-3</v>
      </c>
      <c r="D203">
        <f t="shared" si="13"/>
        <v>0</v>
      </c>
      <c r="E203">
        <v>0.50307001237335613</v>
      </c>
      <c r="F203">
        <v>0.89655937680654485</v>
      </c>
      <c r="G203">
        <v>0.10419040243715548</v>
      </c>
      <c r="I203">
        <v>0.89562083169025652</v>
      </c>
      <c r="J203">
        <v>0.10485519737092289</v>
      </c>
      <c r="K203">
        <f t="shared" si="14"/>
        <v>1</v>
      </c>
      <c r="L203" t="b">
        <f t="shared" si="15"/>
        <v>0</v>
      </c>
    </row>
    <row r="204" spans="1:12" x14ac:dyDescent="0.35">
      <c r="A204" s="13">
        <v>42661</v>
      </c>
      <c r="B204" s="14">
        <v>4508.91</v>
      </c>
      <c r="C204" s="2">
        <f t="shared" si="12"/>
        <v>1.3185835338847651E-2</v>
      </c>
      <c r="D204">
        <f t="shared" si="13"/>
        <v>1</v>
      </c>
      <c r="E204">
        <v>0.49935509589902366</v>
      </c>
      <c r="F204">
        <v>0.89562083169025652</v>
      </c>
      <c r="G204">
        <v>0.10485519737092289</v>
      </c>
      <c r="I204">
        <v>0.89533122893976957</v>
      </c>
      <c r="J204">
        <v>0.10578925177980714</v>
      </c>
      <c r="K204">
        <f t="shared" si="14"/>
        <v>0</v>
      </c>
      <c r="L204" t="b">
        <f t="shared" si="15"/>
        <v>0</v>
      </c>
    </row>
    <row r="205" spans="1:12" x14ac:dyDescent="0.35">
      <c r="A205" s="13">
        <v>42662</v>
      </c>
      <c r="B205" s="14">
        <v>4520.3</v>
      </c>
      <c r="C205" s="2">
        <f t="shared" si="12"/>
        <v>2.5261094144706231E-3</v>
      </c>
      <c r="D205">
        <f t="shared" si="13"/>
        <v>1</v>
      </c>
      <c r="E205">
        <v>0.5028290025730634</v>
      </c>
      <c r="F205">
        <v>0.89533122893976957</v>
      </c>
      <c r="G205">
        <v>0.10578925177980714</v>
      </c>
      <c r="I205">
        <v>0.89615065457005416</v>
      </c>
      <c r="J205">
        <v>0.10550166727158967</v>
      </c>
      <c r="K205">
        <f t="shared" si="14"/>
        <v>1</v>
      </c>
      <c r="L205" t="b">
        <f t="shared" si="15"/>
        <v>1</v>
      </c>
    </row>
    <row r="206" spans="1:12" x14ac:dyDescent="0.35">
      <c r="A206" s="13">
        <v>42663</v>
      </c>
      <c r="B206" s="14">
        <v>4540.12</v>
      </c>
      <c r="C206" s="2">
        <f t="shared" si="12"/>
        <v>4.3846647346414969E-3</v>
      </c>
      <c r="D206">
        <f t="shared" si="13"/>
        <v>1</v>
      </c>
      <c r="E206">
        <v>0.50091372453732652</v>
      </c>
      <c r="F206">
        <v>0.89615065457005416</v>
      </c>
      <c r="G206">
        <v>0.10550166727158967</v>
      </c>
      <c r="I206">
        <v>0.89630824736114512</v>
      </c>
      <c r="J206">
        <v>0.1063242732054465</v>
      </c>
      <c r="K206">
        <f t="shared" si="14"/>
        <v>1</v>
      </c>
      <c r="L206" t="b">
        <f t="shared" si="15"/>
        <v>1</v>
      </c>
    </row>
    <row r="207" spans="1:12" x14ac:dyDescent="0.35">
      <c r="A207" s="13">
        <v>42664</v>
      </c>
      <c r="B207" s="14">
        <v>4536.07</v>
      </c>
      <c r="C207" s="2">
        <f t="shared" si="12"/>
        <v>-8.92046906249222E-4</v>
      </c>
      <c r="D207">
        <f t="shared" si="13"/>
        <v>0</v>
      </c>
      <c r="E207">
        <v>0.50104964793582396</v>
      </c>
      <c r="F207">
        <v>0.89630824736114512</v>
      </c>
      <c r="G207">
        <v>0.1063242732054465</v>
      </c>
      <c r="I207">
        <v>0.89603363173119233</v>
      </c>
      <c r="J207">
        <v>0.10616606062360327</v>
      </c>
      <c r="K207">
        <f t="shared" si="14"/>
        <v>1</v>
      </c>
      <c r="L207" t="b">
        <f t="shared" si="15"/>
        <v>0</v>
      </c>
    </row>
    <row r="208" spans="1:12" x14ac:dyDescent="0.35">
      <c r="A208" s="13">
        <v>42667</v>
      </c>
      <c r="B208" s="14">
        <v>4552.58</v>
      </c>
      <c r="C208" s="2">
        <f t="shared" si="12"/>
        <v>3.6397145546696041E-3</v>
      </c>
      <c r="D208">
        <f t="shared" si="13"/>
        <v>1</v>
      </c>
      <c r="E208">
        <v>0.49991654963901261</v>
      </c>
      <c r="F208">
        <v>0.89603363173119233</v>
      </c>
      <c r="G208">
        <v>0.10616606062360327</v>
      </c>
      <c r="I208">
        <v>0.89597786949590053</v>
      </c>
      <c r="J208">
        <v>0.1064401478996153</v>
      </c>
      <c r="K208">
        <f t="shared" si="14"/>
        <v>0</v>
      </c>
      <c r="L208" t="b">
        <f t="shared" si="15"/>
        <v>0</v>
      </c>
    </row>
    <row r="209" spans="1:12" x14ac:dyDescent="0.35">
      <c r="A209" s="13">
        <v>42668</v>
      </c>
      <c r="B209" s="14">
        <v>4540.84</v>
      </c>
      <c r="C209" s="2">
        <f t="shared" si="12"/>
        <v>-2.5787575396807316E-3</v>
      </c>
      <c r="D209">
        <f t="shared" si="13"/>
        <v>0</v>
      </c>
      <c r="E209">
        <v>0.50079153786067498</v>
      </c>
      <c r="F209">
        <v>0.89597786949590053</v>
      </c>
      <c r="G209">
        <v>0.1064401478996153</v>
      </c>
      <c r="I209">
        <v>0.89575002778575175</v>
      </c>
      <c r="J209">
        <v>0.10649598895242313</v>
      </c>
      <c r="K209">
        <f t="shared" si="14"/>
        <v>1</v>
      </c>
      <c r="L209" t="b">
        <f t="shared" si="15"/>
        <v>0</v>
      </c>
    </row>
    <row r="210" spans="1:12" x14ac:dyDescent="0.35">
      <c r="A210" s="13">
        <v>42669</v>
      </c>
      <c r="B210" s="14">
        <v>4534.59</v>
      </c>
      <c r="C210" s="2">
        <f t="shared" si="12"/>
        <v>-1.3763973185577649E-3</v>
      </c>
      <c r="D210">
        <f t="shared" si="13"/>
        <v>0</v>
      </c>
      <c r="E210">
        <v>0.49951942336378369</v>
      </c>
      <c r="F210">
        <v>0.89575002778575175</v>
      </c>
      <c r="G210">
        <v>0.10649598895242313</v>
      </c>
      <c r="I210">
        <v>0.89591104507190333</v>
      </c>
      <c r="J210">
        <v>0.10626872564792804</v>
      </c>
      <c r="K210">
        <f t="shared" si="14"/>
        <v>0</v>
      </c>
      <c r="L210" t="b">
        <f t="shared" si="15"/>
        <v>1</v>
      </c>
    </row>
    <row r="211" spans="1:12" x14ac:dyDescent="0.35">
      <c r="A211" s="13">
        <v>42670</v>
      </c>
      <c r="B211" s="14">
        <v>4533.57</v>
      </c>
      <c r="C211" s="2">
        <f t="shared" si="12"/>
        <v>-2.2493764596143162E-4</v>
      </c>
      <c r="D211">
        <f t="shared" si="13"/>
        <v>0</v>
      </c>
      <c r="E211">
        <v>0.49962320736192567</v>
      </c>
      <c r="F211">
        <v>0.89591104507190333</v>
      </c>
      <c r="G211">
        <v>0.10626872564792804</v>
      </c>
      <c r="I211">
        <v>0.89599700502845026</v>
      </c>
      <c r="J211">
        <v>0.10642977644559173</v>
      </c>
      <c r="K211">
        <f t="shared" si="14"/>
        <v>0</v>
      </c>
      <c r="L211" t="b">
        <f t="shared" si="15"/>
        <v>1</v>
      </c>
    </row>
    <row r="212" spans="1:12" x14ac:dyDescent="0.35">
      <c r="A212" s="13">
        <v>42671</v>
      </c>
      <c r="B212" s="14">
        <v>4548.58</v>
      </c>
      <c r="C212" s="2">
        <f t="shared" si="12"/>
        <v>3.3108565655763922E-3</v>
      </c>
      <c r="D212">
        <f t="shared" si="13"/>
        <v>1</v>
      </c>
      <c r="E212">
        <v>0.49991299172187476</v>
      </c>
      <c r="F212">
        <v>0.89599700502845026</v>
      </c>
      <c r="G212">
        <v>0.10642977644559173</v>
      </c>
      <c r="I212">
        <v>0.89598294397957379</v>
      </c>
      <c r="J212">
        <v>0.10634373664604223</v>
      </c>
      <c r="K212">
        <f t="shared" si="14"/>
        <v>0</v>
      </c>
      <c r="L212" t="b">
        <f t="shared" si="15"/>
        <v>0</v>
      </c>
    </row>
    <row r="213" spans="1:12" x14ac:dyDescent="0.35">
      <c r="A213" s="13">
        <v>42674</v>
      </c>
      <c r="B213" s="14">
        <v>4509.26</v>
      </c>
      <c r="C213" s="2">
        <f t="shared" si="12"/>
        <v>-8.6444560720048136E-3</v>
      </c>
      <c r="D213">
        <f t="shared" si="13"/>
        <v>0</v>
      </c>
      <c r="E213">
        <v>0.50073563704493484</v>
      </c>
      <c r="F213">
        <v>0.89598294397957379</v>
      </c>
      <c r="G213">
        <v>0.10634373664604223</v>
      </c>
      <c r="I213">
        <v>0.89577571144421908</v>
      </c>
      <c r="J213">
        <v>0.10635781590249627</v>
      </c>
      <c r="K213">
        <f t="shared" si="14"/>
        <v>1</v>
      </c>
      <c r="L213" t="b">
        <f t="shared" si="15"/>
        <v>0</v>
      </c>
    </row>
    <row r="214" spans="1:12" x14ac:dyDescent="0.35">
      <c r="A214" s="13">
        <v>42675</v>
      </c>
      <c r="B214" s="14">
        <v>4470.28</v>
      </c>
      <c r="C214" s="2">
        <f t="shared" si="12"/>
        <v>-8.6444338982450963E-3</v>
      </c>
      <c r="D214">
        <f t="shared" si="13"/>
        <v>0</v>
      </c>
      <c r="E214">
        <v>0.49815216883386226</v>
      </c>
      <c r="F214">
        <v>0.89577571144421908</v>
      </c>
      <c r="G214">
        <v>0.10635781590249627</v>
      </c>
      <c r="I214">
        <v>0.89631398590999134</v>
      </c>
      <c r="J214">
        <v>0.10615165492090997</v>
      </c>
      <c r="K214">
        <f t="shared" si="14"/>
        <v>0</v>
      </c>
      <c r="L214" t="b">
        <f t="shared" si="15"/>
        <v>1</v>
      </c>
    </row>
    <row r="215" spans="1:12" x14ac:dyDescent="0.35">
      <c r="A215" s="13">
        <v>42676</v>
      </c>
      <c r="B215" s="14">
        <v>4414.67</v>
      </c>
      <c r="C215" s="2">
        <f t="shared" si="12"/>
        <v>-1.2439936648263594E-2</v>
      </c>
      <c r="D215">
        <f t="shared" si="13"/>
        <v>0</v>
      </c>
      <c r="E215">
        <v>0.49783357597702382</v>
      </c>
      <c r="F215">
        <v>0.89631398590999134</v>
      </c>
      <c r="G215">
        <v>0.10615165492090997</v>
      </c>
      <c r="I215">
        <v>0.89685191199099012</v>
      </c>
      <c r="J215">
        <v>0.10668958238173816</v>
      </c>
      <c r="K215">
        <f t="shared" si="14"/>
        <v>0</v>
      </c>
      <c r="L215" t="b">
        <f t="shared" si="15"/>
        <v>1</v>
      </c>
    </row>
    <row r="216" spans="1:12" x14ac:dyDescent="0.35">
      <c r="A216" s="13">
        <v>42677</v>
      </c>
      <c r="B216" s="14">
        <v>4411.68</v>
      </c>
      <c r="C216" s="2">
        <f t="shared" si="12"/>
        <v>-6.7728731705873901E-4</v>
      </c>
      <c r="D216">
        <f t="shared" si="13"/>
        <v>0</v>
      </c>
      <c r="E216">
        <v>0.49698027371298653</v>
      </c>
      <c r="F216">
        <v>0.89685191199099012</v>
      </c>
      <c r="G216">
        <v>0.10668958238173816</v>
      </c>
      <c r="I216">
        <v>0.89762468419315888</v>
      </c>
      <c r="J216">
        <v>0.10722657693475961</v>
      </c>
      <c r="K216">
        <f t="shared" si="14"/>
        <v>0</v>
      </c>
      <c r="L216" t="b">
        <f t="shared" si="15"/>
        <v>1</v>
      </c>
    </row>
    <row r="217" spans="1:12" x14ac:dyDescent="0.35">
      <c r="A217" s="13">
        <v>42678</v>
      </c>
      <c r="B217" s="14">
        <v>4377.46</v>
      </c>
      <c r="C217" s="2">
        <f t="shared" si="12"/>
        <v>-7.7566822616328412E-3</v>
      </c>
      <c r="D217">
        <f t="shared" si="13"/>
        <v>0</v>
      </c>
      <c r="E217">
        <v>0.49951453974300536</v>
      </c>
      <c r="F217">
        <v>0.89762468419315888</v>
      </c>
      <c r="G217">
        <v>0.10722657693475961</v>
      </c>
      <c r="I217">
        <v>0.89766697351110003</v>
      </c>
      <c r="J217">
        <v>0.10800331735619728</v>
      </c>
      <c r="K217">
        <f t="shared" si="14"/>
        <v>0</v>
      </c>
      <c r="L217" t="b">
        <f t="shared" si="15"/>
        <v>1</v>
      </c>
    </row>
    <row r="218" spans="1:12" x14ac:dyDescent="0.35">
      <c r="A218" s="13">
        <v>42681</v>
      </c>
      <c r="B218" s="14">
        <v>4461.21</v>
      </c>
      <c r="C218" s="2">
        <f t="shared" si="12"/>
        <v>1.9132099436659722E-2</v>
      </c>
      <c r="D218">
        <f t="shared" si="13"/>
        <v>1</v>
      </c>
      <c r="E218">
        <v>0.49824099056498872</v>
      </c>
      <c r="F218">
        <v>0.89766697351110003</v>
      </c>
      <c r="G218">
        <v>0.10800331735619728</v>
      </c>
      <c r="I218">
        <v>0.89718048138121098</v>
      </c>
      <c r="J218">
        <v>0.10796083850527767</v>
      </c>
      <c r="K218">
        <f t="shared" si="14"/>
        <v>0</v>
      </c>
      <c r="L218" t="b">
        <f t="shared" si="15"/>
        <v>0</v>
      </c>
    </row>
    <row r="219" spans="1:12" x14ac:dyDescent="0.35">
      <c r="A219" s="13">
        <v>42682</v>
      </c>
      <c r="B219" s="14">
        <v>4476.8900000000003</v>
      </c>
      <c r="C219" s="2">
        <f t="shared" si="12"/>
        <v>3.5147415163152562E-3</v>
      </c>
      <c r="D219">
        <f t="shared" si="13"/>
        <v>1</v>
      </c>
      <c r="E219">
        <v>0.50408179138598275</v>
      </c>
      <c r="F219">
        <v>0.89718048138121098</v>
      </c>
      <c r="G219">
        <v>0.10796083850527767</v>
      </c>
      <c r="I219">
        <v>0.89836639690164699</v>
      </c>
      <c r="J219">
        <v>0.10748003555358827</v>
      </c>
      <c r="K219">
        <f t="shared" si="14"/>
        <v>1</v>
      </c>
      <c r="L219" t="b">
        <f t="shared" si="15"/>
        <v>1</v>
      </c>
    </row>
    <row r="220" spans="1:12" x14ac:dyDescent="0.35">
      <c r="A220" s="13">
        <v>42683</v>
      </c>
      <c r="B220" s="14">
        <v>4543.4799999999996</v>
      </c>
      <c r="C220" s="2">
        <f t="shared" si="12"/>
        <v>1.4874164877850315E-2</v>
      </c>
      <c r="D220">
        <f t="shared" si="13"/>
        <v>1</v>
      </c>
      <c r="E220">
        <v>0.50130345814714528</v>
      </c>
      <c r="F220">
        <v>0.89836639690164699</v>
      </c>
      <c r="G220">
        <v>0.10748003555358827</v>
      </c>
      <c r="I220">
        <v>0.89858549409261124</v>
      </c>
      <c r="J220">
        <v>0.10867266642682968</v>
      </c>
      <c r="K220">
        <f t="shared" si="14"/>
        <v>1</v>
      </c>
      <c r="L220" t="b">
        <f t="shared" si="15"/>
        <v>1</v>
      </c>
    </row>
    <row r="221" spans="1:12" x14ac:dyDescent="0.35">
      <c r="A221" s="13">
        <v>42684</v>
      </c>
      <c r="B221" s="14">
        <v>4530.95</v>
      </c>
      <c r="C221" s="2">
        <f t="shared" si="12"/>
        <v>-2.757797987445687E-3</v>
      </c>
      <c r="D221">
        <f t="shared" si="13"/>
        <v>0</v>
      </c>
      <c r="E221">
        <v>0.50343686215216876</v>
      </c>
      <c r="F221">
        <v>0.89858549409261124</v>
      </c>
      <c r="G221">
        <v>0.10867266642682968</v>
      </c>
      <c r="I221">
        <v>0.89764951295636297</v>
      </c>
      <c r="J221">
        <v>0.10845149557219175</v>
      </c>
      <c r="K221">
        <f t="shared" si="14"/>
        <v>1</v>
      </c>
      <c r="L221" t="b">
        <f t="shared" si="15"/>
        <v>0</v>
      </c>
    </row>
    <row r="222" spans="1:12" x14ac:dyDescent="0.35">
      <c r="A222" s="13">
        <v>42685</v>
      </c>
      <c r="B222" s="14">
        <v>4489.2700000000004</v>
      </c>
      <c r="C222" s="2">
        <f t="shared" si="12"/>
        <v>-9.1989538617728295E-3</v>
      </c>
      <c r="D222">
        <f t="shared" si="13"/>
        <v>0</v>
      </c>
      <c r="E222">
        <v>0.49978439736489477</v>
      </c>
      <c r="F222">
        <v>0.89764951295636297</v>
      </c>
      <c r="G222">
        <v>0.10845149557219175</v>
      </c>
      <c r="I222">
        <v>0.89782180097497932</v>
      </c>
      <c r="J222">
        <v>0.10752226130374891</v>
      </c>
      <c r="K222">
        <f t="shared" si="14"/>
        <v>0</v>
      </c>
      <c r="L222" t="b">
        <f t="shared" si="15"/>
        <v>1</v>
      </c>
    </row>
    <row r="223" spans="1:12" x14ac:dyDescent="0.35">
      <c r="A223" s="13">
        <v>42688</v>
      </c>
      <c r="B223" s="14">
        <v>4508.55</v>
      </c>
      <c r="C223" s="2">
        <f t="shared" si="12"/>
        <v>4.294684881951838E-3</v>
      </c>
      <c r="D223">
        <f t="shared" si="13"/>
        <v>1</v>
      </c>
      <c r="E223">
        <v>0.49786112654686998</v>
      </c>
      <c r="F223">
        <v>0.89782180097497932</v>
      </c>
      <c r="G223">
        <v>0.10752226130374891</v>
      </c>
      <c r="I223">
        <v>0.89724441749964412</v>
      </c>
      <c r="J223">
        <v>0.10734916477449238</v>
      </c>
      <c r="K223">
        <f t="shared" si="14"/>
        <v>0</v>
      </c>
      <c r="L223" t="b">
        <f t="shared" si="15"/>
        <v>0</v>
      </c>
    </row>
    <row r="224" spans="1:12" x14ac:dyDescent="0.35">
      <c r="A224" s="13">
        <v>42689</v>
      </c>
      <c r="B224" s="14">
        <v>4536.53</v>
      </c>
      <c r="C224" s="2">
        <f t="shared" si="12"/>
        <v>6.2059864036108081E-3</v>
      </c>
      <c r="D224">
        <f t="shared" si="13"/>
        <v>1</v>
      </c>
      <c r="E224">
        <v>0.50071647001496711</v>
      </c>
      <c r="F224">
        <v>0.89724441749964412</v>
      </c>
      <c r="G224">
        <v>0.10734916477449238</v>
      </c>
      <c r="I224">
        <v>0.89751245012779124</v>
      </c>
      <c r="J224">
        <v>0.10677505518378944</v>
      </c>
      <c r="K224">
        <f t="shared" si="14"/>
        <v>1</v>
      </c>
      <c r="L224" t="b">
        <f t="shared" si="15"/>
        <v>1</v>
      </c>
    </row>
    <row r="225" spans="1:12" x14ac:dyDescent="0.35">
      <c r="A225" s="13">
        <v>42690</v>
      </c>
      <c r="B225" s="14">
        <v>4501.1400000000003</v>
      </c>
      <c r="C225" s="2">
        <f t="shared" si="12"/>
        <v>-7.8011167125533465E-3</v>
      </c>
      <c r="D225">
        <f t="shared" si="13"/>
        <v>0</v>
      </c>
      <c r="E225">
        <v>0.50150712425500976</v>
      </c>
      <c r="F225">
        <v>0.89751245012779124</v>
      </c>
      <c r="G225">
        <v>0.10677505518378944</v>
      </c>
      <c r="I225">
        <v>0.89712341036321452</v>
      </c>
      <c r="J225">
        <v>0.10650583074681139</v>
      </c>
      <c r="K225">
        <f t="shared" si="14"/>
        <v>1</v>
      </c>
      <c r="L225" t="b">
        <f t="shared" si="15"/>
        <v>0</v>
      </c>
    </row>
    <row r="226" spans="1:12" x14ac:dyDescent="0.35">
      <c r="A226" s="13">
        <v>42691</v>
      </c>
      <c r="B226" s="14">
        <v>4527.7700000000004</v>
      </c>
      <c r="C226" s="2">
        <f t="shared" si="12"/>
        <v>5.9162789871010091E-3</v>
      </c>
      <c r="D226">
        <f t="shared" si="13"/>
        <v>1</v>
      </c>
      <c r="E226">
        <v>0.49841560763002524</v>
      </c>
      <c r="F226">
        <v>0.89712341036321452</v>
      </c>
      <c r="G226">
        <v>0.10650583074681139</v>
      </c>
      <c r="I226">
        <v>0.89663430047625325</v>
      </c>
      <c r="J226">
        <v>0.10689493007966314</v>
      </c>
      <c r="K226">
        <f t="shared" si="14"/>
        <v>0</v>
      </c>
      <c r="L226" t="b">
        <f t="shared" si="15"/>
        <v>0</v>
      </c>
    </row>
    <row r="227" spans="1:12" x14ac:dyDescent="0.35">
      <c r="A227" s="13">
        <v>42692</v>
      </c>
      <c r="B227" s="14">
        <v>4504.3500000000004</v>
      </c>
      <c r="C227" s="2">
        <f t="shared" si="12"/>
        <v>-5.1725242227410595E-3</v>
      </c>
      <c r="D227">
        <f t="shared" si="13"/>
        <v>0</v>
      </c>
      <c r="E227">
        <v>0.50111770784960719</v>
      </c>
      <c r="F227">
        <v>0.89663430047625325</v>
      </c>
      <c r="G227">
        <v>0.10689493007966314</v>
      </c>
      <c r="I227">
        <v>0.89626370830751556</v>
      </c>
      <c r="J227">
        <v>0.10738358735349755</v>
      </c>
      <c r="K227">
        <f t="shared" si="14"/>
        <v>1</v>
      </c>
      <c r="L227" t="b">
        <f t="shared" si="15"/>
        <v>0</v>
      </c>
    </row>
    <row r="228" spans="1:12" x14ac:dyDescent="0.35">
      <c r="A228" s="13">
        <v>42695</v>
      </c>
      <c r="B228" s="14">
        <v>4529.58</v>
      </c>
      <c r="C228" s="2">
        <f t="shared" si="12"/>
        <v>5.6012521229478196E-3</v>
      </c>
      <c r="D228">
        <f t="shared" si="13"/>
        <v>1</v>
      </c>
      <c r="E228">
        <v>0.49899984271402442</v>
      </c>
      <c r="F228">
        <v>0.89626370830751556</v>
      </c>
      <c r="G228">
        <v>0.10738358735349755</v>
      </c>
      <c r="I228">
        <v>0.89593978017249609</v>
      </c>
      <c r="J228">
        <v>0.10775409295888863</v>
      </c>
      <c r="K228">
        <f t="shared" si="14"/>
        <v>0</v>
      </c>
      <c r="L228" t="b">
        <f t="shared" si="15"/>
        <v>0</v>
      </c>
    </row>
    <row r="229" spans="1:12" x14ac:dyDescent="0.35">
      <c r="A229" s="13">
        <v>42696</v>
      </c>
      <c r="B229" s="14">
        <v>4548.3500000000004</v>
      </c>
      <c r="C229" s="2">
        <f t="shared" si="12"/>
        <v>4.1438720587780864E-3</v>
      </c>
      <c r="D229">
        <f t="shared" si="13"/>
        <v>1</v>
      </c>
      <c r="E229">
        <v>0.50111525413541802</v>
      </c>
      <c r="F229">
        <v>0.89593978017249609</v>
      </c>
      <c r="G229">
        <v>0.10775409295888863</v>
      </c>
      <c r="I229">
        <v>0.89628907583991813</v>
      </c>
      <c r="J229">
        <v>0.10743153288464433</v>
      </c>
      <c r="K229">
        <f t="shared" si="14"/>
        <v>1</v>
      </c>
      <c r="L229" t="b">
        <f t="shared" si="15"/>
        <v>1</v>
      </c>
    </row>
    <row r="230" spans="1:12" x14ac:dyDescent="0.35">
      <c r="A230" s="13">
        <v>42697</v>
      </c>
      <c r="B230" s="14">
        <v>4529.21</v>
      </c>
      <c r="C230" s="2">
        <f t="shared" si="12"/>
        <v>-4.2081194279245393E-3</v>
      </c>
      <c r="D230">
        <f t="shared" si="13"/>
        <v>0</v>
      </c>
      <c r="E230">
        <v>0.501078962915114</v>
      </c>
      <c r="F230">
        <v>0.89628907583991813</v>
      </c>
      <c r="G230">
        <v>0.10743153288464433</v>
      </c>
      <c r="I230">
        <v>0.89602952615934606</v>
      </c>
      <c r="J230">
        <v>0.10708070081775284</v>
      </c>
      <c r="K230">
        <f t="shared" si="14"/>
        <v>1</v>
      </c>
      <c r="L230" t="b">
        <f t="shared" si="15"/>
        <v>0</v>
      </c>
    </row>
    <row r="231" spans="1:12" x14ac:dyDescent="0.35">
      <c r="A231" s="13">
        <v>42698</v>
      </c>
      <c r="B231" s="14">
        <v>4542.5600000000004</v>
      </c>
      <c r="C231" s="2">
        <f t="shared" si="12"/>
        <v>2.9475338966398201E-3</v>
      </c>
      <c r="D231">
        <f t="shared" si="13"/>
        <v>1</v>
      </c>
      <c r="E231">
        <v>0.49916828313390671</v>
      </c>
      <c r="F231">
        <v>0.89602952615934606</v>
      </c>
      <c r="G231">
        <v>0.10708070081775284</v>
      </c>
      <c r="I231">
        <v>0.89576608192856821</v>
      </c>
      <c r="J231">
        <v>0.10734012291963575</v>
      </c>
      <c r="K231">
        <f t="shared" si="14"/>
        <v>0</v>
      </c>
      <c r="L231" t="b">
        <f t="shared" si="15"/>
        <v>0</v>
      </c>
    </row>
    <row r="232" spans="1:12" x14ac:dyDescent="0.35">
      <c r="A232" s="13">
        <v>42699</v>
      </c>
      <c r="B232" s="14">
        <v>4550.2700000000004</v>
      </c>
      <c r="C232" s="2">
        <f t="shared" si="12"/>
        <v>1.6972808284314578E-3</v>
      </c>
      <c r="D232">
        <f t="shared" si="13"/>
        <v>1</v>
      </c>
      <c r="E232">
        <v>0.50054714998991989</v>
      </c>
      <c r="F232">
        <v>0.89576608192856821</v>
      </c>
      <c r="G232">
        <v>0.10734012291963575</v>
      </c>
      <c r="I232">
        <v>0.89595010098385375</v>
      </c>
      <c r="J232">
        <v>0.10707740357905809</v>
      </c>
      <c r="K232">
        <f t="shared" si="14"/>
        <v>1</v>
      </c>
      <c r="L232" t="b">
        <f t="shared" si="15"/>
        <v>1</v>
      </c>
    </row>
    <row r="233" spans="1:12" x14ac:dyDescent="0.35">
      <c r="A233" s="13">
        <v>42702</v>
      </c>
      <c r="B233" s="14">
        <v>4510.3900000000003</v>
      </c>
      <c r="C233" s="2">
        <f t="shared" si="12"/>
        <v>-8.7643150845994056E-3</v>
      </c>
      <c r="D233">
        <f t="shared" si="13"/>
        <v>0</v>
      </c>
      <c r="E233">
        <v>0.50045907317256266</v>
      </c>
      <c r="F233">
        <v>0.89595010098385375</v>
      </c>
      <c r="G233">
        <v>0.10707740357905809</v>
      </c>
      <c r="I233">
        <v>0.89584392362457177</v>
      </c>
      <c r="J233">
        <v>0.1068930137242404</v>
      </c>
      <c r="K233">
        <f t="shared" si="14"/>
        <v>1</v>
      </c>
      <c r="L233" t="b">
        <f t="shared" si="15"/>
        <v>0</v>
      </c>
    </row>
    <row r="234" spans="1:12" x14ac:dyDescent="0.35">
      <c r="A234" s="13">
        <v>42703</v>
      </c>
      <c r="B234" s="14">
        <v>4551.46</v>
      </c>
      <c r="C234" s="2">
        <f t="shared" si="12"/>
        <v>9.1056427492965941E-3</v>
      </c>
      <c r="D234">
        <f t="shared" si="13"/>
        <v>1</v>
      </c>
      <c r="E234">
        <v>0.49808250166283091</v>
      </c>
      <c r="F234">
        <v>0.89584392362457177</v>
      </c>
      <c r="G234">
        <v>0.1068930137242404</v>
      </c>
      <c r="I234">
        <v>0.89529406132388767</v>
      </c>
      <c r="J234">
        <v>0.10699949902653953</v>
      </c>
      <c r="K234">
        <f t="shared" si="14"/>
        <v>0</v>
      </c>
      <c r="L234" t="b">
        <f t="shared" si="15"/>
        <v>0</v>
      </c>
    </row>
    <row r="235" spans="1:12" x14ac:dyDescent="0.35">
      <c r="A235" s="13">
        <v>42704</v>
      </c>
      <c r="B235" s="14">
        <v>4578.34</v>
      </c>
      <c r="C235" s="2">
        <f t="shared" si="12"/>
        <v>5.9057972606593179E-3</v>
      </c>
      <c r="D235">
        <f t="shared" si="13"/>
        <v>1</v>
      </c>
      <c r="E235">
        <v>0.50180360481578168</v>
      </c>
      <c r="F235">
        <v>0.89529406132388767</v>
      </c>
      <c r="G235">
        <v>0.10699949902653953</v>
      </c>
      <c r="I235">
        <v>0.89586110374464945</v>
      </c>
      <c r="J235">
        <v>0.10645371235571123</v>
      </c>
      <c r="K235">
        <f t="shared" si="14"/>
        <v>1</v>
      </c>
      <c r="L235" t="b">
        <f t="shared" si="15"/>
        <v>1</v>
      </c>
    </row>
    <row r="236" spans="1:12" x14ac:dyDescent="0.35">
      <c r="A236" s="13">
        <v>42705</v>
      </c>
      <c r="B236" s="14">
        <v>4560.6099999999997</v>
      </c>
      <c r="C236" s="2">
        <f t="shared" si="12"/>
        <v>-3.8725826391226015E-3</v>
      </c>
      <c r="D236">
        <f t="shared" si="13"/>
        <v>0</v>
      </c>
      <c r="E236">
        <v>0.50156502077066878</v>
      </c>
      <c r="F236">
        <v>0.89586110374464945</v>
      </c>
      <c r="G236">
        <v>0.10645371235571123</v>
      </c>
      <c r="I236">
        <v>0.89549083970650734</v>
      </c>
      <c r="J236">
        <v>0.10588283396191786</v>
      </c>
      <c r="K236">
        <f t="shared" si="14"/>
        <v>1</v>
      </c>
      <c r="L236" t="b">
        <f t="shared" si="15"/>
        <v>0</v>
      </c>
    </row>
    <row r="237" spans="1:12" x14ac:dyDescent="0.35">
      <c r="A237" s="13">
        <v>42706</v>
      </c>
      <c r="B237" s="14">
        <v>4528.82</v>
      </c>
      <c r="C237" s="2">
        <f t="shared" si="12"/>
        <v>-6.9705587629724786E-3</v>
      </c>
      <c r="D237">
        <f t="shared" si="13"/>
        <v>0</v>
      </c>
      <c r="E237">
        <v>0.49928936554635128</v>
      </c>
      <c r="F237">
        <v>0.89549083970650734</v>
      </c>
      <c r="G237">
        <v>0.10588283396191786</v>
      </c>
      <c r="I237">
        <v>0.89573253163440159</v>
      </c>
      <c r="J237">
        <v>0.10551424698555202</v>
      </c>
      <c r="K237">
        <f t="shared" si="14"/>
        <v>0</v>
      </c>
      <c r="L237" t="b">
        <f t="shared" si="15"/>
        <v>1</v>
      </c>
    </row>
    <row r="238" spans="1:12" x14ac:dyDescent="0.35">
      <c r="A238" s="13">
        <v>42709</v>
      </c>
      <c r="B238" s="14">
        <v>4574.32</v>
      </c>
      <c r="C238" s="2">
        <f t="shared" si="12"/>
        <v>1.0046767149058722E-2</v>
      </c>
      <c r="D238">
        <f t="shared" si="13"/>
        <v>1</v>
      </c>
      <c r="E238">
        <v>0.49833691391100143</v>
      </c>
      <c r="F238">
        <v>0.89573253163440159</v>
      </c>
      <c r="G238">
        <v>0.10551424698555202</v>
      </c>
      <c r="I238">
        <v>0.89529542746772295</v>
      </c>
      <c r="J238">
        <v>0.10527140820247491</v>
      </c>
      <c r="K238">
        <f t="shared" si="14"/>
        <v>0</v>
      </c>
      <c r="L238" t="b">
        <f t="shared" si="15"/>
        <v>0</v>
      </c>
    </row>
    <row r="239" spans="1:12" x14ac:dyDescent="0.35">
      <c r="A239" s="13">
        <v>42710</v>
      </c>
      <c r="B239" s="14">
        <v>4631.9399999999996</v>
      </c>
      <c r="C239" s="2">
        <f t="shared" si="12"/>
        <v>1.2596407772084151E-2</v>
      </c>
      <c r="D239">
        <f t="shared" si="13"/>
        <v>1</v>
      </c>
      <c r="E239">
        <v>0.50206524429299182</v>
      </c>
      <c r="F239">
        <v>0.89529542746772295</v>
      </c>
      <c r="G239">
        <v>0.10527140820247491</v>
      </c>
      <c r="I239">
        <v>0.89592074611727102</v>
      </c>
      <c r="J239">
        <v>0.10483755517019223</v>
      </c>
      <c r="K239">
        <f t="shared" si="14"/>
        <v>1</v>
      </c>
      <c r="L239" t="b">
        <f t="shared" si="15"/>
        <v>1</v>
      </c>
    </row>
    <row r="240" spans="1:12" x14ac:dyDescent="0.35">
      <c r="A240" s="13">
        <v>42711</v>
      </c>
      <c r="B240" s="14">
        <v>4694.72</v>
      </c>
      <c r="C240" s="2">
        <f t="shared" si="12"/>
        <v>1.355371615349088E-2</v>
      </c>
      <c r="D240">
        <f t="shared" si="13"/>
        <v>1</v>
      </c>
      <c r="E240">
        <v>0.50308462625452255</v>
      </c>
      <c r="F240">
        <v>0.89592074611727102</v>
      </c>
      <c r="G240">
        <v>0.10483755517019223</v>
      </c>
      <c r="I240">
        <v>0.89670313492316223</v>
      </c>
      <c r="J240">
        <v>0.10546158055068519</v>
      </c>
      <c r="K240">
        <f t="shared" si="14"/>
        <v>1</v>
      </c>
      <c r="L240" t="b">
        <f t="shared" si="15"/>
        <v>1</v>
      </c>
    </row>
    <row r="241" spans="1:12" x14ac:dyDescent="0.35">
      <c r="A241" s="13">
        <v>42712</v>
      </c>
      <c r="B241" s="14">
        <v>4735.4799999999996</v>
      </c>
      <c r="C241" s="2">
        <f t="shared" si="12"/>
        <v>8.6820939267941988E-3</v>
      </c>
      <c r="D241">
        <f t="shared" si="13"/>
        <v>1</v>
      </c>
      <c r="E241">
        <v>0.50337047315617311</v>
      </c>
      <c r="F241">
        <v>0.89670313492316223</v>
      </c>
      <c r="G241">
        <v>0.10546158055068519</v>
      </c>
      <c r="I241">
        <v>0.89754449364481947</v>
      </c>
      <c r="J241">
        <v>0.10624351352172982</v>
      </c>
      <c r="K241">
        <f t="shared" si="14"/>
        <v>1</v>
      </c>
      <c r="L241" t="b">
        <f t="shared" si="15"/>
        <v>1</v>
      </c>
    </row>
    <row r="242" spans="1:12" x14ac:dyDescent="0.35">
      <c r="A242" s="13">
        <v>42713</v>
      </c>
      <c r="B242" s="14">
        <v>4764.07</v>
      </c>
      <c r="C242" s="2">
        <f t="shared" si="12"/>
        <v>6.0374027553702359E-3</v>
      </c>
      <c r="D242">
        <f t="shared" si="13"/>
        <v>1</v>
      </c>
      <c r="E242">
        <v>0.5023081236103013</v>
      </c>
      <c r="F242">
        <v>0.89754449364481947</v>
      </c>
      <c r="G242">
        <v>0.10624351352172982</v>
      </c>
      <c r="I242">
        <v>0.89808460808705393</v>
      </c>
      <c r="J242">
        <v>0.10708669235648706</v>
      </c>
      <c r="K242">
        <f t="shared" si="14"/>
        <v>1</v>
      </c>
      <c r="L242" t="b">
        <f t="shared" si="15"/>
        <v>1</v>
      </c>
    </row>
    <row r="243" spans="1:12" x14ac:dyDescent="0.35">
      <c r="A243" s="13">
        <v>42716</v>
      </c>
      <c r="B243" s="14">
        <v>4760.7700000000004</v>
      </c>
      <c r="C243" s="2">
        <f t="shared" si="12"/>
        <v>-6.9268503611397136E-4</v>
      </c>
      <c r="D243">
        <f t="shared" si="13"/>
        <v>0</v>
      </c>
      <c r="E243">
        <v>0.50158795346325669</v>
      </c>
      <c r="F243">
        <v>0.89808460808705393</v>
      </c>
      <c r="G243">
        <v>0.10708669235648706</v>
      </c>
      <c r="I243">
        <v>0.89770607584357687</v>
      </c>
      <c r="J243">
        <v>0.1065423436314886</v>
      </c>
      <c r="K243">
        <f t="shared" si="14"/>
        <v>1</v>
      </c>
      <c r="L243" t="b">
        <f t="shared" si="15"/>
        <v>0</v>
      </c>
    </row>
    <row r="244" spans="1:12" x14ac:dyDescent="0.35">
      <c r="A244" s="13">
        <v>42717</v>
      </c>
      <c r="B244" s="14">
        <v>4803.87</v>
      </c>
      <c r="C244" s="2">
        <f t="shared" si="12"/>
        <v>9.0531573674006438E-3</v>
      </c>
      <c r="D244">
        <f t="shared" si="13"/>
        <v>1</v>
      </c>
      <c r="E244">
        <v>0.50000535286835956</v>
      </c>
      <c r="F244">
        <v>0.89770607584357687</v>
      </c>
      <c r="G244">
        <v>0.1065423436314886</v>
      </c>
      <c r="I244">
        <v>0.89766278349230622</v>
      </c>
      <c r="J244">
        <v>0.10691967726397822</v>
      </c>
      <c r="K244">
        <f t="shared" si="14"/>
        <v>1</v>
      </c>
      <c r="L244" t="b">
        <f t="shared" si="15"/>
        <v>1</v>
      </c>
    </row>
    <row r="245" spans="1:12" x14ac:dyDescent="0.35">
      <c r="A245" s="13">
        <v>42718</v>
      </c>
      <c r="B245" s="14">
        <v>4769.24</v>
      </c>
      <c r="C245" s="2">
        <f t="shared" si="12"/>
        <v>-7.2087712615037658E-3</v>
      </c>
      <c r="D245">
        <f t="shared" si="13"/>
        <v>0</v>
      </c>
      <c r="E245">
        <v>0.50201314431686017</v>
      </c>
      <c r="F245">
        <v>0.89766278349230622</v>
      </c>
      <c r="G245">
        <v>0.10691967726397822</v>
      </c>
      <c r="I245">
        <v>0.897094692202283</v>
      </c>
      <c r="J245">
        <v>0.10696314368345776</v>
      </c>
      <c r="K245">
        <f t="shared" si="14"/>
        <v>1</v>
      </c>
      <c r="L245" t="b">
        <f t="shared" si="15"/>
        <v>0</v>
      </c>
    </row>
    <row r="246" spans="1:12" x14ac:dyDescent="0.35">
      <c r="A246" s="13">
        <v>42719</v>
      </c>
      <c r="B246" s="14">
        <v>4819.2299999999996</v>
      </c>
      <c r="C246" s="2">
        <f t="shared" si="12"/>
        <v>1.0481753906282698E-2</v>
      </c>
      <c r="D246">
        <f t="shared" si="13"/>
        <v>1</v>
      </c>
      <c r="E246">
        <v>0.49862535439755284</v>
      </c>
      <c r="F246">
        <v>0.897094692202283</v>
      </c>
      <c r="G246">
        <v>0.10696314368345776</v>
      </c>
      <c r="I246">
        <v>0.89664290872510222</v>
      </c>
      <c r="J246">
        <v>0.10753051734070657</v>
      </c>
      <c r="K246">
        <f t="shared" si="14"/>
        <v>0</v>
      </c>
      <c r="L246" t="b">
        <f t="shared" si="15"/>
        <v>0</v>
      </c>
    </row>
    <row r="247" spans="1:12" x14ac:dyDescent="0.35">
      <c r="A247" s="13">
        <v>42720</v>
      </c>
      <c r="B247" s="14">
        <v>4833.2700000000004</v>
      </c>
      <c r="C247" s="2">
        <f t="shared" si="12"/>
        <v>2.9133284777860258E-3</v>
      </c>
      <c r="D247">
        <f t="shared" si="13"/>
        <v>1</v>
      </c>
      <c r="E247">
        <v>0.50215579349325612</v>
      </c>
      <c r="F247">
        <v>0.89664290872510222</v>
      </c>
      <c r="G247">
        <v>0.10753051734070657</v>
      </c>
      <c r="I247">
        <v>0.89729518165629907</v>
      </c>
      <c r="J247">
        <v>0.10708192005411601</v>
      </c>
      <c r="K247">
        <f t="shared" si="14"/>
        <v>1</v>
      </c>
      <c r="L247" t="b">
        <f t="shared" si="15"/>
        <v>1</v>
      </c>
    </row>
    <row r="248" spans="1:12" x14ac:dyDescent="0.35">
      <c r="A248" s="13">
        <v>42723</v>
      </c>
      <c r="B248" s="14">
        <v>4822.7700000000004</v>
      </c>
      <c r="C248" s="2">
        <f t="shared" si="12"/>
        <v>-2.1724422595882364E-3</v>
      </c>
      <c r="D248">
        <f t="shared" si="13"/>
        <v>0</v>
      </c>
      <c r="E248">
        <v>0.50093412939805182</v>
      </c>
      <c r="F248">
        <v>0.89729518165629907</v>
      </c>
      <c r="G248">
        <v>0.10708192005411601</v>
      </c>
      <c r="I248">
        <v>0.89711275908494359</v>
      </c>
      <c r="J248">
        <v>0.10642558881152558</v>
      </c>
      <c r="K248">
        <f t="shared" si="14"/>
        <v>1</v>
      </c>
      <c r="L248" t="b">
        <f t="shared" si="15"/>
        <v>0</v>
      </c>
    </row>
    <row r="249" spans="1:12" x14ac:dyDescent="0.35">
      <c r="A249" s="13">
        <v>42724</v>
      </c>
      <c r="B249" s="14">
        <v>4849.8900000000003</v>
      </c>
      <c r="C249" s="2">
        <f t="shared" si="12"/>
        <v>5.6233243550904977E-3</v>
      </c>
      <c r="D249">
        <f t="shared" si="13"/>
        <v>1</v>
      </c>
      <c r="E249">
        <v>0.49959028184900478</v>
      </c>
      <c r="F249">
        <v>0.89711275908494359</v>
      </c>
      <c r="G249">
        <v>0.10642558881152558</v>
      </c>
      <c r="I249">
        <v>0.89697687027383721</v>
      </c>
      <c r="J249">
        <v>0.10660782092446731</v>
      </c>
      <c r="K249">
        <f t="shared" si="14"/>
        <v>0</v>
      </c>
      <c r="L249" t="b">
        <f t="shared" si="15"/>
        <v>0</v>
      </c>
    </row>
    <row r="250" spans="1:12" x14ac:dyDescent="0.35">
      <c r="A250" s="13">
        <v>42725</v>
      </c>
      <c r="B250" s="14">
        <v>4833.82</v>
      </c>
      <c r="C250" s="2">
        <f t="shared" si="12"/>
        <v>-3.3134772128853296E-3</v>
      </c>
      <c r="D250">
        <f t="shared" si="13"/>
        <v>0</v>
      </c>
      <c r="E250">
        <v>0.50120309581441014</v>
      </c>
      <c r="F250">
        <v>0.89697687027383721</v>
      </c>
      <c r="G250">
        <v>0.10660782092446731</v>
      </c>
      <c r="I250">
        <v>0.89662456886664643</v>
      </c>
      <c r="J250">
        <v>0.10674392448470402</v>
      </c>
      <c r="K250">
        <f t="shared" si="14"/>
        <v>1</v>
      </c>
      <c r="L250" t="b">
        <f t="shared" si="15"/>
        <v>0</v>
      </c>
    </row>
    <row r="251" spans="1:12" x14ac:dyDescent="0.35">
      <c r="A251" s="13">
        <v>42726</v>
      </c>
      <c r="B251" s="14">
        <v>4834.63</v>
      </c>
      <c r="C251" s="2">
        <f t="shared" si="12"/>
        <v>1.6756933439809885E-4</v>
      </c>
      <c r="D251">
        <f t="shared" si="13"/>
        <v>1</v>
      </c>
      <c r="E251">
        <v>0.49940732793579135</v>
      </c>
      <c r="F251">
        <v>0.89662456886664643</v>
      </c>
      <c r="G251">
        <v>0.10674392448470402</v>
      </c>
      <c r="I251">
        <v>0.89641723135648677</v>
      </c>
      <c r="J251">
        <v>0.10709579836090602</v>
      </c>
      <c r="K251">
        <f t="shared" si="14"/>
        <v>0</v>
      </c>
      <c r="L251" t="b">
        <f t="shared" si="15"/>
        <v>0</v>
      </c>
    </row>
    <row r="252" spans="1:12" x14ac:dyDescent="0.35">
      <c r="A252" s="13">
        <v>42727</v>
      </c>
      <c r="B252" s="14">
        <v>4839.68</v>
      </c>
      <c r="C252" s="2">
        <f t="shared" si="12"/>
        <v>1.0445473593636567E-3</v>
      </c>
      <c r="D252">
        <f t="shared" si="13"/>
        <v>1</v>
      </c>
      <c r="E252">
        <v>0.49994883813801272</v>
      </c>
      <c r="F252">
        <v>0.89641723135648677</v>
      </c>
      <c r="G252">
        <v>0.10709579836090602</v>
      </c>
      <c r="I252">
        <v>0.89642770551142192</v>
      </c>
      <c r="J252">
        <v>0.10688868484681122</v>
      </c>
      <c r="K252">
        <f t="shared" si="14"/>
        <v>0</v>
      </c>
      <c r="L252" t="b">
        <f t="shared" si="15"/>
        <v>0</v>
      </c>
    </row>
    <row r="253" spans="1:12" x14ac:dyDescent="0.35">
      <c r="A253" s="13">
        <v>42731</v>
      </c>
      <c r="B253" s="14">
        <v>4848.28</v>
      </c>
      <c r="C253" s="2">
        <f t="shared" si="12"/>
        <v>1.7769769902140631E-3</v>
      </c>
      <c r="D253">
        <f t="shared" si="13"/>
        <v>1</v>
      </c>
      <c r="E253">
        <v>0.50023856809650269</v>
      </c>
      <c r="F253">
        <v>0.89642770551142192</v>
      </c>
      <c r="G253">
        <v>0.10688868484681122</v>
      </c>
      <c r="I253">
        <v>0.89649295855706734</v>
      </c>
      <c r="J253">
        <v>0.1068991529307408</v>
      </c>
      <c r="K253">
        <f t="shared" si="14"/>
        <v>1</v>
      </c>
      <c r="L253" t="b">
        <f t="shared" si="15"/>
        <v>1</v>
      </c>
    </row>
    <row r="254" spans="1:12" x14ac:dyDescent="0.35">
      <c r="A254" s="13">
        <v>42732</v>
      </c>
      <c r="B254" s="14">
        <v>4848.01</v>
      </c>
      <c r="C254" s="2">
        <f t="shared" si="12"/>
        <v>-5.5689852896168013E-5</v>
      </c>
      <c r="D254">
        <f t="shared" si="13"/>
        <v>0</v>
      </c>
      <c r="E254">
        <v>0.50042617704358217</v>
      </c>
      <c r="F254">
        <v>0.89649295855706734</v>
      </c>
      <c r="G254">
        <v>0.1068991529307408</v>
      </c>
      <c r="I254">
        <v>0.8963818029125844</v>
      </c>
      <c r="J254">
        <v>0.10683381312298729</v>
      </c>
      <c r="K254">
        <f t="shared" si="14"/>
        <v>1</v>
      </c>
      <c r="L254" t="b">
        <f t="shared" si="15"/>
        <v>0</v>
      </c>
    </row>
    <row r="255" spans="1:12" x14ac:dyDescent="0.35">
      <c r="A255" s="13">
        <v>42733</v>
      </c>
      <c r="B255" s="14">
        <v>4838.47</v>
      </c>
      <c r="C255" s="2">
        <f t="shared" si="12"/>
        <v>-1.9678177231482463E-3</v>
      </c>
      <c r="D255">
        <f t="shared" si="13"/>
        <v>0</v>
      </c>
      <c r="E255">
        <v>0.50003498046418127</v>
      </c>
      <c r="F255">
        <v>0.8963818029125844</v>
      </c>
      <c r="G255">
        <v>0.10683381312298729</v>
      </c>
      <c r="I255">
        <v>0.89638528377188054</v>
      </c>
      <c r="J255">
        <v>0.10672274429170754</v>
      </c>
      <c r="K255">
        <f t="shared" si="14"/>
        <v>1</v>
      </c>
      <c r="L255" t="b">
        <f t="shared" si="15"/>
        <v>0</v>
      </c>
    </row>
    <row r="256" spans="1:12" x14ac:dyDescent="0.35">
      <c r="A256" s="13">
        <v>42734</v>
      </c>
      <c r="B256" s="14">
        <v>4862.3100000000004</v>
      </c>
      <c r="C256" s="2">
        <f t="shared" si="12"/>
        <v>4.9271773928536433E-3</v>
      </c>
      <c r="D256">
        <f t="shared" si="13"/>
        <v>1</v>
      </c>
      <c r="E256">
        <v>0.49955753355997295</v>
      </c>
      <c r="F256">
        <v>0.89638528377188054</v>
      </c>
      <c r="G256">
        <v>0.10672274429170754</v>
      </c>
      <c r="I256">
        <v>0.8962621864239193</v>
      </c>
      <c r="J256">
        <v>0.10671926059851826</v>
      </c>
      <c r="K256">
        <f t="shared" si="14"/>
        <v>0</v>
      </c>
      <c r="L256" t="b">
        <f t="shared" si="15"/>
        <v>0</v>
      </c>
    </row>
    <row r="257" spans="1:12" x14ac:dyDescent="0.35">
      <c r="A257" s="13">
        <v>42737</v>
      </c>
      <c r="B257" s="14">
        <v>4882.38</v>
      </c>
      <c r="C257" s="2">
        <f t="shared" si="12"/>
        <v>4.1276677134940432E-3</v>
      </c>
      <c r="D257">
        <f t="shared" si="13"/>
        <v>1</v>
      </c>
      <c r="E257">
        <v>0.50105150813248811</v>
      </c>
      <c r="F257">
        <v>0.8962621864239193</v>
      </c>
      <c r="G257">
        <v>0.10671926059851826</v>
      </c>
      <c r="I257">
        <v>0.89656948603099229</v>
      </c>
      <c r="J257">
        <v>0.10659653118065891</v>
      </c>
      <c r="K257">
        <f t="shared" si="14"/>
        <v>1</v>
      </c>
      <c r="L257" t="b">
        <f t="shared" si="15"/>
        <v>1</v>
      </c>
    </row>
    <row r="258" spans="1:12" x14ac:dyDescent="0.35">
      <c r="A258" s="13">
        <v>42738</v>
      </c>
      <c r="B258" s="14">
        <v>4899.33</v>
      </c>
      <c r="C258" s="2">
        <f t="shared" si="12"/>
        <v>3.4716675064210278E-3</v>
      </c>
      <c r="D258">
        <f t="shared" si="13"/>
        <v>1</v>
      </c>
      <c r="E258">
        <v>0.50105648866244956</v>
      </c>
      <c r="F258">
        <v>0.89656948603099229</v>
      </c>
      <c r="G258">
        <v>0.10659653118065891</v>
      </c>
      <c r="I258">
        <v>0.89682691900945877</v>
      </c>
      <c r="J258">
        <v>0.1069038277073459</v>
      </c>
      <c r="K258">
        <f t="shared" si="14"/>
        <v>1</v>
      </c>
      <c r="L258" t="b">
        <f t="shared" si="15"/>
        <v>1</v>
      </c>
    </row>
    <row r="259" spans="1:12" x14ac:dyDescent="0.35">
      <c r="A259" s="13">
        <v>42739</v>
      </c>
      <c r="B259" s="14">
        <v>4899.3999999999996</v>
      </c>
      <c r="C259" s="2">
        <f t="shared" si="12"/>
        <v>1.4287667905454882E-5</v>
      </c>
      <c r="D259">
        <f t="shared" si="13"/>
        <v>1</v>
      </c>
      <c r="E259">
        <v>0.50088868615211757</v>
      </c>
      <c r="F259">
        <v>0.89682691900945877</v>
      </c>
      <c r="G259">
        <v>0.1069038277073459</v>
      </c>
      <c r="I259">
        <v>0.89704351189152498</v>
      </c>
      <c r="J259">
        <v>0.1071613476007757</v>
      </c>
      <c r="K259">
        <f t="shared" si="14"/>
        <v>1</v>
      </c>
      <c r="L259" t="b">
        <f t="shared" si="15"/>
        <v>1</v>
      </c>
    </row>
    <row r="260" spans="1:12" x14ac:dyDescent="0.35">
      <c r="A260" s="13">
        <v>42740</v>
      </c>
      <c r="B260" s="14">
        <v>4900.6400000000003</v>
      </c>
      <c r="C260" s="2">
        <f t="shared" ref="C260:C323" si="16">(B260/B259)-1</f>
        <v>2.530922153733961E-4</v>
      </c>
      <c r="D260">
        <f t="shared" si="13"/>
        <v>1</v>
      </c>
      <c r="E260">
        <v>0.50009621130586368</v>
      </c>
      <c r="F260">
        <v>0.89704351189152498</v>
      </c>
      <c r="G260">
        <v>0.1071613476007757</v>
      </c>
      <c r="I260">
        <v>0.89704440469890656</v>
      </c>
      <c r="J260">
        <v>0.10737828506018654</v>
      </c>
      <c r="K260">
        <f t="shared" si="14"/>
        <v>1</v>
      </c>
      <c r="L260" t="b">
        <f t="shared" si="15"/>
        <v>1</v>
      </c>
    </row>
    <row r="261" spans="1:12" x14ac:dyDescent="0.35">
      <c r="A261" s="13">
        <v>42741</v>
      </c>
      <c r="B261" s="14">
        <v>4909.84</v>
      </c>
      <c r="C261" s="2">
        <f t="shared" si="16"/>
        <v>1.8773058212804283E-3</v>
      </c>
      <c r="D261">
        <f t="shared" si="13"/>
        <v>1</v>
      </c>
      <c r="E261">
        <v>0.50005714228498888</v>
      </c>
      <c r="F261">
        <v>0.89704440469890656</v>
      </c>
      <c r="G261">
        <v>0.10737828506018654</v>
      </c>
      <c r="I261">
        <v>0.89706022115437734</v>
      </c>
      <c r="J261">
        <v>0.10737917793736522</v>
      </c>
      <c r="K261">
        <f t="shared" si="14"/>
        <v>1</v>
      </c>
      <c r="L261" t="b">
        <f t="shared" si="15"/>
        <v>1</v>
      </c>
    </row>
    <row r="262" spans="1:12" x14ac:dyDescent="0.35">
      <c r="A262" s="13">
        <v>42744</v>
      </c>
      <c r="B262" s="14">
        <v>4887.57</v>
      </c>
      <c r="C262" s="2">
        <f t="shared" si="16"/>
        <v>-4.5357893536246419E-3</v>
      </c>
      <c r="D262">
        <f t="shared" ref="D262:D325" si="17">IF(C262&gt;=0,1,0)</f>
        <v>0</v>
      </c>
      <c r="E262">
        <v>0.50042780819791377</v>
      </c>
      <c r="F262">
        <v>0.89706022115437734</v>
      </c>
      <c r="G262">
        <v>0.10737917793736522</v>
      </c>
      <c r="I262">
        <v>0.89694278923566428</v>
      </c>
      <c r="J262">
        <v>0.10736334615112894</v>
      </c>
      <c r="K262">
        <f t="shared" ref="K262:K325" si="18">IF(E262&gt;=0.5,1,0)</f>
        <v>1</v>
      </c>
      <c r="L262" t="b">
        <f t="shared" ref="L262:L325" si="19">IF(K262=D262,TRUE,FALSE)</f>
        <v>0</v>
      </c>
    </row>
    <row r="263" spans="1:12" x14ac:dyDescent="0.35">
      <c r="A263" s="13">
        <v>42745</v>
      </c>
      <c r="B263" s="14">
        <v>4888.2299999999996</v>
      </c>
      <c r="C263" s="2">
        <f t="shared" si="16"/>
        <v>1.3503642914569625E-4</v>
      </c>
      <c r="D263">
        <f t="shared" si="17"/>
        <v>1</v>
      </c>
      <c r="E263">
        <v>0.49903330377463229</v>
      </c>
      <c r="F263">
        <v>0.89694278923566428</v>
      </c>
      <c r="G263">
        <v>0.10736334615112894</v>
      </c>
      <c r="I263">
        <v>0.89665875537148121</v>
      </c>
      <c r="J263">
        <v>0.1074809041735811</v>
      </c>
      <c r="K263">
        <f t="shared" si="18"/>
        <v>0</v>
      </c>
      <c r="L263" t="b">
        <f t="shared" si="19"/>
        <v>0</v>
      </c>
    </row>
    <row r="264" spans="1:12" x14ac:dyDescent="0.35">
      <c r="A264" s="13">
        <v>42746</v>
      </c>
      <c r="B264" s="14">
        <v>4888.71</v>
      </c>
      <c r="C264" s="2">
        <f t="shared" si="16"/>
        <v>9.8195052196992094E-5</v>
      </c>
      <c r="D264">
        <f t="shared" si="17"/>
        <v>1</v>
      </c>
      <c r="E264">
        <v>0.49990839271492976</v>
      </c>
      <c r="F264">
        <v>0.89665875537148121</v>
      </c>
      <c r="G264">
        <v>0.1074809041735811</v>
      </c>
      <c r="I264">
        <v>0.8966671966943095</v>
      </c>
      <c r="J264">
        <v>0.10719736540957872</v>
      </c>
      <c r="K264">
        <f t="shared" si="18"/>
        <v>0</v>
      </c>
      <c r="L264" t="b">
        <f t="shared" si="19"/>
        <v>0</v>
      </c>
    </row>
    <row r="265" spans="1:12" x14ac:dyDescent="0.35">
      <c r="A265" s="13">
        <v>42747</v>
      </c>
      <c r="B265" s="14">
        <v>4863.97</v>
      </c>
      <c r="C265" s="2">
        <f t="shared" si="16"/>
        <v>-5.0606397188623919E-3</v>
      </c>
      <c r="D265">
        <f t="shared" si="17"/>
        <v>0</v>
      </c>
      <c r="E265">
        <v>0.50002563095788288</v>
      </c>
      <c r="F265">
        <v>0.8966671966943095</v>
      </c>
      <c r="G265">
        <v>0.10719736540957872</v>
      </c>
      <c r="I265">
        <v>0.89666105918895911</v>
      </c>
      <c r="J265">
        <v>0.10718892520014016</v>
      </c>
      <c r="K265">
        <f t="shared" si="18"/>
        <v>1</v>
      </c>
      <c r="L265" t="b">
        <f t="shared" si="19"/>
        <v>0</v>
      </c>
    </row>
    <row r="266" spans="1:12" x14ac:dyDescent="0.35">
      <c r="A266" s="13">
        <v>42748</v>
      </c>
      <c r="B266" s="14">
        <v>4922.49</v>
      </c>
      <c r="C266" s="2">
        <f t="shared" si="16"/>
        <v>1.2031324206358107E-2</v>
      </c>
      <c r="D266">
        <f t="shared" si="17"/>
        <v>1</v>
      </c>
      <c r="E266">
        <v>0.49886821364591105</v>
      </c>
      <c r="F266">
        <v>0.89666105918895911</v>
      </c>
      <c r="G266">
        <v>0.10718892520014016</v>
      </c>
      <c r="I266">
        <v>0.8963440548854209</v>
      </c>
      <c r="J266">
        <v>0.10719507625136331</v>
      </c>
      <c r="K266">
        <f t="shared" si="18"/>
        <v>0</v>
      </c>
      <c r="L266" t="b">
        <f t="shared" si="19"/>
        <v>0</v>
      </c>
    </row>
    <row r="267" spans="1:12" x14ac:dyDescent="0.35">
      <c r="A267" s="13">
        <v>42751</v>
      </c>
      <c r="B267" s="14">
        <v>4882.18</v>
      </c>
      <c r="C267" s="2">
        <f t="shared" si="16"/>
        <v>-8.1889450257897067E-3</v>
      </c>
      <c r="D267">
        <f t="shared" si="17"/>
        <v>0</v>
      </c>
      <c r="E267">
        <v>0.50256041018532804</v>
      </c>
      <c r="F267">
        <v>0.8963440548854209</v>
      </c>
      <c r="G267">
        <v>0.10719507625136331</v>
      </c>
      <c r="I267">
        <v>0.89558826630130695</v>
      </c>
      <c r="J267">
        <v>0.10751297756149578</v>
      </c>
      <c r="K267">
        <f t="shared" si="18"/>
        <v>1</v>
      </c>
      <c r="L267" t="b">
        <f t="shared" si="19"/>
        <v>0</v>
      </c>
    </row>
    <row r="268" spans="1:12" x14ac:dyDescent="0.35">
      <c r="A268" s="13">
        <v>42752</v>
      </c>
      <c r="B268" s="14">
        <v>4859.6899999999996</v>
      </c>
      <c r="C268" s="2">
        <f t="shared" si="16"/>
        <v>-4.6065487138943206E-3</v>
      </c>
      <c r="D268">
        <f t="shared" si="17"/>
        <v>0</v>
      </c>
      <c r="E268">
        <v>0.4984899046942331</v>
      </c>
      <c r="F268">
        <v>0.89558826630130695</v>
      </c>
      <c r="G268">
        <v>0.10751297756149578</v>
      </c>
      <c r="I268">
        <v>0.89609852495009557</v>
      </c>
      <c r="J268">
        <v>0.10676329769267995</v>
      </c>
      <c r="K268">
        <f t="shared" si="18"/>
        <v>0</v>
      </c>
      <c r="L268" t="b">
        <f t="shared" si="19"/>
        <v>1</v>
      </c>
    </row>
    <row r="269" spans="1:12" x14ac:dyDescent="0.35">
      <c r="A269" s="13">
        <v>42753</v>
      </c>
      <c r="B269" s="14">
        <v>4853.3999999999996</v>
      </c>
      <c r="C269" s="2">
        <f t="shared" si="16"/>
        <v>-1.2943212427130035E-3</v>
      </c>
      <c r="D269">
        <f t="shared" si="17"/>
        <v>0</v>
      </c>
      <c r="E269">
        <v>0.49874945253679737</v>
      </c>
      <c r="F269">
        <v>0.89609852495009557</v>
      </c>
      <c r="G269">
        <v>0.10676329769267995</v>
      </c>
      <c r="I269">
        <v>0.89638571235973274</v>
      </c>
      <c r="J269">
        <v>0.10727382348013656</v>
      </c>
      <c r="K269">
        <f t="shared" si="18"/>
        <v>0</v>
      </c>
      <c r="L269" t="b">
        <f t="shared" si="19"/>
        <v>1</v>
      </c>
    </row>
    <row r="270" spans="1:12" x14ac:dyDescent="0.35">
      <c r="A270" s="13">
        <v>42754</v>
      </c>
      <c r="B270" s="14">
        <v>4841.1400000000003</v>
      </c>
      <c r="C270" s="2">
        <f t="shared" si="16"/>
        <v>-2.5260642024146351E-3</v>
      </c>
      <c r="D270">
        <f t="shared" si="17"/>
        <v>0</v>
      </c>
      <c r="E270">
        <v>0.49958640680364236</v>
      </c>
      <c r="F270">
        <v>0.89638571235973274</v>
      </c>
      <c r="G270">
        <v>0.10727382348013656</v>
      </c>
      <c r="I270">
        <v>0.8964665404667892</v>
      </c>
      <c r="J270">
        <v>0.10756149442326877</v>
      </c>
      <c r="K270">
        <f t="shared" si="18"/>
        <v>0</v>
      </c>
      <c r="L270" t="b">
        <f t="shared" si="19"/>
        <v>1</v>
      </c>
    </row>
    <row r="271" spans="1:12" x14ac:dyDescent="0.35">
      <c r="A271" s="13">
        <v>42755</v>
      </c>
      <c r="B271" s="14">
        <v>4850.67</v>
      </c>
      <c r="C271" s="2">
        <f t="shared" si="16"/>
        <v>1.9685445989994221E-3</v>
      </c>
      <c r="D271">
        <f t="shared" si="17"/>
        <v>1</v>
      </c>
      <c r="E271">
        <v>0.49939906249843596</v>
      </c>
      <c r="F271">
        <v>0.8964665404667892</v>
      </c>
      <c r="G271">
        <v>0.10756149442326877</v>
      </c>
      <c r="I271">
        <v>0.89630847193163032</v>
      </c>
      <c r="J271">
        <v>0.10748050223682115</v>
      </c>
      <c r="K271">
        <f t="shared" si="18"/>
        <v>0</v>
      </c>
      <c r="L271" t="b">
        <f t="shared" si="19"/>
        <v>0</v>
      </c>
    </row>
    <row r="272" spans="1:12" x14ac:dyDescent="0.35">
      <c r="A272" s="13">
        <v>42758</v>
      </c>
      <c r="B272" s="14">
        <v>4821.41</v>
      </c>
      <c r="C272" s="2">
        <f t="shared" si="16"/>
        <v>-6.032156382520415E-3</v>
      </c>
      <c r="D272">
        <f t="shared" si="17"/>
        <v>0</v>
      </c>
      <c r="E272">
        <v>0.50037323006875345</v>
      </c>
      <c r="F272">
        <v>0.89630847193163032</v>
      </c>
      <c r="G272">
        <v>0.10748050223682115</v>
      </c>
      <c r="I272">
        <v>0.89618534612279444</v>
      </c>
      <c r="J272">
        <v>0.10763849901182528</v>
      </c>
      <c r="K272">
        <f t="shared" si="18"/>
        <v>1</v>
      </c>
      <c r="L272" t="b">
        <f t="shared" si="19"/>
        <v>0</v>
      </c>
    </row>
    <row r="273" spans="1:12" x14ac:dyDescent="0.35">
      <c r="A273" s="13">
        <v>42759</v>
      </c>
      <c r="B273" s="14">
        <v>4830.03</v>
      </c>
      <c r="C273" s="2">
        <f t="shared" si="16"/>
        <v>1.7878587384188016E-3</v>
      </c>
      <c r="D273">
        <f t="shared" si="17"/>
        <v>1</v>
      </c>
      <c r="E273">
        <v>0.49870149317684742</v>
      </c>
      <c r="F273">
        <v>0.89618534612279444</v>
      </c>
      <c r="G273">
        <v>0.10763849901182528</v>
      </c>
      <c r="I273">
        <v>0.89580735979869763</v>
      </c>
      <c r="J273">
        <v>0.10776185173838133</v>
      </c>
      <c r="K273">
        <f t="shared" si="18"/>
        <v>0</v>
      </c>
      <c r="L273" t="b">
        <f t="shared" si="19"/>
        <v>0</v>
      </c>
    </row>
    <row r="274" spans="1:12" x14ac:dyDescent="0.35">
      <c r="A274" s="13">
        <v>42760</v>
      </c>
      <c r="B274" s="14">
        <v>4877.67</v>
      </c>
      <c r="C274" s="2">
        <f t="shared" si="16"/>
        <v>9.8632927745792021E-3</v>
      </c>
      <c r="D274">
        <f t="shared" si="17"/>
        <v>1</v>
      </c>
      <c r="E274">
        <v>0.50023788515065104</v>
      </c>
      <c r="F274">
        <v>0.89580735979869763</v>
      </c>
      <c r="G274">
        <v>0.10776185173838133</v>
      </c>
      <c r="I274">
        <v>0.89591904778143672</v>
      </c>
      <c r="J274">
        <v>0.10738502141982588</v>
      </c>
      <c r="K274">
        <f t="shared" si="18"/>
        <v>1</v>
      </c>
      <c r="L274" t="b">
        <f t="shared" si="19"/>
        <v>1</v>
      </c>
    </row>
    <row r="275" spans="1:12" x14ac:dyDescent="0.35">
      <c r="A275" s="13">
        <v>42761</v>
      </c>
      <c r="B275" s="14">
        <v>4867.24</v>
      </c>
      <c r="C275" s="2">
        <f t="shared" si="16"/>
        <v>-2.1383160402406176E-3</v>
      </c>
      <c r="D275">
        <f t="shared" si="17"/>
        <v>0</v>
      </c>
      <c r="E275">
        <v>0.50225715994673947</v>
      </c>
      <c r="F275">
        <v>0.89591904778143672</v>
      </c>
      <c r="G275">
        <v>0.10738502141982588</v>
      </c>
      <c r="I275">
        <v>0.89529982172386835</v>
      </c>
      <c r="J275">
        <v>0.10727277810074551</v>
      </c>
      <c r="K275">
        <f t="shared" si="18"/>
        <v>1</v>
      </c>
      <c r="L275" t="b">
        <f t="shared" si="19"/>
        <v>0</v>
      </c>
    </row>
    <row r="276" spans="1:12" x14ac:dyDescent="0.35">
      <c r="A276" s="13">
        <v>42762</v>
      </c>
      <c r="B276" s="14">
        <v>4839.9799999999996</v>
      </c>
      <c r="C276" s="2">
        <f t="shared" si="16"/>
        <v>-5.6007100533361776E-3</v>
      </c>
      <c r="D276">
        <f t="shared" si="17"/>
        <v>0</v>
      </c>
      <c r="E276">
        <v>0.49978590722496752</v>
      </c>
      <c r="F276">
        <v>0.89529982172386835</v>
      </c>
      <c r="G276">
        <v>0.10727277810074551</v>
      </c>
      <c r="I276">
        <v>0.89543340922713921</v>
      </c>
      <c r="J276">
        <v>0.10665658637277382</v>
      </c>
      <c r="K276">
        <f t="shared" si="18"/>
        <v>0</v>
      </c>
      <c r="L276" t="b">
        <f t="shared" si="19"/>
        <v>1</v>
      </c>
    </row>
    <row r="277" spans="1:12" x14ac:dyDescent="0.35">
      <c r="A277" s="13">
        <v>42765</v>
      </c>
      <c r="B277" s="14">
        <v>4784.6400000000003</v>
      </c>
      <c r="C277" s="2">
        <f t="shared" si="16"/>
        <v>-1.1433931545171472E-2</v>
      </c>
      <c r="D277">
        <f t="shared" si="17"/>
        <v>0</v>
      </c>
      <c r="E277">
        <v>0.49868922090617085</v>
      </c>
      <c r="F277">
        <v>0.89543340922713921</v>
      </c>
      <c r="G277">
        <v>0.10665658637277382</v>
      </c>
      <c r="I277">
        <v>0.89578253354436976</v>
      </c>
      <c r="J277">
        <v>0.10678987985171896</v>
      </c>
      <c r="K277">
        <f t="shared" si="18"/>
        <v>0</v>
      </c>
      <c r="L277" t="b">
        <f t="shared" si="19"/>
        <v>1</v>
      </c>
    </row>
    <row r="278" spans="1:12" x14ac:dyDescent="0.35">
      <c r="A278" s="13">
        <v>42766</v>
      </c>
      <c r="B278" s="14">
        <v>4748.8999999999996</v>
      </c>
      <c r="C278" s="2">
        <f t="shared" si="16"/>
        <v>-7.4697364901018526E-3</v>
      </c>
      <c r="D278">
        <f t="shared" si="17"/>
        <v>0</v>
      </c>
      <c r="E278">
        <v>0.49728992270902306</v>
      </c>
      <c r="F278">
        <v>0.89578253354436976</v>
      </c>
      <c r="G278">
        <v>0.10678987985171896</v>
      </c>
      <c r="I278">
        <v>0.89649326003077467</v>
      </c>
      <c r="J278">
        <v>0.10713801670751999</v>
      </c>
      <c r="K278">
        <f t="shared" si="18"/>
        <v>0</v>
      </c>
      <c r="L278" t="b">
        <f t="shared" si="19"/>
        <v>1</v>
      </c>
    </row>
    <row r="279" spans="1:12" x14ac:dyDescent="0.35">
      <c r="A279" s="13">
        <v>42767</v>
      </c>
      <c r="B279" s="14">
        <v>4794.58</v>
      </c>
      <c r="C279" s="2">
        <f t="shared" si="16"/>
        <v>9.6190696792941566E-3</v>
      </c>
      <c r="D279">
        <f t="shared" si="17"/>
        <v>1</v>
      </c>
      <c r="E279">
        <v>0.49801961606435002</v>
      </c>
      <c r="F279">
        <v>0.89649326003077467</v>
      </c>
      <c r="G279">
        <v>0.10713801670751999</v>
      </c>
      <c r="I279">
        <v>0.89602455973481132</v>
      </c>
      <c r="J279">
        <v>0.10642057679429848</v>
      </c>
      <c r="K279">
        <f t="shared" si="18"/>
        <v>0</v>
      </c>
      <c r="L279" t="b">
        <f t="shared" si="19"/>
        <v>0</v>
      </c>
    </row>
    <row r="280" spans="1:12" x14ac:dyDescent="0.35">
      <c r="A280" s="13">
        <v>42768</v>
      </c>
      <c r="B280" s="14">
        <v>4794.29</v>
      </c>
      <c r="C280" s="2">
        <f t="shared" si="16"/>
        <v>-6.0484964272133901E-5</v>
      </c>
      <c r="D280">
        <f t="shared" si="17"/>
        <v>0</v>
      </c>
      <c r="E280">
        <v>0.50195598727422952</v>
      </c>
      <c r="F280">
        <v>0.89602455973481132</v>
      </c>
      <c r="G280">
        <v>0.10642057679429848</v>
      </c>
      <c r="I280">
        <v>0.89542102526897827</v>
      </c>
      <c r="J280">
        <v>0.10688925449107947</v>
      </c>
      <c r="K280">
        <f t="shared" si="18"/>
        <v>1</v>
      </c>
      <c r="L280" t="b">
        <f t="shared" si="19"/>
        <v>0</v>
      </c>
    </row>
    <row r="281" spans="1:12" x14ac:dyDescent="0.35">
      <c r="A281" s="13">
        <v>42769</v>
      </c>
      <c r="B281" s="14">
        <v>4825.42</v>
      </c>
      <c r="C281" s="2">
        <f t="shared" si="16"/>
        <v>6.4931407987418588E-3</v>
      </c>
      <c r="D281">
        <f t="shared" si="17"/>
        <v>1</v>
      </c>
      <c r="E281">
        <v>0.50024350390029781</v>
      </c>
      <c r="F281">
        <v>0.89542102526897827</v>
      </c>
      <c r="G281">
        <v>0.10688925449107947</v>
      </c>
      <c r="I281">
        <v>0.89541724680064805</v>
      </c>
      <c r="J281">
        <v>0.10749015341839314</v>
      </c>
      <c r="K281">
        <f t="shared" si="18"/>
        <v>1</v>
      </c>
      <c r="L281" t="b">
        <f t="shared" si="19"/>
        <v>1</v>
      </c>
    </row>
    <row r="282" spans="1:12" x14ac:dyDescent="0.35">
      <c r="A282" s="13">
        <v>42772</v>
      </c>
      <c r="B282" s="14">
        <v>4778.08</v>
      </c>
      <c r="C282" s="2">
        <f t="shared" si="16"/>
        <v>-9.81054498883005E-3</v>
      </c>
      <c r="D282">
        <f t="shared" si="17"/>
        <v>0</v>
      </c>
      <c r="E282">
        <v>0.50145188809899877</v>
      </c>
      <c r="F282">
        <v>0.89541724680064805</v>
      </c>
      <c r="G282">
        <v>0.10749015341839314</v>
      </c>
      <c r="I282">
        <v>0.89501025051828287</v>
      </c>
      <c r="J282">
        <v>0.1074939446738673</v>
      </c>
      <c r="K282">
        <f t="shared" si="18"/>
        <v>1</v>
      </c>
      <c r="L282" t="b">
        <f t="shared" si="19"/>
        <v>0</v>
      </c>
    </row>
    <row r="283" spans="1:12" x14ac:dyDescent="0.35">
      <c r="A283" s="13">
        <v>42773</v>
      </c>
      <c r="B283" s="14">
        <v>4754.47</v>
      </c>
      <c r="C283" s="2">
        <f t="shared" si="16"/>
        <v>-4.9413153400528209E-3</v>
      </c>
      <c r="D283">
        <f t="shared" si="17"/>
        <v>0</v>
      </c>
      <c r="E283">
        <v>0.49797936974767654</v>
      </c>
      <c r="F283">
        <v>0.89501025051828287</v>
      </c>
      <c r="G283">
        <v>0.1074939446738673</v>
      </c>
      <c r="I283">
        <v>0.89562092167107143</v>
      </c>
      <c r="J283">
        <v>0.10708977000453945</v>
      </c>
      <c r="K283">
        <f t="shared" si="18"/>
        <v>0</v>
      </c>
      <c r="L283" t="b">
        <f t="shared" si="19"/>
        <v>1</v>
      </c>
    </row>
    <row r="284" spans="1:12" x14ac:dyDescent="0.35">
      <c r="A284" s="13">
        <v>42774</v>
      </c>
      <c r="B284" s="14">
        <v>4766.6000000000004</v>
      </c>
      <c r="C284" s="2">
        <f t="shared" si="16"/>
        <v>2.5512833186454031E-3</v>
      </c>
      <c r="D284">
        <f t="shared" si="17"/>
        <v>1</v>
      </c>
      <c r="E284">
        <v>0.49863096481984803</v>
      </c>
      <c r="F284">
        <v>0.89562092167107143</v>
      </c>
      <c r="G284">
        <v>0.10708977000453945</v>
      </c>
      <c r="I284">
        <v>0.89531124617966462</v>
      </c>
      <c r="J284">
        <v>0.10647493667954232</v>
      </c>
      <c r="K284">
        <f t="shared" si="18"/>
        <v>0</v>
      </c>
      <c r="L284" t="b">
        <f t="shared" si="19"/>
        <v>0</v>
      </c>
    </row>
    <row r="285" spans="1:12" x14ac:dyDescent="0.35">
      <c r="A285" s="13">
        <v>42775</v>
      </c>
      <c r="B285" s="14">
        <v>4826.24</v>
      </c>
      <c r="C285" s="2">
        <f t="shared" si="16"/>
        <v>1.2512063105777571E-2</v>
      </c>
      <c r="D285">
        <f t="shared" si="17"/>
        <v>1</v>
      </c>
      <c r="E285">
        <v>0.5004395164891523</v>
      </c>
      <c r="F285">
        <v>0.89531124617966462</v>
      </c>
      <c r="G285">
        <v>0.10647493667954232</v>
      </c>
      <c r="I285">
        <v>0.89547056109759149</v>
      </c>
      <c r="J285">
        <v>0.10616637618290983</v>
      </c>
      <c r="K285">
        <f t="shared" si="18"/>
        <v>1</v>
      </c>
      <c r="L285" t="b">
        <f t="shared" si="19"/>
        <v>1</v>
      </c>
    </row>
    <row r="286" spans="1:12" x14ac:dyDescent="0.35">
      <c r="A286" s="13">
        <v>42776</v>
      </c>
      <c r="B286" s="14">
        <v>4828.32</v>
      </c>
      <c r="C286" s="2">
        <f t="shared" si="16"/>
        <v>4.30977323962356E-4</v>
      </c>
      <c r="D286">
        <f t="shared" si="17"/>
        <v>1</v>
      </c>
      <c r="E286">
        <v>0.50286872968993668</v>
      </c>
      <c r="F286">
        <v>0.89547056109759149</v>
      </c>
      <c r="G286">
        <v>0.10616637618290983</v>
      </c>
      <c r="I286">
        <v>0.89624805273118402</v>
      </c>
      <c r="J286">
        <v>0.10632491130364903</v>
      </c>
      <c r="K286">
        <f t="shared" si="18"/>
        <v>1</v>
      </c>
      <c r="L286" t="b">
        <f t="shared" si="19"/>
        <v>1</v>
      </c>
    </row>
    <row r="287" spans="1:12" x14ac:dyDescent="0.35">
      <c r="A287" s="13">
        <v>42779</v>
      </c>
      <c r="B287" s="14">
        <v>4888.1899999999996</v>
      </c>
      <c r="C287" s="2">
        <f t="shared" si="16"/>
        <v>1.2399758093912583E-2</v>
      </c>
      <c r="D287">
        <f t="shared" si="17"/>
        <v>1</v>
      </c>
      <c r="E287">
        <v>0.50042915154144696</v>
      </c>
      <c r="F287">
        <v>0.89624805273118402</v>
      </c>
      <c r="G287">
        <v>0.10632491130364903</v>
      </c>
      <c r="I287">
        <v>0.89627496567478249</v>
      </c>
      <c r="J287">
        <v>0.10710624347576858</v>
      </c>
      <c r="K287">
        <f t="shared" si="18"/>
        <v>1</v>
      </c>
      <c r="L287" t="b">
        <f t="shared" si="19"/>
        <v>1</v>
      </c>
    </row>
    <row r="288" spans="1:12" x14ac:dyDescent="0.35">
      <c r="A288" s="13">
        <v>42780</v>
      </c>
      <c r="B288" s="14">
        <v>4895.82</v>
      </c>
      <c r="C288" s="2">
        <f t="shared" si="16"/>
        <v>1.5609049566405186E-3</v>
      </c>
      <c r="D288">
        <f t="shared" si="17"/>
        <v>1</v>
      </c>
      <c r="E288">
        <v>0.50278990932597778</v>
      </c>
      <c r="F288">
        <v>0.89627496567478249</v>
      </c>
      <c r="G288">
        <v>0.10710624347576858</v>
      </c>
      <c r="I288">
        <v>0.89704560228652153</v>
      </c>
      <c r="J288">
        <v>0.10713302842610062</v>
      </c>
      <c r="K288">
        <f t="shared" si="18"/>
        <v>1</v>
      </c>
      <c r="L288" t="b">
        <f t="shared" si="19"/>
        <v>1</v>
      </c>
    </row>
    <row r="289" spans="1:12" x14ac:dyDescent="0.35">
      <c r="A289" s="13">
        <v>42781</v>
      </c>
      <c r="B289" s="14">
        <v>4924.8599999999997</v>
      </c>
      <c r="C289" s="2">
        <f t="shared" si="16"/>
        <v>5.9315906222041637E-3</v>
      </c>
      <c r="D289">
        <f t="shared" si="17"/>
        <v>1</v>
      </c>
      <c r="E289">
        <v>0.5006821562175795</v>
      </c>
      <c r="F289">
        <v>0.89704560228652153</v>
      </c>
      <c r="G289">
        <v>0.10713302842610062</v>
      </c>
      <c r="I289">
        <v>0.89714302556734493</v>
      </c>
      <c r="J289">
        <v>0.10790695454491128</v>
      </c>
      <c r="K289">
        <f t="shared" si="18"/>
        <v>1</v>
      </c>
      <c r="L289" t="b">
        <f t="shared" si="19"/>
        <v>1</v>
      </c>
    </row>
    <row r="290" spans="1:12" x14ac:dyDescent="0.35">
      <c r="A290" s="13">
        <v>42782</v>
      </c>
      <c r="B290" s="14">
        <v>4899.46</v>
      </c>
      <c r="C290" s="2">
        <f t="shared" si="16"/>
        <v>-5.1575070154278313E-3</v>
      </c>
      <c r="D290">
        <f t="shared" si="17"/>
        <v>0</v>
      </c>
      <c r="E290">
        <v>0.50137247596725065</v>
      </c>
      <c r="F290">
        <v>0.89714302556734493</v>
      </c>
      <c r="G290">
        <v>0.10790695454491128</v>
      </c>
      <c r="I290">
        <v>0.89677128633374759</v>
      </c>
      <c r="J290">
        <v>0.10780913093413683</v>
      </c>
      <c r="K290">
        <f t="shared" si="18"/>
        <v>1</v>
      </c>
      <c r="L290" t="b">
        <f t="shared" si="19"/>
        <v>0</v>
      </c>
    </row>
    <row r="291" spans="1:12" x14ac:dyDescent="0.35">
      <c r="A291" s="13">
        <v>42783</v>
      </c>
      <c r="B291" s="14">
        <v>4867.58</v>
      </c>
      <c r="C291" s="2">
        <f t="shared" si="16"/>
        <v>-6.506839529254238E-3</v>
      </c>
      <c r="D291">
        <f t="shared" si="17"/>
        <v>0</v>
      </c>
      <c r="E291">
        <v>0.49900359517639153</v>
      </c>
      <c r="F291">
        <v>0.89677128633374759</v>
      </c>
      <c r="G291">
        <v>0.10780913093413683</v>
      </c>
      <c r="I291">
        <v>0.89709298687403205</v>
      </c>
      <c r="J291">
        <v>0.10743914677275786</v>
      </c>
      <c r="K291">
        <f t="shared" si="18"/>
        <v>0</v>
      </c>
      <c r="L291" t="b">
        <f t="shared" si="19"/>
        <v>1</v>
      </c>
    </row>
    <row r="292" spans="1:12" x14ac:dyDescent="0.35">
      <c r="A292" s="13">
        <v>42786</v>
      </c>
      <c r="B292" s="14">
        <v>4864.99</v>
      </c>
      <c r="C292" s="2">
        <f t="shared" si="16"/>
        <v>-5.3209192247483106E-4</v>
      </c>
      <c r="D292">
        <f t="shared" si="17"/>
        <v>0</v>
      </c>
      <c r="E292">
        <v>0.49840216587381292</v>
      </c>
      <c r="F292">
        <v>0.89709298687403205</v>
      </c>
      <c r="G292">
        <v>0.10743914677275786</v>
      </c>
      <c r="I292">
        <v>0.8974983605984902</v>
      </c>
      <c r="J292">
        <v>0.10776045757477828</v>
      </c>
      <c r="K292">
        <f t="shared" si="18"/>
        <v>0</v>
      </c>
      <c r="L292" t="b">
        <f t="shared" si="19"/>
        <v>1</v>
      </c>
    </row>
    <row r="293" spans="1:12" x14ac:dyDescent="0.35">
      <c r="A293" s="13">
        <v>42787</v>
      </c>
      <c r="B293" s="14">
        <v>4888.76</v>
      </c>
      <c r="C293" s="2">
        <f t="shared" si="16"/>
        <v>4.8859298785814964E-3</v>
      </c>
      <c r="D293">
        <f t="shared" si="17"/>
        <v>1</v>
      </c>
      <c r="E293">
        <v>0.49970531712583283</v>
      </c>
      <c r="F293">
        <v>0.8974983605984902</v>
      </c>
      <c r="G293">
        <v>0.10776045757477828</v>
      </c>
      <c r="I293">
        <v>0.89746508526509661</v>
      </c>
      <c r="J293">
        <v>0.1073535405637716</v>
      </c>
      <c r="K293">
        <f t="shared" si="18"/>
        <v>0</v>
      </c>
      <c r="L293" t="b">
        <f t="shared" si="19"/>
        <v>0</v>
      </c>
    </row>
    <row r="294" spans="1:12" x14ac:dyDescent="0.35">
      <c r="A294" s="13">
        <v>42788</v>
      </c>
      <c r="B294" s="14">
        <v>4895.88</v>
      </c>
      <c r="C294" s="2">
        <f t="shared" si="16"/>
        <v>1.4564020324172589E-3</v>
      </c>
      <c r="D294">
        <f t="shared" si="17"/>
        <v>1</v>
      </c>
      <c r="E294">
        <v>0.5010819556920626</v>
      </c>
      <c r="F294">
        <v>0.89746508526509661</v>
      </c>
      <c r="G294">
        <v>0.1073535405637716</v>
      </c>
      <c r="I294">
        <v>0.89776979366074505</v>
      </c>
      <c r="J294">
        <v>0.10732035693648592</v>
      </c>
      <c r="K294">
        <f t="shared" si="18"/>
        <v>1</v>
      </c>
      <c r="L294" t="b">
        <f t="shared" si="19"/>
        <v>1</v>
      </c>
    </row>
    <row r="295" spans="1:12" x14ac:dyDescent="0.35">
      <c r="A295" s="13">
        <v>42789</v>
      </c>
      <c r="B295" s="14">
        <v>4891.29</v>
      </c>
      <c r="C295" s="2">
        <f t="shared" si="16"/>
        <v>-9.3752297850435706E-4</v>
      </c>
      <c r="D295">
        <f t="shared" si="17"/>
        <v>0</v>
      </c>
      <c r="E295">
        <v>0.50045796824459732</v>
      </c>
      <c r="F295">
        <v>0.89776979366074505</v>
      </c>
      <c r="G295">
        <v>0.10732035693648592</v>
      </c>
      <c r="I295">
        <v>0.89767868523691818</v>
      </c>
      <c r="J295">
        <v>0.10701470687540554</v>
      </c>
      <c r="K295">
        <f t="shared" si="18"/>
        <v>1</v>
      </c>
      <c r="L295" t="b">
        <f t="shared" si="19"/>
        <v>0</v>
      </c>
    </row>
    <row r="296" spans="1:12" x14ac:dyDescent="0.35">
      <c r="A296" s="13">
        <v>42790</v>
      </c>
      <c r="B296" s="14">
        <v>4845.24</v>
      </c>
      <c r="C296" s="2">
        <f t="shared" si="16"/>
        <v>-9.4146942831032643E-3</v>
      </c>
      <c r="D296">
        <f t="shared" si="17"/>
        <v>0</v>
      </c>
      <c r="E296">
        <v>0.49982856551718507</v>
      </c>
      <c r="F296">
        <v>0.89767868523691818</v>
      </c>
      <c r="G296">
        <v>0.10701470687540554</v>
      </c>
      <c r="I296">
        <v>0.89773726032571777</v>
      </c>
      <c r="J296">
        <v>0.10692371296876778</v>
      </c>
      <c r="K296">
        <f t="shared" si="18"/>
        <v>0</v>
      </c>
      <c r="L296" t="b">
        <f t="shared" si="19"/>
        <v>1</v>
      </c>
    </row>
    <row r="297" spans="1:12" x14ac:dyDescent="0.35">
      <c r="A297" s="13">
        <v>42793</v>
      </c>
      <c r="B297" s="14">
        <v>4845.18</v>
      </c>
      <c r="C297" s="2">
        <f t="shared" si="16"/>
        <v>-1.2383287515072006E-5</v>
      </c>
      <c r="D297">
        <f t="shared" si="17"/>
        <v>0</v>
      </c>
      <c r="E297">
        <v>0.49786197170858987</v>
      </c>
      <c r="F297">
        <v>0.89773726032571777</v>
      </c>
      <c r="G297">
        <v>0.10692371296876778</v>
      </c>
      <c r="I297">
        <v>0.89832315189504619</v>
      </c>
      <c r="J297">
        <v>0.1069820565317811</v>
      </c>
      <c r="K297">
        <f t="shared" si="18"/>
        <v>0</v>
      </c>
      <c r="L297" t="b">
        <f t="shared" si="19"/>
        <v>1</v>
      </c>
    </row>
    <row r="298" spans="1:12" x14ac:dyDescent="0.35">
      <c r="A298" s="13">
        <v>42794</v>
      </c>
      <c r="B298" s="14">
        <v>4858.58</v>
      </c>
      <c r="C298" s="2">
        <f t="shared" si="16"/>
        <v>2.7656351260427758E-3</v>
      </c>
      <c r="D298">
        <f t="shared" si="17"/>
        <v>1</v>
      </c>
      <c r="E298">
        <v>0.499745418134526</v>
      </c>
      <c r="F298">
        <v>0.89832315189504619</v>
      </c>
      <c r="G298">
        <v>0.1069820565317811</v>
      </c>
      <c r="I298">
        <v>0.89832237754570721</v>
      </c>
      <c r="J298">
        <v>0.10639333869040675</v>
      </c>
      <c r="K298">
        <f t="shared" si="18"/>
        <v>0</v>
      </c>
      <c r="L298" t="b">
        <f t="shared" si="19"/>
        <v>0</v>
      </c>
    </row>
    <row r="299" spans="1:12" x14ac:dyDescent="0.35">
      <c r="A299" s="13">
        <v>42795</v>
      </c>
      <c r="B299" s="14">
        <v>4960.83</v>
      </c>
      <c r="C299" s="2">
        <f t="shared" si="16"/>
        <v>2.1045243672019431E-2</v>
      </c>
      <c r="D299">
        <f t="shared" si="17"/>
        <v>1</v>
      </c>
      <c r="E299">
        <v>0.50062077828666784</v>
      </c>
      <c r="F299">
        <v>0.89832237754570721</v>
      </c>
      <c r="G299">
        <v>0.10639333869040675</v>
      </c>
      <c r="I299">
        <v>0.89849501486919103</v>
      </c>
      <c r="J299">
        <v>0.1063925656970381</v>
      </c>
      <c r="K299">
        <f t="shared" si="18"/>
        <v>1</v>
      </c>
      <c r="L299" t="b">
        <f t="shared" si="19"/>
        <v>1</v>
      </c>
    </row>
    <row r="300" spans="1:12" x14ac:dyDescent="0.35">
      <c r="A300" s="13">
        <v>42796</v>
      </c>
      <c r="B300" s="14">
        <v>4963.8</v>
      </c>
      <c r="C300" s="2">
        <f t="shared" si="16"/>
        <v>5.9869013854552122E-4</v>
      </c>
      <c r="D300">
        <f t="shared" si="17"/>
        <v>1</v>
      </c>
      <c r="E300">
        <v>0.50480067485935076</v>
      </c>
      <c r="F300">
        <v>0.89849501486919103</v>
      </c>
      <c r="G300">
        <v>0.1063925656970381</v>
      </c>
      <c r="I300">
        <v>0.89979759358668321</v>
      </c>
      <c r="J300">
        <v>0.10656374249649335</v>
      </c>
      <c r="K300">
        <f t="shared" si="18"/>
        <v>1</v>
      </c>
      <c r="L300" t="b">
        <f t="shared" si="19"/>
        <v>1</v>
      </c>
    </row>
    <row r="301" spans="1:12" x14ac:dyDescent="0.35">
      <c r="A301" s="13">
        <v>42797</v>
      </c>
      <c r="B301" s="14">
        <v>4995.13</v>
      </c>
      <c r="C301" s="2">
        <f t="shared" si="16"/>
        <v>6.3116966839920075E-3</v>
      </c>
      <c r="D301">
        <f t="shared" si="17"/>
        <v>1</v>
      </c>
      <c r="E301">
        <v>0.50069533952009204</v>
      </c>
      <c r="F301">
        <v>0.89979759358668321</v>
      </c>
      <c r="G301">
        <v>0.10656374249649335</v>
      </c>
      <c r="I301">
        <v>0.89983495961146254</v>
      </c>
      <c r="J301">
        <v>0.10787723848699952</v>
      </c>
      <c r="K301">
        <f t="shared" si="18"/>
        <v>1</v>
      </c>
      <c r="L301" t="b">
        <f t="shared" si="19"/>
        <v>1</v>
      </c>
    </row>
    <row r="302" spans="1:12" x14ac:dyDescent="0.35">
      <c r="A302" s="13">
        <v>42800</v>
      </c>
      <c r="B302" s="14">
        <v>4972.1899999999996</v>
      </c>
      <c r="C302" s="2">
        <f t="shared" si="16"/>
        <v>-4.5924730687690873E-3</v>
      </c>
      <c r="D302">
        <f t="shared" si="17"/>
        <v>0</v>
      </c>
      <c r="E302">
        <v>0.50143601364403534</v>
      </c>
      <c r="F302">
        <v>0.89983495961146254</v>
      </c>
      <c r="G302">
        <v>0.10787723848699952</v>
      </c>
      <c r="I302">
        <v>0.89943934887163191</v>
      </c>
      <c r="J302">
        <v>0.10783971319697093</v>
      </c>
      <c r="K302">
        <f t="shared" si="18"/>
        <v>1</v>
      </c>
      <c r="L302" t="b">
        <f t="shared" si="19"/>
        <v>0</v>
      </c>
    </row>
    <row r="303" spans="1:12" x14ac:dyDescent="0.35">
      <c r="A303" s="13">
        <v>42801</v>
      </c>
      <c r="B303" s="14">
        <v>4955</v>
      </c>
      <c r="C303" s="2">
        <f t="shared" si="16"/>
        <v>-3.4572291083002638E-3</v>
      </c>
      <c r="D303">
        <f t="shared" si="17"/>
        <v>0</v>
      </c>
      <c r="E303">
        <v>0.49913750099886667</v>
      </c>
      <c r="F303">
        <v>0.89943934887163191</v>
      </c>
      <c r="G303">
        <v>0.10783971319697093</v>
      </c>
      <c r="I303">
        <v>0.89972588246038354</v>
      </c>
      <c r="J303">
        <v>0.1074459138050322</v>
      </c>
      <c r="K303">
        <f t="shared" si="18"/>
        <v>0</v>
      </c>
      <c r="L303" t="b">
        <f t="shared" si="19"/>
        <v>1</v>
      </c>
    </row>
    <row r="304" spans="1:12" x14ac:dyDescent="0.35">
      <c r="A304" s="13">
        <v>42802</v>
      </c>
      <c r="B304" s="14">
        <v>4960.4799999999996</v>
      </c>
      <c r="C304" s="2">
        <f t="shared" si="16"/>
        <v>1.1059535822399713E-3</v>
      </c>
      <c r="D304">
        <f t="shared" si="17"/>
        <v>1</v>
      </c>
      <c r="E304">
        <v>0.4990990007312851</v>
      </c>
      <c r="F304">
        <v>0.89972588246038354</v>
      </c>
      <c r="G304">
        <v>0.1074459138050322</v>
      </c>
      <c r="I304">
        <v>0.89950941697391118</v>
      </c>
      <c r="J304">
        <v>0.10715836794509614</v>
      </c>
      <c r="K304">
        <f t="shared" si="18"/>
        <v>0</v>
      </c>
      <c r="L304" t="b">
        <f t="shared" si="19"/>
        <v>0</v>
      </c>
    </row>
    <row r="305" spans="1:12" x14ac:dyDescent="0.35">
      <c r="A305" s="13">
        <v>42803</v>
      </c>
      <c r="B305" s="14">
        <v>4981.51</v>
      </c>
      <c r="C305" s="2">
        <f t="shared" si="16"/>
        <v>4.2395090797666679E-3</v>
      </c>
      <c r="D305">
        <f t="shared" si="17"/>
        <v>1</v>
      </c>
      <c r="E305">
        <v>0.5001560861532055</v>
      </c>
      <c r="F305">
        <v>0.89950941697391118</v>
      </c>
      <c r="G305">
        <v>0.10715836794509614</v>
      </c>
      <c r="I305">
        <v>0.89957851748806217</v>
      </c>
      <c r="J305">
        <v>0.10694235860007686</v>
      </c>
      <c r="K305">
        <f t="shared" si="18"/>
        <v>1</v>
      </c>
      <c r="L305" t="b">
        <f t="shared" si="19"/>
        <v>1</v>
      </c>
    </row>
    <row r="306" spans="1:12" x14ac:dyDescent="0.35">
      <c r="A306" s="13">
        <v>42804</v>
      </c>
      <c r="B306" s="14">
        <v>4993.32</v>
      </c>
      <c r="C306" s="2">
        <f t="shared" si="16"/>
        <v>2.3707670967236805E-3</v>
      </c>
      <c r="D306">
        <f t="shared" si="17"/>
        <v>1</v>
      </c>
      <c r="E306">
        <v>0.50098300987783628</v>
      </c>
      <c r="F306">
        <v>0.89957851748806217</v>
      </c>
      <c r="G306">
        <v>0.10694235860007686</v>
      </c>
      <c r="I306">
        <v>0.89984296484847992</v>
      </c>
      <c r="J306">
        <v>0.1070113445369071</v>
      </c>
      <c r="K306">
        <f t="shared" si="18"/>
        <v>1</v>
      </c>
      <c r="L306" t="b">
        <f t="shared" si="19"/>
        <v>1</v>
      </c>
    </row>
    <row r="307" spans="1:12" x14ac:dyDescent="0.35">
      <c r="A307" s="13">
        <v>42807</v>
      </c>
      <c r="B307" s="14">
        <v>4999.6000000000004</v>
      </c>
      <c r="C307" s="2">
        <f t="shared" si="16"/>
        <v>1.2576802608286197E-3</v>
      </c>
      <c r="D307">
        <f t="shared" si="17"/>
        <v>1</v>
      </c>
      <c r="E307">
        <v>0.50064674805432219</v>
      </c>
      <c r="F307">
        <v>0.89984296484847992</v>
      </c>
      <c r="G307">
        <v>0.1070113445369071</v>
      </c>
      <c r="I307">
        <v>0.89999094588330697</v>
      </c>
      <c r="J307">
        <v>0.10727597067485618</v>
      </c>
      <c r="K307">
        <f t="shared" si="18"/>
        <v>1</v>
      </c>
      <c r="L307" t="b">
        <f t="shared" si="19"/>
        <v>1</v>
      </c>
    </row>
    <row r="308" spans="1:12" x14ac:dyDescent="0.35">
      <c r="A308" s="13">
        <v>42808</v>
      </c>
      <c r="B308" s="14">
        <v>4974.26</v>
      </c>
      <c r="C308" s="2">
        <f t="shared" si="16"/>
        <v>-5.0684054724378091E-3</v>
      </c>
      <c r="D308">
        <f t="shared" si="17"/>
        <v>0</v>
      </c>
      <c r="E308">
        <v>0.50034655674178075</v>
      </c>
      <c r="F308">
        <v>0.89999094588330697</v>
      </c>
      <c r="G308">
        <v>0.10727597067485618</v>
      </c>
      <c r="I308">
        <v>0.89991228642259702</v>
      </c>
      <c r="J308">
        <v>0.10712769510187843</v>
      </c>
      <c r="K308">
        <f t="shared" si="18"/>
        <v>1</v>
      </c>
      <c r="L308" t="b">
        <f t="shared" si="19"/>
        <v>0</v>
      </c>
    </row>
    <row r="309" spans="1:12" x14ac:dyDescent="0.35">
      <c r="A309" s="13">
        <v>42809</v>
      </c>
      <c r="B309" s="14">
        <v>4985.4799999999996</v>
      </c>
      <c r="C309" s="2">
        <f t="shared" si="16"/>
        <v>2.2556118900096678E-3</v>
      </c>
      <c r="D309">
        <f t="shared" si="17"/>
        <v>1</v>
      </c>
      <c r="E309">
        <v>0.49889340481435929</v>
      </c>
      <c r="F309">
        <v>0.89991228642259702</v>
      </c>
      <c r="G309">
        <v>0.10712769510187843</v>
      </c>
      <c r="I309">
        <v>0.89959481155149956</v>
      </c>
      <c r="J309">
        <v>0.10720647370016929</v>
      </c>
      <c r="K309">
        <f t="shared" si="18"/>
        <v>0</v>
      </c>
      <c r="L309" t="b">
        <f t="shared" si="19"/>
        <v>0</v>
      </c>
    </row>
    <row r="310" spans="1:12" x14ac:dyDescent="0.35">
      <c r="A310" s="13">
        <v>42810</v>
      </c>
      <c r="B310" s="14">
        <v>5013.38</v>
      </c>
      <c r="C310" s="2">
        <f t="shared" si="16"/>
        <v>5.5962515143979097E-3</v>
      </c>
      <c r="D310">
        <f t="shared" si="17"/>
        <v>1</v>
      </c>
      <c r="E310">
        <v>0.50037144265045552</v>
      </c>
      <c r="F310">
        <v>0.89959481155149956</v>
      </c>
      <c r="G310">
        <v>0.10720647370016929</v>
      </c>
      <c r="I310">
        <v>0.89973568248807412</v>
      </c>
      <c r="J310">
        <v>0.10688993386057886</v>
      </c>
      <c r="K310">
        <f t="shared" si="18"/>
        <v>1</v>
      </c>
      <c r="L310" t="b">
        <f t="shared" si="19"/>
        <v>1</v>
      </c>
    </row>
    <row r="311" spans="1:12" x14ac:dyDescent="0.35">
      <c r="A311" s="13">
        <v>42811</v>
      </c>
      <c r="B311" s="14">
        <v>5029.24</v>
      </c>
      <c r="C311" s="2">
        <f t="shared" si="16"/>
        <v>3.1635343819937933E-3</v>
      </c>
      <c r="D311">
        <f t="shared" si="17"/>
        <v>1</v>
      </c>
      <c r="E311">
        <v>0.50131905928526999</v>
      </c>
      <c r="F311">
        <v>0.89973568248807412</v>
      </c>
      <c r="G311">
        <v>0.10688993386057886</v>
      </c>
      <c r="I311">
        <v>0.9000845230564517</v>
      </c>
      <c r="J311">
        <v>0.10703053671442232</v>
      </c>
      <c r="K311">
        <f t="shared" si="18"/>
        <v>1</v>
      </c>
      <c r="L311" t="b">
        <f t="shared" si="19"/>
        <v>1</v>
      </c>
    </row>
    <row r="312" spans="1:12" x14ac:dyDescent="0.35">
      <c r="A312" s="13">
        <v>42814</v>
      </c>
      <c r="B312" s="14">
        <v>5012.16</v>
      </c>
      <c r="C312" s="2">
        <f t="shared" si="16"/>
        <v>-3.3961393769237347E-3</v>
      </c>
      <c r="D312">
        <f t="shared" si="17"/>
        <v>0</v>
      </c>
      <c r="E312">
        <v>0.50086160368181176</v>
      </c>
      <c r="F312">
        <v>0.9000845230564517</v>
      </c>
      <c r="G312">
        <v>0.10703053671442232</v>
      </c>
      <c r="I312">
        <v>0.89988646203160105</v>
      </c>
      <c r="J312">
        <v>0.10668016931630814</v>
      </c>
      <c r="K312">
        <f t="shared" si="18"/>
        <v>1</v>
      </c>
      <c r="L312" t="b">
        <f t="shared" si="19"/>
        <v>0</v>
      </c>
    </row>
    <row r="313" spans="1:12" x14ac:dyDescent="0.35">
      <c r="A313" s="13">
        <v>42815</v>
      </c>
      <c r="B313" s="14">
        <v>5002.43</v>
      </c>
      <c r="C313" s="2">
        <f t="shared" si="16"/>
        <v>-1.9412788099341105E-3</v>
      </c>
      <c r="D313">
        <f t="shared" si="17"/>
        <v>0</v>
      </c>
      <c r="E313">
        <v>0.49932033705238077</v>
      </c>
      <c r="F313">
        <v>0.89988646203160105</v>
      </c>
      <c r="G313">
        <v>0.10668016931630814</v>
      </c>
      <c r="I313">
        <v>0.90009843182222482</v>
      </c>
      <c r="J313">
        <v>0.10648271754941691</v>
      </c>
      <c r="K313">
        <f t="shared" si="18"/>
        <v>0</v>
      </c>
      <c r="L313" t="b">
        <f t="shared" si="19"/>
        <v>1</v>
      </c>
    </row>
    <row r="314" spans="1:12" x14ac:dyDescent="0.35">
      <c r="A314" s="13">
        <v>42816</v>
      </c>
      <c r="B314" s="14">
        <v>4994.7</v>
      </c>
      <c r="C314" s="2">
        <f t="shared" si="16"/>
        <v>-1.5452490089816751E-3</v>
      </c>
      <c r="D314">
        <f t="shared" si="17"/>
        <v>0</v>
      </c>
      <c r="E314">
        <v>0.49947275715477524</v>
      </c>
      <c r="F314">
        <v>0.90009843182222482</v>
      </c>
      <c r="G314">
        <v>0.10648271754941691</v>
      </c>
      <c r="I314">
        <v>0.90021963367240598</v>
      </c>
      <c r="J314">
        <v>0.10669475220093107</v>
      </c>
      <c r="K314">
        <f t="shared" si="18"/>
        <v>0</v>
      </c>
      <c r="L314" t="b">
        <f t="shared" si="19"/>
        <v>1</v>
      </c>
    </row>
    <row r="315" spans="1:12" x14ac:dyDescent="0.35">
      <c r="A315" s="13">
        <v>42817</v>
      </c>
      <c r="B315" s="14">
        <v>5032.76</v>
      </c>
      <c r="C315" s="2">
        <f t="shared" si="16"/>
        <v>7.6200772819188245E-3</v>
      </c>
      <c r="D315">
        <f t="shared" si="17"/>
        <v>1</v>
      </c>
      <c r="E315">
        <v>0.49960045314544943</v>
      </c>
      <c r="F315">
        <v>0.90021963367240598</v>
      </c>
      <c r="G315">
        <v>0.10669475220093107</v>
      </c>
      <c r="I315">
        <v>0.90012297849614131</v>
      </c>
      <c r="J315">
        <v>0.10657332539886712</v>
      </c>
      <c r="K315">
        <f t="shared" si="18"/>
        <v>0</v>
      </c>
      <c r="L315" t="b">
        <f t="shared" si="19"/>
        <v>0</v>
      </c>
    </row>
    <row r="316" spans="1:12" x14ac:dyDescent="0.35">
      <c r="A316" s="13">
        <v>42818</v>
      </c>
      <c r="B316" s="14">
        <v>5020.8999999999996</v>
      </c>
      <c r="C316" s="2">
        <f t="shared" si="16"/>
        <v>-2.356559820059112E-3</v>
      </c>
      <c r="D316">
        <f t="shared" si="17"/>
        <v>0</v>
      </c>
      <c r="E316">
        <v>0.50167357483352126</v>
      </c>
      <c r="F316">
        <v>0.90012297849614131</v>
      </c>
      <c r="G316">
        <v>0.10657332539886712</v>
      </c>
      <c r="I316">
        <v>0.89964513492336318</v>
      </c>
      <c r="J316">
        <v>0.10667022563753474</v>
      </c>
      <c r="K316">
        <f t="shared" si="18"/>
        <v>1</v>
      </c>
      <c r="L316" t="b">
        <f t="shared" si="19"/>
        <v>0</v>
      </c>
    </row>
    <row r="317" spans="1:12" x14ac:dyDescent="0.35">
      <c r="A317" s="13">
        <v>42821</v>
      </c>
      <c r="B317" s="14">
        <v>5017.43</v>
      </c>
      <c r="C317" s="2">
        <f t="shared" si="16"/>
        <v>-6.9111115537046075E-4</v>
      </c>
      <c r="D317">
        <f t="shared" si="17"/>
        <v>0</v>
      </c>
      <c r="E317">
        <v>0.49967319199298044</v>
      </c>
      <c r="F317">
        <v>0.89964513492336318</v>
      </c>
      <c r="G317">
        <v>0.10667022563753474</v>
      </c>
      <c r="I317">
        <v>0.89979232358140848</v>
      </c>
      <c r="J317">
        <v>0.10619428229852824</v>
      </c>
      <c r="K317">
        <f t="shared" si="18"/>
        <v>0</v>
      </c>
      <c r="L317" t="b">
        <f t="shared" si="19"/>
        <v>1</v>
      </c>
    </row>
    <row r="318" spans="1:12" x14ac:dyDescent="0.35">
      <c r="A318" s="13">
        <v>42822</v>
      </c>
      <c r="B318" s="14">
        <v>5046.2</v>
      </c>
      <c r="C318" s="2">
        <f t="shared" si="16"/>
        <v>5.7340112368282625E-3</v>
      </c>
      <c r="D318">
        <f t="shared" si="17"/>
        <v>1</v>
      </c>
      <c r="E318">
        <v>0.49978197259103674</v>
      </c>
      <c r="F318">
        <v>0.89979232358140848</v>
      </c>
      <c r="G318">
        <v>0.10619428229852824</v>
      </c>
      <c r="I318">
        <v>0.89974911030726779</v>
      </c>
      <c r="J318">
        <v>0.10604693311346314</v>
      </c>
      <c r="K318">
        <f t="shared" si="18"/>
        <v>0</v>
      </c>
      <c r="L318" t="b">
        <f t="shared" si="19"/>
        <v>0</v>
      </c>
    </row>
    <row r="319" spans="1:12" x14ac:dyDescent="0.35">
      <c r="A319" s="13">
        <v>42823</v>
      </c>
      <c r="B319" s="14">
        <v>5069.04</v>
      </c>
      <c r="C319" s="2">
        <f t="shared" si="16"/>
        <v>4.5261781142245106E-3</v>
      </c>
      <c r="D319">
        <f t="shared" si="17"/>
        <v>1</v>
      </c>
      <c r="E319">
        <v>0.50127146758192298</v>
      </c>
      <c r="F319">
        <v>0.89974911030726779</v>
      </c>
      <c r="G319">
        <v>0.10604693311346314</v>
      </c>
      <c r="I319">
        <v>0.90010657237184399</v>
      </c>
      <c r="J319">
        <v>0.10600384878553862</v>
      </c>
      <c r="K319">
        <f t="shared" si="18"/>
        <v>1</v>
      </c>
      <c r="L319" t="b">
        <f t="shared" si="19"/>
        <v>1</v>
      </c>
    </row>
    <row r="320" spans="1:12" x14ac:dyDescent="0.35">
      <c r="A320" s="13">
        <v>42824</v>
      </c>
      <c r="B320" s="14">
        <v>5089.6400000000003</v>
      </c>
      <c r="C320" s="2">
        <f t="shared" si="16"/>
        <v>4.063885863990091E-3</v>
      </c>
      <c r="D320">
        <f t="shared" si="17"/>
        <v>1</v>
      </c>
      <c r="E320">
        <v>0.50117046534406551</v>
      </c>
      <c r="F320">
        <v>0.90010657237184399</v>
      </c>
      <c r="G320">
        <v>0.10600384878553862</v>
      </c>
      <c r="I320">
        <v>0.90038879474058031</v>
      </c>
      <c r="J320">
        <v>0.10636138359587505</v>
      </c>
      <c r="K320">
        <f t="shared" si="18"/>
        <v>1</v>
      </c>
      <c r="L320" t="b">
        <f t="shared" si="19"/>
        <v>1</v>
      </c>
    </row>
    <row r="321" spans="1:12" x14ac:dyDescent="0.35">
      <c r="A321" s="13">
        <v>42825</v>
      </c>
      <c r="B321" s="14">
        <v>5122.51</v>
      </c>
      <c r="C321" s="2">
        <f t="shared" si="16"/>
        <v>6.4582170841158693E-3</v>
      </c>
      <c r="D321">
        <f t="shared" si="17"/>
        <v>1</v>
      </c>
      <c r="E321">
        <v>0.50103512048660725</v>
      </c>
      <c r="F321">
        <v>0.90038879474058031</v>
      </c>
      <c r="G321">
        <v>0.10636138359587505</v>
      </c>
      <c r="I321">
        <v>0.90064226069430675</v>
      </c>
      <c r="J321">
        <v>0.10664368287564155</v>
      </c>
      <c r="K321">
        <f t="shared" si="18"/>
        <v>1</v>
      </c>
      <c r="L321" t="b">
        <f t="shared" si="19"/>
        <v>1</v>
      </c>
    </row>
    <row r="322" spans="1:12" x14ac:dyDescent="0.35">
      <c r="A322" s="13">
        <v>42828</v>
      </c>
      <c r="B322" s="14">
        <v>5085.91</v>
      </c>
      <c r="C322" s="2">
        <f t="shared" si="16"/>
        <v>-7.1449348073503449E-3</v>
      </c>
      <c r="D322">
        <f t="shared" si="17"/>
        <v>0</v>
      </c>
      <c r="E322">
        <v>0.50156247766142903</v>
      </c>
      <c r="F322">
        <v>0.90064226069430675</v>
      </c>
      <c r="G322">
        <v>0.10664368287564155</v>
      </c>
      <c r="I322">
        <v>0.90023736472804639</v>
      </c>
      <c r="J322">
        <v>0.10638889878086111</v>
      </c>
      <c r="K322">
        <f t="shared" si="18"/>
        <v>1</v>
      </c>
      <c r="L322" t="b">
        <f t="shared" si="19"/>
        <v>0</v>
      </c>
    </row>
    <row r="323" spans="1:12" x14ac:dyDescent="0.35">
      <c r="A323" s="13">
        <v>42829</v>
      </c>
      <c r="B323" s="14">
        <v>5101.13</v>
      </c>
      <c r="C323" s="2">
        <f t="shared" si="16"/>
        <v>2.9925814652638216E-3</v>
      </c>
      <c r="D323">
        <f t="shared" si="17"/>
        <v>1</v>
      </c>
      <c r="E323">
        <v>0.49856374028077471</v>
      </c>
      <c r="F323">
        <v>0.90023736472804639</v>
      </c>
      <c r="G323">
        <v>0.10638889878086111</v>
      </c>
      <c r="I323">
        <v>0.89978952725013173</v>
      </c>
      <c r="J323">
        <v>0.10679369346811288</v>
      </c>
      <c r="K323">
        <f t="shared" si="18"/>
        <v>0</v>
      </c>
      <c r="L323" t="b">
        <f t="shared" si="19"/>
        <v>0</v>
      </c>
    </row>
    <row r="324" spans="1:12" x14ac:dyDescent="0.35">
      <c r="A324" s="13">
        <v>42830</v>
      </c>
      <c r="B324" s="14">
        <v>5091.8500000000004</v>
      </c>
      <c r="C324" s="2">
        <f t="shared" ref="C324:C387" si="20">(B324/B323)-1</f>
        <v>-1.8192047644345344E-3</v>
      </c>
      <c r="D324">
        <f t="shared" si="17"/>
        <v>0</v>
      </c>
      <c r="E324">
        <v>0.50048241472136268</v>
      </c>
      <c r="F324">
        <v>0.89978952725013173</v>
      </c>
      <c r="G324">
        <v>0.10679369346811288</v>
      </c>
      <c r="I324">
        <v>0.89960231062466289</v>
      </c>
      <c r="J324">
        <v>0.10724068233018859</v>
      </c>
      <c r="K324">
        <f t="shared" si="18"/>
        <v>1</v>
      </c>
      <c r="L324" t="b">
        <f t="shared" si="19"/>
        <v>0</v>
      </c>
    </row>
    <row r="325" spans="1:12" x14ac:dyDescent="0.35">
      <c r="A325" s="13">
        <v>42831</v>
      </c>
      <c r="B325" s="14">
        <v>5121.4399999999996</v>
      </c>
      <c r="C325" s="2">
        <f t="shared" si="20"/>
        <v>5.8112473855276292E-3</v>
      </c>
      <c r="D325">
        <f t="shared" si="17"/>
        <v>1</v>
      </c>
      <c r="E325">
        <v>0.49967109146461186</v>
      </c>
      <c r="F325">
        <v>0.89960231062466289</v>
      </c>
      <c r="G325">
        <v>0.10724068233018859</v>
      </c>
      <c r="I325">
        <v>0.89948853558212205</v>
      </c>
      <c r="J325">
        <v>0.1074278416264777</v>
      </c>
      <c r="K325">
        <f t="shared" si="18"/>
        <v>0</v>
      </c>
      <c r="L325" t="b">
        <f t="shared" si="19"/>
        <v>0</v>
      </c>
    </row>
    <row r="326" spans="1:12" x14ac:dyDescent="0.35">
      <c r="A326" s="13">
        <v>42832</v>
      </c>
      <c r="B326" s="14">
        <v>5135.28</v>
      </c>
      <c r="C326" s="2">
        <f t="shared" si="20"/>
        <v>2.7023649598549859E-3</v>
      </c>
      <c r="D326">
        <f t="shared" ref="D326:D389" si="21">IF(C326&gt;=0,1,0)</f>
        <v>1</v>
      </c>
      <c r="E326">
        <v>0.50125792663581548</v>
      </c>
      <c r="F326">
        <v>0.89948853558212205</v>
      </c>
      <c r="G326">
        <v>0.1074278416264777</v>
      </c>
      <c r="I326">
        <v>0.89985082248524251</v>
      </c>
      <c r="J326">
        <v>0.10731442809982415</v>
      </c>
      <c r="K326">
        <f t="shared" ref="K326:K389" si="22">IF(E326&gt;=0.5,1,0)</f>
        <v>1</v>
      </c>
      <c r="L326" t="b">
        <f t="shared" ref="L326:L389" si="23">IF(K326=D326,TRUE,FALSE)</f>
        <v>1</v>
      </c>
    </row>
    <row r="327" spans="1:12" x14ac:dyDescent="0.35">
      <c r="A327" s="13">
        <v>42835</v>
      </c>
      <c r="B327" s="14">
        <v>5107.45</v>
      </c>
      <c r="C327" s="2">
        <f t="shared" si="20"/>
        <v>-5.4193734324126108E-3</v>
      </c>
      <c r="D327">
        <f t="shared" si="21"/>
        <v>0</v>
      </c>
      <c r="E327">
        <v>0.50076383841116101</v>
      </c>
      <c r="F327">
        <v>0.89985082248524251</v>
      </c>
      <c r="G327">
        <v>0.10731442809982415</v>
      </c>
      <c r="I327">
        <v>0.89968166704875718</v>
      </c>
      <c r="J327">
        <v>0.10695067113041916</v>
      </c>
      <c r="K327">
        <f t="shared" si="22"/>
        <v>1</v>
      </c>
      <c r="L327" t="b">
        <f t="shared" si="23"/>
        <v>0</v>
      </c>
    </row>
    <row r="328" spans="1:12" x14ac:dyDescent="0.35">
      <c r="A328" s="13">
        <v>42836</v>
      </c>
      <c r="B328" s="14">
        <v>5101.8599999999997</v>
      </c>
      <c r="C328" s="2">
        <f t="shared" si="20"/>
        <v>-1.0944796326934902E-3</v>
      </c>
      <c r="D328">
        <f t="shared" si="21"/>
        <v>0</v>
      </c>
      <c r="E328">
        <v>0.49885332921579484</v>
      </c>
      <c r="F328">
        <v>0.89968166704875718</v>
      </c>
      <c r="G328">
        <v>0.10695067113041916</v>
      </c>
      <c r="I328">
        <v>0.90001959933129938</v>
      </c>
      <c r="J328">
        <v>0.10678216154706327</v>
      </c>
      <c r="K328">
        <f t="shared" si="22"/>
        <v>0</v>
      </c>
      <c r="L328" t="b">
        <f t="shared" si="23"/>
        <v>1</v>
      </c>
    </row>
    <row r="329" spans="1:12" x14ac:dyDescent="0.35">
      <c r="A329" s="13">
        <v>42837</v>
      </c>
      <c r="B329" s="14">
        <v>5101.1099999999997</v>
      </c>
      <c r="C329" s="2">
        <f t="shared" si="20"/>
        <v>-1.4700520986465904E-4</v>
      </c>
      <c r="D329">
        <f t="shared" si="21"/>
        <v>0</v>
      </c>
      <c r="E329">
        <v>0.49960906369720387</v>
      </c>
      <c r="F329">
        <v>0.90001959933129938</v>
      </c>
      <c r="G329">
        <v>0.10678216154706327</v>
      </c>
      <c r="I329">
        <v>0.90008795078258008</v>
      </c>
      <c r="J329">
        <v>0.10712060735096199</v>
      </c>
      <c r="K329">
        <f t="shared" si="22"/>
        <v>0</v>
      </c>
      <c r="L329" t="b">
        <f t="shared" si="23"/>
        <v>1</v>
      </c>
    </row>
    <row r="330" spans="1:12" x14ac:dyDescent="0.35">
      <c r="A330" s="13">
        <v>42838</v>
      </c>
      <c r="B330" s="14">
        <v>5071.1000000000004</v>
      </c>
      <c r="C330" s="2">
        <f t="shared" si="20"/>
        <v>-5.8830333005952529E-3</v>
      </c>
      <c r="D330">
        <f t="shared" si="21"/>
        <v>0</v>
      </c>
      <c r="E330">
        <v>0.49993761026505157</v>
      </c>
      <c r="F330">
        <v>0.90008795078258008</v>
      </c>
      <c r="G330">
        <v>0.10712060735096199</v>
      </c>
      <c r="I330">
        <v>0.90009713746160158</v>
      </c>
      <c r="J330">
        <v>0.10718900379140363</v>
      </c>
      <c r="K330">
        <f t="shared" si="22"/>
        <v>0</v>
      </c>
      <c r="L330" t="b">
        <f t="shared" si="23"/>
        <v>1</v>
      </c>
    </row>
    <row r="331" spans="1:12" x14ac:dyDescent="0.35">
      <c r="A331" s="13">
        <v>42843</v>
      </c>
      <c r="B331" s="14">
        <v>4990.25</v>
      </c>
      <c r="C331" s="2">
        <f t="shared" si="20"/>
        <v>-1.594328646644716E-2</v>
      </c>
      <c r="D331">
        <f t="shared" si="21"/>
        <v>0</v>
      </c>
      <c r="E331">
        <v>0.49867223842718733</v>
      </c>
      <c r="F331">
        <v>0.90009713746160158</v>
      </c>
      <c r="G331">
        <v>0.10718900379140363</v>
      </c>
      <c r="I331">
        <v>0.90046384804870616</v>
      </c>
      <c r="J331">
        <v>0.1071981671539179</v>
      </c>
      <c r="K331">
        <f t="shared" si="22"/>
        <v>0</v>
      </c>
      <c r="L331" t="b">
        <f t="shared" si="23"/>
        <v>1</v>
      </c>
    </row>
    <row r="332" spans="1:12" x14ac:dyDescent="0.35">
      <c r="A332" s="13">
        <v>42844</v>
      </c>
      <c r="B332" s="14">
        <v>5003.7299999999996</v>
      </c>
      <c r="C332" s="2">
        <f t="shared" si="20"/>
        <v>2.7012674715694018E-3</v>
      </c>
      <c r="D332">
        <f t="shared" si="21"/>
        <v>1</v>
      </c>
      <c r="E332">
        <v>0.49625331926100719</v>
      </c>
      <c r="F332">
        <v>0.90046384804870616</v>
      </c>
      <c r="G332">
        <v>0.1071981671539179</v>
      </c>
      <c r="I332">
        <v>0.89945998221471302</v>
      </c>
      <c r="J332">
        <v>0.10682774314233535</v>
      </c>
      <c r="K332">
        <f t="shared" si="22"/>
        <v>0</v>
      </c>
      <c r="L332" t="b">
        <f t="shared" si="23"/>
        <v>0</v>
      </c>
    </row>
    <row r="333" spans="1:12" x14ac:dyDescent="0.35">
      <c r="A333" s="13">
        <v>42845</v>
      </c>
      <c r="B333" s="14">
        <v>5077.91</v>
      </c>
      <c r="C333" s="2">
        <f t="shared" si="20"/>
        <v>1.4824940594316605E-2</v>
      </c>
      <c r="D333">
        <f t="shared" si="21"/>
        <v>1</v>
      </c>
      <c r="E333">
        <v>0.50018162416212475</v>
      </c>
      <c r="F333">
        <v>0.89945998221471302</v>
      </c>
      <c r="G333">
        <v>0.10682774314233535</v>
      </c>
      <c r="I333">
        <v>0.89962875008248711</v>
      </c>
      <c r="J333">
        <v>0.10583164983037203</v>
      </c>
      <c r="K333">
        <f t="shared" si="22"/>
        <v>1</v>
      </c>
      <c r="L333" t="b">
        <f t="shared" si="23"/>
        <v>1</v>
      </c>
    </row>
    <row r="334" spans="1:12" x14ac:dyDescent="0.35">
      <c r="A334" s="13">
        <v>42846</v>
      </c>
      <c r="B334" s="14">
        <v>5059.2</v>
      </c>
      <c r="C334" s="2">
        <f t="shared" si="20"/>
        <v>-3.6845867689659917E-3</v>
      </c>
      <c r="D334">
        <f t="shared" si="21"/>
        <v>0</v>
      </c>
      <c r="E334">
        <v>0.50340565292388995</v>
      </c>
      <c r="F334">
        <v>0.89962875008248711</v>
      </c>
      <c r="G334">
        <v>0.10583164983037203</v>
      </c>
      <c r="I334">
        <v>0.89869592349951644</v>
      </c>
      <c r="J334">
        <v>0.10566167855196031</v>
      </c>
      <c r="K334">
        <f t="shared" si="22"/>
        <v>1</v>
      </c>
      <c r="L334" t="b">
        <f t="shared" si="23"/>
        <v>0</v>
      </c>
    </row>
    <row r="335" spans="1:12" x14ac:dyDescent="0.35">
      <c r="A335" s="13">
        <v>42849</v>
      </c>
      <c r="B335" s="14">
        <v>5268.85</v>
      </c>
      <c r="C335" s="2">
        <f t="shared" si="20"/>
        <v>4.1439358001265081E-2</v>
      </c>
      <c r="D335">
        <f t="shared" si="21"/>
        <v>1</v>
      </c>
      <c r="E335">
        <v>0.49956377636032401</v>
      </c>
      <c r="F335">
        <v>0.89869592349951644</v>
      </c>
      <c r="G335">
        <v>0.10566167855196031</v>
      </c>
      <c r="I335">
        <v>0.8984654360889136</v>
      </c>
      <c r="J335">
        <v>0.10658904500691936</v>
      </c>
      <c r="K335">
        <f t="shared" si="22"/>
        <v>0</v>
      </c>
      <c r="L335" t="b">
        <f t="shared" si="23"/>
        <v>0</v>
      </c>
    </row>
    <row r="336" spans="1:12" x14ac:dyDescent="0.35">
      <c r="A336" s="13">
        <v>42850</v>
      </c>
      <c r="B336" s="14">
        <v>5277.88</v>
      </c>
      <c r="C336" s="2">
        <f t="shared" si="20"/>
        <v>1.7138464750372506E-3</v>
      </c>
      <c r="D336">
        <f t="shared" si="21"/>
        <v>1</v>
      </c>
      <c r="E336">
        <v>0.50920873214643614</v>
      </c>
      <c r="F336">
        <v>0.8984654360889136</v>
      </c>
      <c r="G336">
        <v>0.10658904500691936</v>
      </c>
      <c r="I336">
        <v>0.90100683312848739</v>
      </c>
      <c r="J336">
        <v>0.106363076305705</v>
      </c>
      <c r="K336">
        <f t="shared" si="22"/>
        <v>1</v>
      </c>
      <c r="L336" t="b">
        <f t="shared" si="23"/>
        <v>1</v>
      </c>
    </row>
    <row r="337" spans="1:12" x14ac:dyDescent="0.35">
      <c r="A337" s="13">
        <v>42851</v>
      </c>
      <c r="B337" s="14">
        <v>5287.88</v>
      </c>
      <c r="C337" s="2">
        <f t="shared" si="20"/>
        <v>1.8947001447551237E-3</v>
      </c>
      <c r="D337">
        <f t="shared" si="21"/>
        <v>1</v>
      </c>
      <c r="E337">
        <v>0.50148794685310805</v>
      </c>
      <c r="F337">
        <v>0.90100683312848739</v>
      </c>
      <c r="G337">
        <v>0.106363076305705</v>
      </c>
      <c r="I337">
        <v>0.90111362882333357</v>
      </c>
      <c r="J337">
        <v>0.10894530586721124</v>
      </c>
      <c r="K337">
        <f t="shared" si="22"/>
        <v>1</v>
      </c>
      <c r="L337" t="b">
        <f t="shared" si="23"/>
        <v>1</v>
      </c>
    </row>
    <row r="338" spans="1:12" x14ac:dyDescent="0.35">
      <c r="A338" s="13">
        <v>42852</v>
      </c>
      <c r="B338" s="14">
        <v>5271.7</v>
      </c>
      <c r="C338" s="2">
        <f t="shared" si="20"/>
        <v>-3.0598273788361441E-3</v>
      </c>
      <c r="D338">
        <f t="shared" si="21"/>
        <v>0</v>
      </c>
      <c r="E338">
        <v>0.50047351377129246</v>
      </c>
      <c r="F338">
        <v>0.90111362882333357</v>
      </c>
      <c r="G338">
        <v>0.10894530586721124</v>
      </c>
      <c r="I338">
        <v>0.90099509802476574</v>
      </c>
      <c r="J338">
        <v>0.10883808911744156</v>
      </c>
      <c r="K338">
        <f t="shared" si="22"/>
        <v>1</v>
      </c>
      <c r="L338" t="b">
        <f t="shared" si="23"/>
        <v>0</v>
      </c>
    </row>
    <row r="339" spans="1:12" x14ac:dyDescent="0.35">
      <c r="A339" s="13">
        <v>42853</v>
      </c>
      <c r="B339" s="14">
        <v>5267.33</v>
      </c>
      <c r="C339" s="2">
        <f t="shared" si="20"/>
        <v>-8.2895460667331555E-4</v>
      </c>
      <c r="D339">
        <f t="shared" si="21"/>
        <v>0</v>
      </c>
      <c r="E339">
        <v>0.49936233186423712</v>
      </c>
      <c r="F339">
        <v>0.90099509802476574</v>
      </c>
      <c r="G339">
        <v>0.10883808911744156</v>
      </c>
      <c r="I339">
        <v>0.90118609303098984</v>
      </c>
      <c r="J339">
        <v>0.10871982157449342</v>
      </c>
      <c r="K339">
        <f t="shared" si="22"/>
        <v>0</v>
      </c>
      <c r="L339" t="b">
        <f t="shared" si="23"/>
        <v>1</v>
      </c>
    </row>
    <row r="340" spans="1:12" x14ac:dyDescent="0.35">
      <c r="A340" s="13">
        <v>42857</v>
      </c>
      <c r="B340" s="14">
        <v>5304.15</v>
      </c>
      <c r="C340" s="2">
        <f t="shared" si="20"/>
        <v>6.9902588218317963E-3</v>
      </c>
      <c r="D340">
        <f t="shared" si="21"/>
        <v>1</v>
      </c>
      <c r="E340">
        <v>0.49973007346373161</v>
      </c>
      <c r="F340">
        <v>0.90118609303098984</v>
      </c>
      <c r="G340">
        <v>0.10871982157449342</v>
      </c>
      <c r="I340">
        <v>0.90113425541357473</v>
      </c>
      <c r="J340">
        <v>0.10852847917800552</v>
      </c>
      <c r="K340">
        <f t="shared" si="22"/>
        <v>0</v>
      </c>
      <c r="L340" t="b">
        <f t="shared" si="23"/>
        <v>0</v>
      </c>
    </row>
    <row r="341" spans="1:12" x14ac:dyDescent="0.35">
      <c r="A341" s="13">
        <v>42858</v>
      </c>
      <c r="B341" s="14">
        <v>5301</v>
      </c>
      <c r="C341" s="2">
        <f t="shared" si="20"/>
        <v>-5.938746076185053E-4</v>
      </c>
      <c r="D341">
        <f t="shared" si="21"/>
        <v>0</v>
      </c>
      <c r="E341">
        <v>0.50155229413667257</v>
      </c>
      <c r="F341">
        <v>0.90113425541357473</v>
      </c>
      <c r="G341">
        <v>0.10852847917800552</v>
      </c>
      <c r="I341">
        <v>0.90069601209402239</v>
      </c>
      <c r="J341">
        <v>0.10858044918767842</v>
      </c>
      <c r="K341">
        <f t="shared" si="22"/>
        <v>1</v>
      </c>
      <c r="L341" t="b">
        <f t="shared" si="23"/>
        <v>0</v>
      </c>
    </row>
    <row r="342" spans="1:12" x14ac:dyDescent="0.35">
      <c r="A342" s="13">
        <v>42859</v>
      </c>
      <c r="B342" s="14">
        <v>5372.42</v>
      </c>
      <c r="C342" s="2">
        <f t="shared" si="20"/>
        <v>1.347292963591773E-2</v>
      </c>
      <c r="D342">
        <f t="shared" si="21"/>
        <v>1</v>
      </c>
      <c r="E342">
        <v>0.50005602623777723</v>
      </c>
      <c r="F342">
        <v>0.90069601209402239</v>
      </c>
      <c r="G342">
        <v>0.10858044918767842</v>
      </c>
      <c r="I342">
        <v>0.90065889909058217</v>
      </c>
      <c r="J342">
        <v>0.10901729140382016</v>
      </c>
      <c r="K342">
        <f t="shared" si="22"/>
        <v>1</v>
      </c>
      <c r="L342" t="b">
        <f t="shared" si="23"/>
        <v>1</v>
      </c>
    </row>
    <row r="343" spans="1:12" x14ac:dyDescent="0.35">
      <c r="A343" s="13">
        <v>42860</v>
      </c>
      <c r="B343" s="14">
        <v>5432.4</v>
      </c>
      <c r="C343" s="2">
        <f t="shared" si="20"/>
        <v>1.1164428693214434E-2</v>
      </c>
      <c r="D343">
        <f t="shared" si="21"/>
        <v>1</v>
      </c>
      <c r="E343">
        <v>0.50301740621199675</v>
      </c>
      <c r="F343">
        <v>0.90065889909058217</v>
      </c>
      <c r="G343">
        <v>0.10901729140382016</v>
      </c>
      <c r="I343">
        <v>0.90149584504831759</v>
      </c>
      <c r="J343">
        <v>0.10898039957957112</v>
      </c>
      <c r="K343">
        <f t="shared" si="22"/>
        <v>1</v>
      </c>
      <c r="L343" t="b">
        <f t="shared" si="23"/>
        <v>1</v>
      </c>
    </row>
    <row r="344" spans="1:12" x14ac:dyDescent="0.35">
      <c r="A344" s="13">
        <v>42863</v>
      </c>
      <c r="B344" s="14">
        <v>5382.95</v>
      </c>
      <c r="C344" s="2">
        <f t="shared" si="20"/>
        <v>-9.1027906634267852E-3</v>
      </c>
      <c r="D344">
        <f t="shared" si="21"/>
        <v>0</v>
      </c>
      <c r="E344">
        <v>0.50288321087584364</v>
      </c>
      <c r="F344">
        <v>0.90149584504831759</v>
      </c>
      <c r="G344">
        <v>0.10898039957957112</v>
      </c>
      <c r="I344">
        <v>0.90079406791571515</v>
      </c>
      <c r="J344">
        <v>0.1081335139764238</v>
      </c>
      <c r="K344">
        <f t="shared" si="22"/>
        <v>1</v>
      </c>
      <c r="L344" t="b">
        <f t="shared" si="23"/>
        <v>0</v>
      </c>
    </row>
    <row r="345" spans="1:12" x14ac:dyDescent="0.35">
      <c r="A345" s="13">
        <v>42864</v>
      </c>
      <c r="B345" s="14">
        <v>5398.01</v>
      </c>
      <c r="C345" s="2">
        <f t="shared" si="20"/>
        <v>2.797722438439898E-3</v>
      </c>
      <c r="D345">
        <f t="shared" si="21"/>
        <v>1</v>
      </c>
      <c r="E345">
        <v>0.49825188439158735</v>
      </c>
      <c r="F345">
        <v>0.90079406791571515</v>
      </c>
      <c r="G345">
        <v>0.1081335139764238</v>
      </c>
      <c r="I345">
        <v>0.9002231613865832</v>
      </c>
      <c r="J345">
        <v>0.10883372179956903</v>
      </c>
      <c r="K345">
        <f t="shared" si="22"/>
        <v>0</v>
      </c>
      <c r="L345" t="b">
        <f t="shared" si="23"/>
        <v>0</v>
      </c>
    </row>
    <row r="346" spans="1:12" x14ac:dyDescent="0.35">
      <c r="A346" s="13">
        <v>42865</v>
      </c>
      <c r="B346" s="14">
        <v>5400.46</v>
      </c>
      <c r="C346" s="2">
        <f t="shared" si="20"/>
        <v>4.5387096355886669E-4</v>
      </c>
      <c r="D346">
        <f t="shared" si="21"/>
        <v>1</v>
      </c>
      <c r="E346">
        <v>0.50038197091358083</v>
      </c>
      <c r="F346">
        <v>0.9002231613865832</v>
      </c>
      <c r="G346">
        <v>0.10883372179956903</v>
      </c>
      <c r="I346">
        <v>0.90039788535594101</v>
      </c>
      <c r="J346">
        <v>0.10826523234003778</v>
      </c>
      <c r="K346">
        <f t="shared" si="22"/>
        <v>1</v>
      </c>
      <c r="L346" t="b">
        <f t="shared" si="23"/>
        <v>1</v>
      </c>
    </row>
    <row r="347" spans="1:12" x14ac:dyDescent="0.35">
      <c r="A347" s="13">
        <v>42866</v>
      </c>
      <c r="B347" s="14">
        <v>5383.42</v>
      </c>
      <c r="C347" s="2">
        <f t="shared" si="20"/>
        <v>-3.1552867718676048E-3</v>
      </c>
      <c r="D347">
        <f t="shared" si="21"/>
        <v>0</v>
      </c>
      <c r="E347">
        <v>0.50017789012390268</v>
      </c>
      <c r="F347">
        <v>0.90039788535594101</v>
      </c>
      <c r="G347">
        <v>0.10826523234003778</v>
      </c>
      <c r="I347">
        <v>0.90036950833191531</v>
      </c>
      <c r="J347">
        <v>0.10809031249887767</v>
      </c>
      <c r="K347">
        <f t="shared" si="22"/>
        <v>1</v>
      </c>
      <c r="L347" t="b">
        <f t="shared" si="23"/>
        <v>0</v>
      </c>
    </row>
    <row r="348" spans="1:12" x14ac:dyDescent="0.35">
      <c r="A348" s="13">
        <v>42867</v>
      </c>
      <c r="B348" s="14">
        <v>5405.42</v>
      </c>
      <c r="C348" s="2">
        <f t="shared" si="20"/>
        <v>4.0866215156907248E-3</v>
      </c>
      <c r="D348">
        <f t="shared" si="21"/>
        <v>1</v>
      </c>
      <c r="E348">
        <v>0.49930203421707153</v>
      </c>
      <c r="F348">
        <v>0.90036950833191531</v>
      </c>
      <c r="G348">
        <v>0.10809031249887767</v>
      </c>
      <c r="I348">
        <v>0.90017202800821416</v>
      </c>
      <c r="J348">
        <v>0.10811871897704672</v>
      </c>
      <c r="K348">
        <f t="shared" si="22"/>
        <v>0</v>
      </c>
      <c r="L348" t="b">
        <f t="shared" si="23"/>
        <v>0</v>
      </c>
    </row>
    <row r="349" spans="1:12" x14ac:dyDescent="0.35">
      <c r="A349" s="13">
        <v>42870</v>
      </c>
      <c r="B349" s="14">
        <v>5417.4</v>
      </c>
      <c r="C349" s="2">
        <f t="shared" si="20"/>
        <v>2.2162940160059819E-3</v>
      </c>
      <c r="D349">
        <f t="shared" si="21"/>
        <v>1</v>
      </c>
      <c r="E349">
        <v>0.50083437842891254</v>
      </c>
      <c r="F349">
        <v>0.90017202800821416</v>
      </c>
      <c r="G349">
        <v>0.10811871897704672</v>
      </c>
      <c r="I349">
        <v>0.90042701491926325</v>
      </c>
      <c r="J349">
        <v>0.1079218431899587</v>
      </c>
      <c r="K349">
        <f t="shared" si="22"/>
        <v>1</v>
      </c>
      <c r="L349" t="b">
        <f t="shared" si="23"/>
        <v>1</v>
      </c>
    </row>
    <row r="350" spans="1:12" x14ac:dyDescent="0.35">
      <c r="A350" s="13">
        <v>42871</v>
      </c>
      <c r="B350" s="14">
        <v>5406.1</v>
      </c>
      <c r="C350" s="2">
        <f t="shared" si="20"/>
        <v>-2.0858714512494991E-3</v>
      </c>
      <c r="D350">
        <f t="shared" si="21"/>
        <v>0</v>
      </c>
      <c r="E350">
        <v>0.50060916138145706</v>
      </c>
      <c r="F350">
        <v>0.90042701491926325</v>
      </c>
      <c r="G350">
        <v>0.1079218431899587</v>
      </c>
      <c r="I350">
        <v>0.90028832798902703</v>
      </c>
      <c r="J350">
        <v>0.10766611854830234</v>
      </c>
      <c r="K350">
        <f t="shared" si="22"/>
        <v>1</v>
      </c>
      <c r="L350" t="b">
        <f t="shared" si="23"/>
        <v>0</v>
      </c>
    </row>
    <row r="351" spans="1:12" x14ac:dyDescent="0.35">
      <c r="A351" s="13">
        <v>42872</v>
      </c>
      <c r="B351" s="14">
        <v>5317.89</v>
      </c>
      <c r="C351" s="2">
        <f t="shared" si="20"/>
        <v>-1.6316753297201281E-2</v>
      </c>
      <c r="D351">
        <f t="shared" si="21"/>
        <v>0</v>
      </c>
      <c r="E351">
        <v>0.49959018360502622</v>
      </c>
      <c r="F351">
        <v>0.90028832798902703</v>
      </c>
      <c r="G351">
        <v>0.10766611854830234</v>
      </c>
      <c r="I351">
        <v>0.90041858801418184</v>
      </c>
      <c r="J351">
        <v>0.10752771379948503</v>
      </c>
      <c r="K351">
        <f t="shared" si="22"/>
        <v>0</v>
      </c>
      <c r="L351" t="b">
        <f t="shared" si="23"/>
        <v>1</v>
      </c>
    </row>
    <row r="352" spans="1:12" x14ac:dyDescent="0.35">
      <c r="A352" s="13">
        <v>42873</v>
      </c>
      <c r="B352" s="14">
        <v>5289.73</v>
      </c>
      <c r="C352" s="2">
        <f t="shared" si="20"/>
        <v>-5.2953332994855051E-3</v>
      </c>
      <c r="D352">
        <f t="shared" si="21"/>
        <v>0</v>
      </c>
      <c r="E352">
        <v>0.49627101990073458</v>
      </c>
      <c r="F352">
        <v>0.90041858801418184</v>
      </c>
      <c r="G352">
        <v>0.10752771379948503</v>
      </c>
      <c r="I352">
        <v>0.90143072318994122</v>
      </c>
      <c r="J352">
        <v>0.10765710129646239</v>
      </c>
      <c r="K352">
        <f t="shared" si="22"/>
        <v>0</v>
      </c>
      <c r="L352" t="b">
        <f t="shared" si="23"/>
        <v>1</v>
      </c>
    </row>
    <row r="353" spans="1:12" x14ac:dyDescent="0.35">
      <c r="A353" s="13">
        <v>42874</v>
      </c>
      <c r="B353" s="14">
        <v>5324.4</v>
      </c>
      <c r="C353" s="2">
        <f t="shared" si="20"/>
        <v>6.5542097611788197E-3</v>
      </c>
      <c r="D353">
        <f t="shared" si="21"/>
        <v>1</v>
      </c>
      <c r="E353">
        <v>0.49836750817883069</v>
      </c>
      <c r="F353">
        <v>0.90143072318994122</v>
      </c>
      <c r="G353">
        <v>0.10765710129646239</v>
      </c>
      <c r="I353">
        <v>0.90109868782475966</v>
      </c>
      <c r="J353">
        <v>0.10663398550125065</v>
      </c>
      <c r="K353">
        <f t="shared" si="22"/>
        <v>0</v>
      </c>
      <c r="L353" t="b">
        <f t="shared" si="23"/>
        <v>0</v>
      </c>
    </row>
    <row r="354" spans="1:12" x14ac:dyDescent="0.35">
      <c r="A354" s="13">
        <v>42877</v>
      </c>
      <c r="B354" s="14">
        <v>5322.88</v>
      </c>
      <c r="C354" s="2">
        <f t="shared" si="20"/>
        <v>-2.854781759445979E-4</v>
      </c>
      <c r="D354">
        <f t="shared" si="21"/>
        <v>0</v>
      </c>
      <c r="E354">
        <v>0.5013353286555936</v>
      </c>
      <c r="F354">
        <v>0.90109868782475966</v>
      </c>
      <c r="G354">
        <v>0.10663398550125065</v>
      </c>
      <c r="I354">
        <v>0.90068795864118245</v>
      </c>
      <c r="J354">
        <v>0.10696582534192063</v>
      </c>
      <c r="K354">
        <f t="shared" si="22"/>
        <v>1</v>
      </c>
      <c r="L354" t="b">
        <f t="shared" si="23"/>
        <v>0</v>
      </c>
    </row>
    <row r="355" spans="1:12" x14ac:dyDescent="0.35">
      <c r="A355" s="13">
        <v>42879</v>
      </c>
      <c r="B355" s="14">
        <v>5341.34</v>
      </c>
      <c r="C355" s="2">
        <f t="shared" si="20"/>
        <v>3.4680473728507799E-3</v>
      </c>
      <c r="D355">
        <f t="shared" si="21"/>
        <v>1</v>
      </c>
      <c r="E355">
        <v>0.50011098742343718</v>
      </c>
      <c r="F355">
        <v>0.90068795864118245</v>
      </c>
      <c r="G355">
        <v>0.10696582534192063</v>
      </c>
      <c r="I355">
        <v>0.90067012021662574</v>
      </c>
      <c r="J355">
        <v>0.107375372502458</v>
      </c>
      <c r="K355">
        <f t="shared" si="22"/>
        <v>1</v>
      </c>
      <c r="L355" t="b">
        <f t="shared" si="23"/>
        <v>1</v>
      </c>
    </row>
    <row r="356" spans="1:12" x14ac:dyDescent="0.35">
      <c r="A356" s="13">
        <v>42880</v>
      </c>
      <c r="B356" s="14">
        <v>5337.16</v>
      </c>
      <c r="C356" s="2">
        <f t="shared" si="20"/>
        <v>-7.8257515904256447E-4</v>
      </c>
      <c r="D356">
        <f t="shared" si="21"/>
        <v>0</v>
      </c>
      <c r="E356">
        <v>0.50077322771328625</v>
      </c>
      <c r="F356">
        <v>0.90067012021662574</v>
      </c>
      <c r="G356">
        <v>0.107375372502458</v>
      </c>
      <c r="I356">
        <v>0.90045303257620168</v>
      </c>
      <c r="J356">
        <v>0.10739324243817269</v>
      </c>
      <c r="K356">
        <f t="shared" si="22"/>
        <v>1</v>
      </c>
      <c r="L356" t="b">
        <f t="shared" si="23"/>
        <v>0</v>
      </c>
    </row>
    <row r="357" spans="1:12" x14ac:dyDescent="0.35">
      <c r="A357" s="13">
        <v>42881</v>
      </c>
      <c r="B357" s="14">
        <v>5336.64</v>
      </c>
      <c r="C357" s="2">
        <f t="shared" si="20"/>
        <v>-9.7430093907502346E-5</v>
      </c>
      <c r="D357">
        <f t="shared" si="21"/>
        <v>0</v>
      </c>
      <c r="E357">
        <v>0.4999169431700442</v>
      </c>
      <c r="F357">
        <v>0.90045303257620168</v>
      </c>
      <c r="G357">
        <v>0.10739324243817269</v>
      </c>
      <c r="I357">
        <v>0.900501935397516</v>
      </c>
      <c r="J357">
        <v>0.10717652548897717</v>
      </c>
      <c r="K357">
        <f t="shared" si="22"/>
        <v>0</v>
      </c>
      <c r="L357" t="b">
        <f t="shared" si="23"/>
        <v>1</v>
      </c>
    </row>
    <row r="358" spans="1:12" x14ac:dyDescent="0.35">
      <c r="A358" s="13">
        <v>42884</v>
      </c>
      <c r="B358" s="14">
        <v>5332.47</v>
      </c>
      <c r="C358" s="2">
        <f t="shared" si="20"/>
        <v>-7.8139053786652202E-4</v>
      </c>
      <c r="D358">
        <f t="shared" si="21"/>
        <v>0</v>
      </c>
      <c r="E358">
        <v>0.49995709758145285</v>
      </c>
      <c r="F358">
        <v>0.900501935397516</v>
      </c>
      <c r="G358">
        <v>0.10717652548897717</v>
      </c>
      <c r="I358">
        <v>0.90050802425584209</v>
      </c>
      <c r="J358">
        <v>0.10722543223926138</v>
      </c>
      <c r="K358">
        <f t="shared" si="22"/>
        <v>0</v>
      </c>
      <c r="L358" t="b">
        <f t="shared" si="23"/>
        <v>1</v>
      </c>
    </row>
    <row r="359" spans="1:12" x14ac:dyDescent="0.35">
      <c r="A359" s="13">
        <v>42885</v>
      </c>
      <c r="B359" s="14">
        <v>5305.94</v>
      </c>
      <c r="C359" s="2">
        <f t="shared" si="20"/>
        <v>-4.9751803573204745E-3</v>
      </c>
      <c r="D359">
        <f t="shared" si="21"/>
        <v>0</v>
      </c>
      <c r="E359">
        <v>0.49982147614924655</v>
      </c>
      <c r="F359">
        <v>0.90050802425584209</v>
      </c>
      <c r="G359">
        <v>0.10722543223926138</v>
      </c>
      <c r="I359">
        <v>0.9005568437211291</v>
      </c>
      <c r="J359">
        <v>0.10723151944515515</v>
      </c>
      <c r="K359">
        <f t="shared" si="22"/>
        <v>0</v>
      </c>
      <c r="L359" t="b">
        <f t="shared" si="23"/>
        <v>1</v>
      </c>
    </row>
    <row r="360" spans="1:12" x14ac:dyDescent="0.35">
      <c r="A360" s="13">
        <v>42886</v>
      </c>
      <c r="B360" s="14">
        <v>5283.63</v>
      </c>
      <c r="C360" s="2">
        <f t="shared" si="20"/>
        <v>-4.2047215008084171E-3</v>
      </c>
      <c r="D360">
        <f t="shared" si="21"/>
        <v>0</v>
      </c>
      <c r="E360">
        <v>0.49885894637733358</v>
      </c>
      <c r="F360">
        <v>0.9005568437211291</v>
      </c>
      <c r="G360">
        <v>0.10723151944515515</v>
      </c>
      <c r="I360">
        <v>0.90086708125928572</v>
      </c>
      <c r="J360">
        <v>0.10728024464894598</v>
      </c>
      <c r="K360">
        <f t="shared" si="22"/>
        <v>0</v>
      </c>
      <c r="L360" t="b">
        <f t="shared" si="23"/>
        <v>1</v>
      </c>
    </row>
    <row r="361" spans="1:12" x14ac:dyDescent="0.35">
      <c r="A361" s="13">
        <v>42887</v>
      </c>
      <c r="B361" s="14">
        <v>5318.67</v>
      </c>
      <c r="C361" s="2">
        <f t="shared" si="20"/>
        <v>6.631804270927466E-3</v>
      </c>
      <c r="D361">
        <f t="shared" si="21"/>
        <v>1</v>
      </c>
      <c r="E361">
        <v>0.49891959324355734</v>
      </c>
      <c r="F361">
        <v>0.90086708125928572</v>
      </c>
      <c r="G361">
        <v>0.10728024464894598</v>
      </c>
      <c r="I361">
        <v>0.90060371954396723</v>
      </c>
      <c r="J361">
        <v>0.10696862542929715</v>
      </c>
      <c r="K361">
        <f t="shared" si="22"/>
        <v>0</v>
      </c>
      <c r="L361" t="b">
        <f t="shared" si="23"/>
        <v>0</v>
      </c>
    </row>
    <row r="362" spans="1:12" x14ac:dyDescent="0.35">
      <c r="A362" s="13">
        <v>42888</v>
      </c>
      <c r="B362" s="14">
        <v>5343.41</v>
      </c>
      <c r="C362" s="2">
        <f t="shared" si="20"/>
        <v>4.6515388245558231E-3</v>
      </c>
      <c r="D362">
        <f t="shared" si="21"/>
        <v>1</v>
      </c>
      <c r="E362">
        <v>0.50138071006908369</v>
      </c>
      <c r="F362">
        <v>0.90060371954396723</v>
      </c>
      <c r="G362">
        <v>0.10696862542929715</v>
      </c>
      <c r="I362">
        <v>0.90101705958410938</v>
      </c>
      <c r="J362">
        <v>0.10670655802155569</v>
      </c>
      <c r="K362">
        <f t="shared" si="22"/>
        <v>1</v>
      </c>
      <c r="L362" t="b">
        <f t="shared" si="23"/>
        <v>1</v>
      </c>
    </row>
    <row r="363" spans="1:12" x14ac:dyDescent="0.35">
      <c r="A363" s="13">
        <v>42891</v>
      </c>
      <c r="B363" s="14">
        <v>5307.89</v>
      </c>
      <c r="C363" s="2">
        <f t="shared" si="20"/>
        <v>-6.6474404921200714E-3</v>
      </c>
      <c r="D363">
        <f t="shared" si="21"/>
        <v>0</v>
      </c>
      <c r="E363">
        <v>0.50122469076119258</v>
      </c>
      <c r="F363">
        <v>0.90101705958410938</v>
      </c>
      <c r="G363">
        <v>0.10670655802155569</v>
      </c>
      <c r="I363">
        <v>0.90072562806894174</v>
      </c>
      <c r="J363">
        <v>0.1062910575087429</v>
      </c>
      <c r="K363">
        <f t="shared" si="22"/>
        <v>1</v>
      </c>
      <c r="L363" t="b">
        <f t="shared" si="23"/>
        <v>0</v>
      </c>
    </row>
    <row r="364" spans="1:12" x14ac:dyDescent="0.35">
      <c r="A364" s="13">
        <v>42892</v>
      </c>
      <c r="B364" s="14">
        <v>5269.22</v>
      </c>
      <c r="C364" s="2">
        <f t="shared" si="20"/>
        <v>-7.2853808198738434E-3</v>
      </c>
      <c r="D364">
        <f t="shared" si="21"/>
        <v>0</v>
      </c>
      <c r="E364">
        <v>0.49862672769520949</v>
      </c>
      <c r="F364">
        <v>0.90072562806894174</v>
      </c>
      <c r="G364">
        <v>0.1062910575087429</v>
      </c>
      <c r="I364">
        <v>0.90113994888100291</v>
      </c>
      <c r="J364">
        <v>0.10600113699792245</v>
      </c>
      <c r="K364">
        <f t="shared" si="22"/>
        <v>0</v>
      </c>
      <c r="L364" t="b">
        <f t="shared" si="23"/>
        <v>1</v>
      </c>
    </row>
    <row r="365" spans="1:12" x14ac:dyDescent="0.35">
      <c r="A365" s="13">
        <v>42893</v>
      </c>
      <c r="B365" s="14">
        <v>5265.53</v>
      </c>
      <c r="C365" s="2">
        <f t="shared" si="20"/>
        <v>-7.002934020595708E-4</v>
      </c>
      <c r="D365">
        <f t="shared" si="21"/>
        <v>0</v>
      </c>
      <c r="E365">
        <v>0.49818256201678351</v>
      </c>
      <c r="F365">
        <v>0.90113994888100291</v>
      </c>
      <c r="G365">
        <v>0.10600113699792245</v>
      </c>
      <c r="I365">
        <v>0.90159362409708421</v>
      </c>
      <c r="J365">
        <v>0.10641508639551923</v>
      </c>
      <c r="K365">
        <f t="shared" si="22"/>
        <v>0</v>
      </c>
      <c r="L365" t="b">
        <f t="shared" si="23"/>
        <v>1</v>
      </c>
    </row>
    <row r="366" spans="1:12" x14ac:dyDescent="0.35">
      <c r="A366" s="13">
        <v>42894</v>
      </c>
      <c r="B366" s="14">
        <v>5264.24</v>
      </c>
      <c r="C366" s="2">
        <f t="shared" si="20"/>
        <v>-2.4498958319485453E-4</v>
      </c>
      <c r="D366">
        <f t="shared" si="21"/>
        <v>0</v>
      </c>
      <c r="E366">
        <v>0.49964833643406936</v>
      </c>
      <c r="F366">
        <v>0.90159362409708421</v>
      </c>
      <c r="G366">
        <v>0.10641508639551923</v>
      </c>
      <c r="I366">
        <v>0.90163736162961794</v>
      </c>
      <c r="J366">
        <v>0.10687010222130421</v>
      </c>
      <c r="K366">
        <f t="shared" si="22"/>
        <v>0</v>
      </c>
      <c r="L366" t="b">
        <f t="shared" si="23"/>
        <v>1</v>
      </c>
    </row>
    <row r="367" spans="1:12" x14ac:dyDescent="0.35">
      <c r="A367" s="13">
        <v>42895</v>
      </c>
      <c r="B367" s="14">
        <v>5299.71</v>
      </c>
      <c r="C367" s="2">
        <f t="shared" si="20"/>
        <v>6.7379146847408311E-3</v>
      </c>
      <c r="D367">
        <f t="shared" si="21"/>
        <v>1</v>
      </c>
      <c r="E367">
        <v>0.49992606695331843</v>
      </c>
      <c r="F367">
        <v>0.90163736162961794</v>
      </c>
      <c r="G367">
        <v>0.10687010222130421</v>
      </c>
      <c r="I367">
        <v>0.90162204751689978</v>
      </c>
      <c r="J367">
        <v>0.10682632741277949</v>
      </c>
      <c r="K367">
        <f t="shared" si="22"/>
        <v>0</v>
      </c>
      <c r="L367" t="b">
        <f t="shared" si="23"/>
        <v>0</v>
      </c>
    </row>
    <row r="368" spans="1:12" x14ac:dyDescent="0.35">
      <c r="A368" s="13">
        <v>42898</v>
      </c>
      <c r="B368" s="14">
        <v>5240.59</v>
      </c>
      <c r="C368" s="2">
        <f t="shared" si="20"/>
        <v>-1.1155327366969114E-2</v>
      </c>
      <c r="D368">
        <f t="shared" si="21"/>
        <v>0</v>
      </c>
      <c r="E368">
        <v>0.50151221566329174</v>
      </c>
      <c r="F368">
        <v>0.90162204751689978</v>
      </c>
      <c r="G368">
        <v>0.10682632741277949</v>
      </c>
      <c r="I368">
        <v>0.90119965806529767</v>
      </c>
      <c r="J368">
        <v>0.10684168543088088</v>
      </c>
      <c r="K368">
        <f t="shared" si="22"/>
        <v>1</v>
      </c>
      <c r="L368" t="b">
        <f t="shared" si="23"/>
        <v>0</v>
      </c>
    </row>
    <row r="369" spans="1:12" x14ac:dyDescent="0.35">
      <c r="A369" s="13">
        <v>42899</v>
      </c>
      <c r="B369" s="14">
        <v>5261.74</v>
      </c>
      <c r="C369" s="2">
        <f t="shared" si="20"/>
        <v>4.0358051288118535E-3</v>
      </c>
      <c r="D369">
        <f t="shared" si="21"/>
        <v>1</v>
      </c>
      <c r="E369">
        <v>0.4976666951759941</v>
      </c>
      <c r="F369">
        <v>0.90119965806529767</v>
      </c>
      <c r="G369">
        <v>0.10684168543088088</v>
      </c>
      <c r="I369">
        <v>0.90049921176159065</v>
      </c>
      <c r="J369">
        <v>0.10726476108615879</v>
      </c>
      <c r="K369">
        <f t="shared" si="22"/>
        <v>0</v>
      </c>
      <c r="L369" t="b">
        <f t="shared" si="23"/>
        <v>0</v>
      </c>
    </row>
    <row r="370" spans="1:12" x14ac:dyDescent="0.35">
      <c r="A370" s="13">
        <v>42900</v>
      </c>
      <c r="B370" s="14">
        <v>5243.29</v>
      </c>
      <c r="C370" s="2">
        <f t="shared" si="20"/>
        <v>-3.506444636184991E-3</v>
      </c>
      <c r="D370">
        <f t="shared" si="21"/>
        <v>0</v>
      </c>
      <c r="E370">
        <v>0.50060941615134225</v>
      </c>
      <c r="F370">
        <v>0.90049921176159065</v>
      </c>
      <c r="G370">
        <v>0.10726476108615879</v>
      </c>
      <c r="I370">
        <v>0.9002466668806054</v>
      </c>
      <c r="J370">
        <v>0.10796281778917703</v>
      </c>
      <c r="K370">
        <f t="shared" si="22"/>
        <v>1</v>
      </c>
      <c r="L370" t="b">
        <f t="shared" si="23"/>
        <v>0</v>
      </c>
    </row>
    <row r="371" spans="1:12" x14ac:dyDescent="0.35">
      <c r="A371" s="13">
        <v>42901</v>
      </c>
      <c r="B371" s="14">
        <v>5216.88</v>
      </c>
      <c r="C371" s="2">
        <f t="shared" si="20"/>
        <v>-5.0369138460775176E-3</v>
      </c>
      <c r="D371">
        <f t="shared" si="21"/>
        <v>0</v>
      </c>
      <c r="E371">
        <v>0.49931976336903788</v>
      </c>
      <c r="F371">
        <v>0.9002466668806054</v>
      </c>
      <c r="G371">
        <v>0.10796281778917703</v>
      </c>
      <c r="I371">
        <v>0.90046552111378086</v>
      </c>
      <c r="J371">
        <v>0.10771092359766547</v>
      </c>
      <c r="K371">
        <f t="shared" si="22"/>
        <v>0</v>
      </c>
      <c r="L371" t="b">
        <f t="shared" si="23"/>
        <v>1</v>
      </c>
    </row>
    <row r="372" spans="1:12" x14ac:dyDescent="0.35">
      <c r="A372" s="13">
        <v>42902</v>
      </c>
      <c r="B372" s="14">
        <v>5263.31</v>
      </c>
      <c r="C372" s="2">
        <f t="shared" si="20"/>
        <v>8.8999555289752674E-3</v>
      </c>
      <c r="D372">
        <f t="shared" si="21"/>
        <v>1</v>
      </c>
      <c r="E372">
        <v>0.49877169006057115</v>
      </c>
      <c r="F372">
        <v>0.90046552111378086</v>
      </c>
      <c r="G372">
        <v>0.10771092359766547</v>
      </c>
      <c r="I372">
        <v>0.9001499425415056</v>
      </c>
      <c r="J372">
        <v>0.10749123375863613</v>
      </c>
      <c r="K372">
        <f t="shared" si="22"/>
        <v>0</v>
      </c>
      <c r="L372" t="b">
        <f t="shared" si="23"/>
        <v>0</v>
      </c>
    </row>
    <row r="373" spans="1:12" x14ac:dyDescent="0.35">
      <c r="A373" s="13">
        <v>42905</v>
      </c>
      <c r="B373" s="14">
        <v>5310.72</v>
      </c>
      <c r="C373" s="2">
        <f t="shared" si="20"/>
        <v>9.0076396792131419E-3</v>
      </c>
      <c r="D373">
        <f t="shared" si="21"/>
        <v>1</v>
      </c>
      <c r="E373">
        <v>0.50186745891008</v>
      </c>
      <c r="F373">
        <v>0.9001499425415056</v>
      </c>
      <c r="G373">
        <v>0.10749123375863613</v>
      </c>
      <c r="I373">
        <v>0.90070410449395855</v>
      </c>
      <c r="J373">
        <v>0.10717760679699662</v>
      </c>
      <c r="K373">
        <f t="shared" si="22"/>
        <v>1</v>
      </c>
      <c r="L373" t="b">
        <f t="shared" si="23"/>
        <v>1</v>
      </c>
    </row>
    <row r="374" spans="1:12" x14ac:dyDescent="0.35">
      <c r="A374" s="13">
        <v>42906</v>
      </c>
      <c r="B374" s="14">
        <v>5293.65</v>
      </c>
      <c r="C374" s="2">
        <f t="shared" si="20"/>
        <v>-3.2142534345626084E-3</v>
      </c>
      <c r="D374">
        <f t="shared" si="21"/>
        <v>0</v>
      </c>
      <c r="E374">
        <v>0.50226675796169229</v>
      </c>
      <c r="F374">
        <v>0.90070410449395855</v>
      </c>
      <c r="G374">
        <v>0.10717760679699662</v>
      </c>
      <c r="I374">
        <v>0.90013858636983879</v>
      </c>
      <c r="J374">
        <v>0.10661884930505228</v>
      </c>
      <c r="K374">
        <f t="shared" si="22"/>
        <v>1</v>
      </c>
      <c r="L374" t="b">
        <f t="shared" si="23"/>
        <v>0</v>
      </c>
    </row>
    <row r="375" spans="1:12" x14ac:dyDescent="0.35">
      <c r="A375" s="13">
        <v>42907</v>
      </c>
      <c r="B375" s="14">
        <v>5274.26</v>
      </c>
      <c r="C375" s="2">
        <f t="shared" si="20"/>
        <v>-3.6628791098768376E-3</v>
      </c>
      <c r="D375">
        <f t="shared" si="21"/>
        <v>0</v>
      </c>
      <c r="E375">
        <v>0.49951677780912829</v>
      </c>
      <c r="F375">
        <v>0.90013858636983879</v>
      </c>
      <c r="G375">
        <v>0.10661884930505228</v>
      </c>
      <c r="I375">
        <v>0.90033928287222198</v>
      </c>
      <c r="J375">
        <v>0.10605641643684509</v>
      </c>
      <c r="K375">
        <f t="shared" si="22"/>
        <v>0</v>
      </c>
      <c r="L375" t="b">
        <f t="shared" si="23"/>
        <v>1</v>
      </c>
    </row>
    <row r="376" spans="1:12" x14ac:dyDescent="0.35">
      <c r="A376" s="13">
        <v>42908</v>
      </c>
      <c r="B376" s="14">
        <v>5281.93</v>
      </c>
      <c r="C376" s="2">
        <f t="shared" si="20"/>
        <v>1.4542324420867558E-3</v>
      </c>
      <c r="D376">
        <f t="shared" si="21"/>
        <v>1</v>
      </c>
      <c r="E376">
        <v>0.49909031946574955</v>
      </c>
      <c r="F376">
        <v>0.90033928287222198</v>
      </c>
      <c r="G376">
        <v>0.10605641643684509</v>
      </c>
      <c r="I376">
        <v>0.90010993718078036</v>
      </c>
      <c r="J376">
        <v>0.10585516077038572</v>
      </c>
      <c r="K376">
        <f t="shared" si="22"/>
        <v>0</v>
      </c>
      <c r="L376" t="b">
        <f t="shared" si="23"/>
        <v>0</v>
      </c>
    </row>
    <row r="377" spans="1:12" x14ac:dyDescent="0.35">
      <c r="A377" s="13">
        <v>42909</v>
      </c>
      <c r="B377" s="14">
        <v>5266.12</v>
      </c>
      <c r="C377" s="2">
        <f t="shared" si="20"/>
        <v>-2.9932240677177369E-3</v>
      </c>
      <c r="D377">
        <f t="shared" si="21"/>
        <v>0</v>
      </c>
      <c r="E377">
        <v>0.50023030858747053</v>
      </c>
      <c r="F377">
        <v>0.90010993718078036</v>
      </c>
      <c r="G377">
        <v>0.10585516077038572</v>
      </c>
      <c r="I377">
        <v>0.90001900580716521</v>
      </c>
      <c r="J377">
        <v>0.10608419611522323</v>
      </c>
      <c r="K377">
        <f t="shared" si="22"/>
        <v>1</v>
      </c>
      <c r="L377" t="b">
        <f t="shared" si="23"/>
        <v>0</v>
      </c>
    </row>
    <row r="378" spans="1:12" x14ac:dyDescent="0.35">
      <c r="A378" s="13">
        <v>42912</v>
      </c>
      <c r="B378" s="14">
        <v>5295.75</v>
      </c>
      <c r="C378" s="2">
        <f t="shared" si="20"/>
        <v>5.6265333870098022E-3</v>
      </c>
      <c r="D378">
        <f t="shared" si="21"/>
        <v>1</v>
      </c>
      <c r="E378">
        <v>0.49936507847377043</v>
      </c>
      <c r="F378">
        <v>0.90001900580716521</v>
      </c>
      <c r="G378">
        <v>0.10608419611522323</v>
      </c>
      <c r="I378">
        <v>0.89983169204717783</v>
      </c>
      <c r="J378">
        <v>0.10617520091154325</v>
      </c>
      <c r="K378">
        <f t="shared" si="22"/>
        <v>0</v>
      </c>
      <c r="L378" t="b">
        <f t="shared" si="23"/>
        <v>0</v>
      </c>
    </row>
    <row r="379" spans="1:12" x14ac:dyDescent="0.35">
      <c r="A379" s="13">
        <v>42913</v>
      </c>
      <c r="B379" s="14">
        <v>5258.58</v>
      </c>
      <c r="C379" s="2">
        <f t="shared" si="20"/>
        <v>-7.0188358589434729E-3</v>
      </c>
      <c r="D379">
        <f t="shared" si="21"/>
        <v>0</v>
      </c>
      <c r="E379">
        <v>0.50118627949692984</v>
      </c>
      <c r="F379">
        <v>0.89983169204717783</v>
      </c>
      <c r="G379">
        <v>0.10617520091154325</v>
      </c>
      <c r="I379">
        <v>0.89947920136453419</v>
      </c>
      <c r="J379">
        <v>0.10636272021025941</v>
      </c>
      <c r="K379">
        <f t="shared" si="22"/>
        <v>1</v>
      </c>
      <c r="L379" t="b">
        <f t="shared" si="23"/>
        <v>0</v>
      </c>
    </row>
    <row r="380" spans="1:12" x14ac:dyDescent="0.35">
      <c r="A380" s="13">
        <v>42914</v>
      </c>
      <c r="B380" s="14">
        <v>5252.9</v>
      </c>
      <c r="C380" s="2">
        <f t="shared" si="20"/>
        <v>-1.0801395053418039E-3</v>
      </c>
      <c r="D380">
        <f t="shared" si="21"/>
        <v>0</v>
      </c>
      <c r="E380">
        <v>0.49857129301926612</v>
      </c>
      <c r="F380">
        <v>0.89947920136453419</v>
      </c>
      <c r="G380">
        <v>0.10636272021025941</v>
      </c>
      <c r="I380">
        <v>0.89991662155176078</v>
      </c>
      <c r="J380">
        <v>0.10601206957003305</v>
      </c>
      <c r="K380">
        <f t="shared" si="22"/>
        <v>0</v>
      </c>
      <c r="L380" t="b">
        <f t="shared" si="23"/>
        <v>1</v>
      </c>
    </row>
    <row r="381" spans="1:12" x14ac:dyDescent="0.35">
      <c r="A381" s="13">
        <v>42915</v>
      </c>
      <c r="B381" s="14">
        <v>5154.3500000000004</v>
      </c>
      <c r="C381" s="2">
        <f t="shared" si="20"/>
        <v>-1.8761065316301284E-2</v>
      </c>
      <c r="D381">
        <f t="shared" si="21"/>
        <v>0</v>
      </c>
      <c r="E381">
        <v>0.49957097090283525</v>
      </c>
      <c r="F381">
        <v>0.89991662155176078</v>
      </c>
      <c r="G381">
        <v>0.10601206957003305</v>
      </c>
      <c r="I381">
        <v>0.89998407229477351</v>
      </c>
      <c r="J381">
        <v>0.10645037007791049</v>
      </c>
      <c r="K381">
        <f t="shared" si="22"/>
        <v>0</v>
      </c>
      <c r="L381" t="b">
        <f t="shared" si="23"/>
        <v>1</v>
      </c>
    </row>
    <row r="382" spans="1:12" x14ac:dyDescent="0.35">
      <c r="A382" s="13">
        <v>42916</v>
      </c>
      <c r="B382" s="14">
        <v>5120.68</v>
      </c>
      <c r="C382" s="2">
        <f t="shared" si="20"/>
        <v>-6.5323464646366292E-3</v>
      </c>
      <c r="D382">
        <f t="shared" si="21"/>
        <v>0</v>
      </c>
      <c r="E382">
        <v>0.49575019204122045</v>
      </c>
      <c r="F382">
        <v>0.89998407229477351</v>
      </c>
      <c r="G382">
        <v>0.10645037007791049</v>
      </c>
      <c r="I382">
        <v>0.90114658852118057</v>
      </c>
      <c r="J382">
        <v>0.10651730016320005</v>
      </c>
      <c r="K382">
        <f t="shared" si="22"/>
        <v>0</v>
      </c>
      <c r="L382" t="b">
        <f t="shared" si="23"/>
        <v>1</v>
      </c>
    </row>
    <row r="383" spans="1:12" x14ac:dyDescent="0.35">
      <c r="A383" s="13">
        <v>42919</v>
      </c>
      <c r="B383" s="14">
        <v>5195.72</v>
      </c>
      <c r="C383" s="2">
        <f t="shared" si="20"/>
        <v>1.4654303725286422E-2</v>
      </c>
      <c r="D383">
        <f t="shared" si="21"/>
        <v>1</v>
      </c>
      <c r="E383">
        <v>0.49802876527377443</v>
      </c>
      <c r="F383">
        <v>0.90114658852118057</v>
      </c>
      <c r="G383">
        <v>0.10651730016320005</v>
      </c>
      <c r="I383">
        <v>0.90073671363942753</v>
      </c>
      <c r="J383">
        <v>0.10534012907013132</v>
      </c>
      <c r="K383">
        <f t="shared" si="22"/>
        <v>0</v>
      </c>
      <c r="L383" t="b">
        <f t="shared" si="23"/>
        <v>0</v>
      </c>
    </row>
    <row r="384" spans="1:12" x14ac:dyDescent="0.35">
      <c r="A384" s="13">
        <v>42920</v>
      </c>
      <c r="B384" s="14">
        <v>5174.8999999999996</v>
      </c>
      <c r="C384" s="2">
        <f t="shared" si="20"/>
        <v>-4.0071443418815411E-3</v>
      </c>
      <c r="D384">
        <f t="shared" si="21"/>
        <v>0</v>
      </c>
      <c r="E384">
        <v>0.50312784698724422</v>
      </c>
      <c r="F384">
        <v>0.90073671363942753</v>
      </c>
      <c r="G384">
        <v>0.10534012907013132</v>
      </c>
      <c r="I384">
        <v>0.89981512617067294</v>
      </c>
      <c r="J384">
        <v>0.10575093866956554</v>
      </c>
      <c r="K384">
        <f t="shared" si="22"/>
        <v>1</v>
      </c>
      <c r="L384" t="b">
        <f t="shared" si="23"/>
        <v>0</v>
      </c>
    </row>
    <row r="385" spans="1:12" x14ac:dyDescent="0.35">
      <c r="A385" s="13">
        <v>42921</v>
      </c>
      <c r="B385" s="14">
        <v>5180.1000000000004</v>
      </c>
      <c r="C385" s="2">
        <f t="shared" si="20"/>
        <v>1.0048503352724225E-3</v>
      </c>
      <c r="D385">
        <f t="shared" si="21"/>
        <v>1</v>
      </c>
      <c r="E385">
        <v>0.49948600450178859</v>
      </c>
      <c r="F385">
        <v>0.89981512617067294</v>
      </c>
      <c r="G385">
        <v>0.10575093866956554</v>
      </c>
      <c r="I385">
        <v>0.89956442245747159</v>
      </c>
      <c r="J385">
        <v>0.10666777321428385</v>
      </c>
      <c r="K385">
        <f t="shared" si="22"/>
        <v>0</v>
      </c>
      <c r="L385" t="b">
        <f t="shared" si="23"/>
        <v>0</v>
      </c>
    </row>
    <row r="386" spans="1:12" x14ac:dyDescent="0.35">
      <c r="A386" s="13">
        <v>42922</v>
      </c>
      <c r="B386" s="14">
        <v>5152.3999999999996</v>
      </c>
      <c r="C386" s="2">
        <f t="shared" si="20"/>
        <v>-5.347387116078961E-3</v>
      </c>
      <c r="D386">
        <f t="shared" si="21"/>
        <v>0</v>
      </c>
      <c r="E386">
        <v>0.50011912360964828</v>
      </c>
      <c r="F386">
        <v>0.89956442245747159</v>
      </c>
      <c r="G386">
        <v>0.10666777321428385</v>
      </c>
      <c r="I386">
        <v>0.89950160435240789</v>
      </c>
      <c r="J386">
        <v>0.10691827938961958</v>
      </c>
      <c r="K386">
        <f t="shared" si="22"/>
        <v>1</v>
      </c>
      <c r="L386" t="b">
        <f t="shared" si="23"/>
        <v>0</v>
      </c>
    </row>
    <row r="387" spans="1:12" x14ac:dyDescent="0.35">
      <c r="A387" s="13">
        <v>42923</v>
      </c>
      <c r="B387" s="14">
        <v>5145.16</v>
      </c>
      <c r="C387" s="2">
        <f t="shared" si="20"/>
        <v>-1.4051704060242809E-3</v>
      </c>
      <c r="D387">
        <f t="shared" si="21"/>
        <v>0</v>
      </c>
      <c r="E387">
        <v>0.49882436556121318</v>
      </c>
      <c r="F387">
        <v>0.89950160435240789</v>
      </c>
      <c r="G387">
        <v>0.10691827938961958</v>
      </c>
      <c r="I387">
        <v>0.89983502838227303</v>
      </c>
      <c r="J387">
        <v>0.1068556242571362</v>
      </c>
      <c r="K387">
        <f t="shared" si="22"/>
        <v>0</v>
      </c>
      <c r="L387" t="b">
        <f t="shared" si="23"/>
        <v>1</v>
      </c>
    </row>
    <row r="388" spans="1:12" x14ac:dyDescent="0.35">
      <c r="A388" s="13">
        <v>42926</v>
      </c>
      <c r="B388" s="14">
        <v>5165.6400000000003</v>
      </c>
      <c r="C388" s="2">
        <f t="shared" ref="C388:C451" si="24">(B388/B387)-1</f>
        <v>3.9804398697029786E-3</v>
      </c>
      <c r="D388">
        <f t="shared" si="21"/>
        <v>1</v>
      </c>
      <c r="E388">
        <v>0.49954104514374381</v>
      </c>
      <c r="F388">
        <v>0.89983502838227303</v>
      </c>
      <c r="G388">
        <v>0.1068556242571362</v>
      </c>
      <c r="I388">
        <v>0.89974712469223783</v>
      </c>
      <c r="J388">
        <v>0.1065211060680719</v>
      </c>
      <c r="K388">
        <f t="shared" si="22"/>
        <v>0</v>
      </c>
      <c r="L388" t="b">
        <f t="shared" si="23"/>
        <v>0</v>
      </c>
    </row>
    <row r="389" spans="1:12" x14ac:dyDescent="0.35">
      <c r="A389" s="13">
        <v>42927</v>
      </c>
      <c r="B389" s="14">
        <v>5140.6000000000004</v>
      </c>
      <c r="C389" s="2">
        <f t="shared" si="24"/>
        <v>-4.8474148411425944E-3</v>
      </c>
      <c r="D389">
        <f t="shared" si="21"/>
        <v>0</v>
      </c>
      <c r="E389">
        <v>0.50085792641352156</v>
      </c>
      <c r="F389">
        <v>0.89974712469223783</v>
      </c>
      <c r="G389">
        <v>0.1065211060680719</v>
      </c>
      <c r="I389">
        <v>0.89949792106851389</v>
      </c>
      <c r="J389">
        <v>0.10660907965104101</v>
      </c>
      <c r="K389">
        <f t="shared" si="22"/>
        <v>1</v>
      </c>
      <c r="L389" t="b">
        <f t="shared" si="23"/>
        <v>0</v>
      </c>
    </row>
    <row r="390" spans="1:12" x14ac:dyDescent="0.35">
      <c r="A390" s="13">
        <v>42928</v>
      </c>
      <c r="B390" s="14">
        <v>5222.13</v>
      </c>
      <c r="C390" s="2">
        <f t="shared" si="24"/>
        <v>1.5860016340504934E-2</v>
      </c>
      <c r="D390">
        <f t="shared" ref="D390:D453" si="25">IF(C390&gt;=0,1,0)</f>
        <v>1</v>
      </c>
      <c r="E390">
        <v>0.49901602913497972</v>
      </c>
      <c r="F390">
        <v>0.89949792106851389</v>
      </c>
      <c r="G390">
        <v>0.10660907965104101</v>
      </c>
      <c r="I390">
        <v>0.89919436260219487</v>
      </c>
      <c r="J390">
        <v>0.10685834575714498</v>
      </c>
      <c r="K390">
        <f t="shared" ref="K390:K453" si="26">IF(E390&gt;=0.5,1,0)</f>
        <v>0</v>
      </c>
      <c r="L390" t="b">
        <f t="shared" ref="L390:L453" si="27">IF(K390=D390,TRUE,FALSE)</f>
        <v>0</v>
      </c>
    </row>
    <row r="391" spans="1:12" x14ac:dyDescent="0.35">
      <c r="A391" s="13">
        <v>42929</v>
      </c>
      <c r="B391" s="14">
        <v>5235.3999999999996</v>
      </c>
      <c r="C391" s="2">
        <f t="shared" si="24"/>
        <v>2.5411087046856018E-3</v>
      </c>
      <c r="D391">
        <f t="shared" si="25"/>
        <v>1</v>
      </c>
      <c r="E391">
        <v>0.50343575856046718</v>
      </c>
      <c r="F391">
        <v>0.89919436260219487</v>
      </c>
      <c r="G391">
        <v>0.10685834575714498</v>
      </c>
      <c r="I391">
        <v>0.90017875574209094</v>
      </c>
      <c r="J391">
        <v>0.10655747835490501</v>
      </c>
      <c r="K391">
        <f t="shared" si="26"/>
        <v>1</v>
      </c>
      <c r="L391" t="b">
        <f t="shared" si="27"/>
        <v>1</v>
      </c>
    </row>
    <row r="392" spans="1:12" x14ac:dyDescent="0.35">
      <c r="A392" s="13">
        <v>42930</v>
      </c>
      <c r="B392" s="14">
        <v>5235.3100000000004</v>
      </c>
      <c r="C392" s="2">
        <f t="shared" si="24"/>
        <v>-1.7190663559429886E-5</v>
      </c>
      <c r="D392">
        <f t="shared" si="25"/>
        <v>0</v>
      </c>
      <c r="E392">
        <v>0.50099436254406171</v>
      </c>
      <c r="F392">
        <v>0.90017875574209094</v>
      </c>
      <c r="G392">
        <v>0.10655747835490501</v>
      </c>
      <c r="I392">
        <v>0.9000196212295174</v>
      </c>
      <c r="J392">
        <v>0.10556425993607046</v>
      </c>
      <c r="K392">
        <f t="shared" si="26"/>
        <v>1</v>
      </c>
      <c r="L392" t="b">
        <f t="shared" si="27"/>
        <v>0</v>
      </c>
    </row>
    <row r="393" spans="1:12" x14ac:dyDescent="0.35">
      <c r="A393" s="13">
        <v>42933</v>
      </c>
      <c r="B393" s="14">
        <v>5230.17</v>
      </c>
      <c r="C393" s="2">
        <f t="shared" si="24"/>
        <v>-9.8179477433046891E-4</v>
      </c>
      <c r="D393">
        <f t="shared" si="25"/>
        <v>0</v>
      </c>
      <c r="E393">
        <v>0.50006319458099391</v>
      </c>
      <c r="F393">
        <v>0.9000196212295174</v>
      </c>
      <c r="G393">
        <v>0.10556425993607046</v>
      </c>
      <c r="I393">
        <v>0.90002069578176724</v>
      </c>
      <c r="J393">
        <v>0.10540542057152746</v>
      </c>
      <c r="K393">
        <f t="shared" si="26"/>
        <v>1</v>
      </c>
      <c r="L393" t="b">
        <f t="shared" si="27"/>
        <v>0</v>
      </c>
    </row>
    <row r="394" spans="1:12" x14ac:dyDescent="0.35">
      <c r="A394" s="13">
        <v>42934</v>
      </c>
      <c r="B394" s="14">
        <v>5173.2700000000004</v>
      </c>
      <c r="C394" s="2">
        <f t="shared" si="24"/>
        <v>-1.0879187483389563E-2</v>
      </c>
      <c r="D394">
        <f t="shared" si="25"/>
        <v>0</v>
      </c>
      <c r="E394">
        <v>0.49977863811320505</v>
      </c>
      <c r="F394">
        <v>0.90002069578176724</v>
      </c>
      <c r="G394">
        <v>0.10540542057152746</v>
      </c>
      <c r="I394">
        <v>0.90008203077664806</v>
      </c>
      <c r="J394">
        <v>0.10540649451211971</v>
      </c>
      <c r="K394">
        <f t="shared" si="26"/>
        <v>0</v>
      </c>
      <c r="L394" t="b">
        <f t="shared" si="27"/>
        <v>1</v>
      </c>
    </row>
    <row r="395" spans="1:12" x14ac:dyDescent="0.35">
      <c r="A395" s="13">
        <v>42935</v>
      </c>
      <c r="B395" s="14">
        <v>5216.07</v>
      </c>
      <c r="C395" s="2">
        <f t="shared" si="24"/>
        <v>8.2732971602099692E-3</v>
      </c>
      <c r="D395">
        <f t="shared" si="25"/>
        <v>1</v>
      </c>
      <c r="E395">
        <v>0.49752610801053676</v>
      </c>
      <c r="F395">
        <v>0.90008203077664806</v>
      </c>
      <c r="G395">
        <v>0.10540649451211971</v>
      </c>
      <c r="I395">
        <v>0.89939873404499082</v>
      </c>
      <c r="J395">
        <v>0.10534483024155884</v>
      </c>
      <c r="K395">
        <f t="shared" si="26"/>
        <v>0</v>
      </c>
      <c r="L395" t="b">
        <f t="shared" si="27"/>
        <v>0</v>
      </c>
    </row>
    <row r="396" spans="1:12" x14ac:dyDescent="0.35">
      <c r="A396" s="13">
        <v>42936</v>
      </c>
      <c r="B396" s="14">
        <v>5199.22</v>
      </c>
      <c r="C396" s="2">
        <f t="shared" si="24"/>
        <v>-3.2304014324959773E-3</v>
      </c>
      <c r="D396">
        <f t="shared" si="25"/>
        <v>0</v>
      </c>
      <c r="E396">
        <v>0.5015737265116994</v>
      </c>
      <c r="F396">
        <v>0.89939873404499082</v>
      </c>
      <c r="G396">
        <v>0.10534483024155884</v>
      </c>
      <c r="I396">
        <v>0.89888003062265853</v>
      </c>
      <c r="J396">
        <v>0.10602691281040075</v>
      </c>
      <c r="K396">
        <f t="shared" si="26"/>
        <v>1</v>
      </c>
      <c r="L396" t="b">
        <f t="shared" si="27"/>
        <v>0</v>
      </c>
    </row>
    <row r="397" spans="1:12" x14ac:dyDescent="0.35">
      <c r="A397" s="13">
        <v>42937</v>
      </c>
      <c r="B397" s="14">
        <v>5117.66</v>
      </c>
      <c r="C397" s="2">
        <f t="shared" si="24"/>
        <v>-1.5686968429879933E-2</v>
      </c>
      <c r="D397">
        <f t="shared" si="25"/>
        <v>0</v>
      </c>
      <c r="E397">
        <v>0.49949336237791658</v>
      </c>
      <c r="F397">
        <v>0.89888003062265853</v>
      </c>
      <c r="G397">
        <v>0.10602691281040075</v>
      </c>
      <c r="I397">
        <v>0.89908172592474089</v>
      </c>
      <c r="J397">
        <v>0.10551035621370064</v>
      </c>
      <c r="K397">
        <f t="shared" si="26"/>
        <v>0</v>
      </c>
      <c r="L397" t="b">
        <f t="shared" si="27"/>
        <v>1</v>
      </c>
    </row>
    <row r="398" spans="1:12" x14ac:dyDescent="0.35">
      <c r="A398" s="13">
        <v>42940</v>
      </c>
      <c r="B398" s="14">
        <v>5127.7</v>
      </c>
      <c r="C398" s="2">
        <f t="shared" si="24"/>
        <v>1.9618341195000166E-3</v>
      </c>
      <c r="D398">
        <f t="shared" si="25"/>
        <v>1</v>
      </c>
      <c r="E398">
        <v>0.49638888592381947</v>
      </c>
      <c r="F398">
        <v>0.89908172592474089</v>
      </c>
      <c r="G398">
        <v>0.10551035621370064</v>
      </c>
      <c r="I398">
        <v>0.8980942609782403</v>
      </c>
      <c r="J398">
        <v>0.10530700856294364</v>
      </c>
      <c r="K398">
        <f t="shared" si="26"/>
        <v>0</v>
      </c>
      <c r="L398" t="b">
        <f t="shared" si="27"/>
        <v>0</v>
      </c>
    </row>
    <row r="399" spans="1:12" x14ac:dyDescent="0.35">
      <c r="A399" s="13">
        <v>42941</v>
      </c>
      <c r="B399" s="14">
        <v>5161.08</v>
      </c>
      <c r="C399" s="2">
        <f t="shared" si="24"/>
        <v>6.5097412095092011E-3</v>
      </c>
      <c r="D399">
        <f t="shared" si="25"/>
        <v>1</v>
      </c>
      <c r="E399">
        <v>0.50002749106120792</v>
      </c>
      <c r="F399">
        <v>0.8980942609782403</v>
      </c>
      <c r="G399">
        <v>0.10530700856294364</v>
      </c>
      <c r="I399">
        <v>0.89821686886872565</v>
      </c>
      <c r="J399">
        <v>0.10432662694546603</v>
      </c>
      <c r="K399">
        <f t="shared" si="26"/>
        <v>1</v>
      </c>
      <c r="L399" t="b">
        <f t="shared" si="27"/>
        <v>1</v>
      </c>
    </row>
    <row r="400" spans="1:12" x14ac:dyDescent="0.35">
      <c r="A400" s="13">
        <v>42942</v>
      </c>
      <c r="B400" s="14">
        <v>5190.17</v>
      </c>
      <c r="C400" s="2">
        <f t="shared" si="24"/>
        <v>5.6364171840002086E-3</v>
      </c>
      <c r="D400">
        <f t="shared" si="25"/>
        <v>1</v>
      </c>
      <c r="E400">
        <v>0.50151295310805333</v>
      </c>
      <c r="F400">
        <v>0.89821686886872565</v>
      </c>
      <c r="G400">
        <v>0.10432662694546603</v>
      </c>
      <c r="I400">
        <v>0.89862249286369922</v>
      </c>
      <c r="J400">
        <v>0.10444886943828044</v>
      </c>
      <c r="K400">
        <f t="shared" si="26"/>
        <v>1</v>
      </c>
      <c r="L400" t="b">
        <f t="shared" si="27"/>
        <v>1</v>
      </c>
    </row>
    <row r="401" spans="1:12" x14ac:dyDescent="0.35">
      <c r="A401" s="13">
        <v>42943</v>
      </c>
      <c r="B401" s="14">
        <v>5186.95</v>
      </c>
      <c r="C401" s="2">
        <f t="shared" si="24"/>
        <v>-6.2040357059600648E-4</v>
      </c>
      <c r="D401">
        <f t="shared" si="25"/>
        <v>0</v>
      </c>
      <c r="E401">
        <v>0.50143623264242854</v>
      </c>
      <c r="F401">
        <v>0.89862249286369922</v>
      </c>
      <c r="G401">
        <v>0.10444886943828044</v>
      </c>
      <c r="I401">
        <v>0.89826920780390507</v>
      </c>
      <c r="J401">
        <v>0.10404084529149195</v>
      </c>
      <c r="K401">
        <f t="shared" si="26"/>
        <v>1</v>
      </c>
      <c r="L401" t="b">
        <f t="shared" si="27"/>
        <v>0</v>
      </c>
    </row>
    <row r="402" spans="1:12" x14ac:dyDescent="0.35">
      <c r="A402" s="13">
        <v>42944</v>
      </c>
      <c r="B402" s="14">
        <v>5131.3900000000003</v>
      </c>
      <c r="C402" s="2">
        <f t="shared" si="24"/>
        <v>-1.0711497122586344E-2</v>
      </c>
      <c r="D402">
        <f t="shared" si="25"/>
        <v>0</v>
      </c>
      <c r="E402">
        <v>0.50000728204608968</v>
      </c>
      <c r="F402">
        <v>0.89826920780390507</v>
      </c>
      <c r="G402">
        <v>0.10404084529149195</v>
      </c>
      <c r="I402">
        <v>0.89830798359178499</v>
      </c>
      <c r="J402">
        <v>0.10368856408698544</v>
      </c>
      <c r="K402">
        <f t="shared" si="26"/>
        <v>1</v>
      </c>
      <c r="L402" t="b">
        <f t="shared" si="27"/>
        <v>0</v>
      </c>
    </row>
    <row r="403" spans="1:12" x14ac:dyDescent="0.35">
      <c r="A403" s="13">
        <v>42947</v>
      </c>
      <c r="B403" s="14">
        <v>5093.7700000000004</v>
      </c>
      <c r="C403" s="2">
        <f t="shared" si="24"/>
        <v>-7.3313468670281878E-3</v>
      </c>
      <c r="D403">
        <f t="shared" si="25"/>
        <v>0</v>
      </c>
      <c r="E403">
        <v>0.49757838090066359</v>
      </c>
      <c r="F403">
        <v>0.89830798359178499</v>
      </c>
      <c r="G403">
        <v>0.10368856408698544</v>
      </c>
      <c r="I403">
        <v>0.89897419413855661</v>
      </c>
      <c r="J403">
        <v>0.10372715060736216</v>
      </c>
      <c r="K403">
        <f t="shared" si="26"/>
        <v>0</v>
      </c>
      <c r="L403" t="b">
        <f t="shared" si="27"/>
        <v>1</v>
      </c>
    </row>
    <row r="404" spans="1:12" x14ac:dyDescent="0.35">
      <c r="A404" s="13">
        <v>42948</v>
      </c>
      <c r="B404" s="14">
        <v>5127.03</v>
      </c>
      <c r="C404" s="2">
        <f t="shared" si="24"/>
        <v>6.5295449146700602E-3</v>
      </c>
      <c r="D404">
        <f t="shared" si="25"/>
        <v>1</v>
      </c>
      <c r="E404">
        <v>0.49807456833833813</v>
      </c>
      <c r="F404">
        <v>0.89897419413855661</v>
      </c>
      <c r="G404">
        <v>0.10372715060736216</v>
      </c>
      <c r="I404">
        <v>0.89851422727946273</v>
      </c>
      <c r="J404">
        <v>0.10305511397111632</v>
      </c>
      <c r="K404">
        <f t="shared" si="26"/>
        <v>0</v>
      </c>
      <c r="L404" t="b">
        <f t="shared" si="27"/>
        <v>0</v>
      </c>
    </row>
    <row r="405" spans="1:12" x14ac:dyDescent="0.35">
      <c r="A405" s="13">
        <v>42949</v>
      </c>
      <c r="B405" s="14">
        <v>5107.25</v>
      </c>
      <c r="C405" s="2">
        <f t="shared" si="24"/>
        <v>-3.8579840570466262E-3</v>
      </c>
      <c r="D405">
        <f t="shared" si="25"/>
        <v>0</v>
      </c>
      <c r="E405">
        <v>0.50127783627207967</v>
      </c>
      <c r="F405">
        <v>0.89851422727946273</v>
      </c>
      <c r="G405">
        <v>0.10305511397111632</v>
      </c>
      <c r="I405">
        <v>0.89810509043340858</v>
      </c>
      <c r="J405">
        <v>0.10351449118249985</v>
      </c>
      <c r="K405">
        <f t="shared" si="26"/>
        <v>1</v>
      </c>
      <c r="L405" t="b">
        <f t="shared" si="27"/>
        <v>0</v>
      </c>
    </row>
    <row r="406" spans="1:12" x14ac:dyDescent="0.35">
      <c r="A406" s="13">
        <v>42950</v>
      </c>
      <c r="B406" s="14">
        <v>5130.49</v>
      </c>
      <c r="C406" s="2">
        <f t="shared" si="24"/>
        <v>4.5503940476772087E-3</v>
      </c>
      <c r="D406">
        <f t="shared" si="25"/>
        <v>1</v>
      </c>
      <c r="E406">
        <v>0.49930275730171353</v>
      </c>
      <c r="F406">
        <v>0.89810509043340858</v>
      </c>
      <c r="G406">
        <v>0.10351449118249985</v>
      </c>
      <c r="I406">
        <v>0.89786363065548247</v>
      </c>
      <c r="J406">
        <v>0.10392315602966916</v>
      </c>
      <c r="K406">
        <f t="shared" si="26"/>
        <v>0</v>
      </c>
      <c r="L406" t="b">
        <f t="shared" si="27"/>
        <v>0</v>
      </c>
    </row>
    <row r="407" spans="1:12" x14ac:dyDescent="0.35">
      <c r="A407" s="13">
        <v>42951</v>
      </c>
      <c r="B407" s="14">
        <v>5203.4399999999996</v>
      </c>
      <c r="C407" s="2">
        <f t="shared" si="24"/>
        <v>1.4218914762527568E-2</v>
      </c>
      <c r="D407">
        <f t="shared" si="25"/>
        <v>1</v>
      </c>
      <c r="E407">
        <v>0.50092117381812806</v>
      </c>
      <c r="F407">
        <v>0.89786363065548247</v>
      </c>
      <c r="G407">
        <v>0.10392315602966916</v>
      </c>
      <c r="I407">
        <v>0.89814750535693644</v>
      </c>
      <c r="J407">
        <v>0.10368247707726781</v>
      </c>
      <c r="K407">
        <f t="shared" si="26"/>
        <v>1</v>
      </c>
      <c r="L407" t="b">
        <f t="shared" si="27"/>
        <v>1</v>
      </c>
    </row>
    <row r="408" spans="1:12" x14ac:dyDescent="0.35">
      <c r="A408" s="13">
        <v>42954</v>
      </c>
      <c r="B408" s="14">
        <v>5207.8900000000003</v>
      </c>
      <c r="C408" s="2">
        <f t="shared" si="24"/>
        <v>8.5520348077450237E-4</v>
      </c>
      <c r="D408">
        <f t="shared" si="25"/>
        <v>1</v>
      </c>
      <c r="E408">
        <v>0.5033105713581093</v>
      </c>
      <c r="F408">
        <v>0.89814750535693644</v>
      </c>
      <c r="G408">
        <v>0.10368247707726781</v>
      </c>
      <c r="I408">
        <v>0.89903026473664616</v>
      </c>
      <c r="J408">
        <v>0.10396498126932813</v>
      </c>
      <c r="K408">
        <f t="shared" si="26"/>
        <v>1</v>
      </c>
      <c r="L408" t="b">
        <f t="shared" si="27"/>
        <v>1</v>
      </c>
    </row>
    <row r="409" spans="1:12" x14ac:dyDescent="0.35">
      <c r="A409" s="13">
        <v>42955</v>
      </c>
      <c r="B409" s="14">
        <v>5218.8900000000003</v>
      </c>
      <c r="C409" s="2">
        <f t="shared" si="24"/>
        <v>2.1121797887435623E-3</v>
      </c>
      <c r="D409">
        <f t="shared" si="25"/>
        <v>1</v>
      </c>
      <c r="E409">
        <v>0.50056178051827471</v>
      </c>
      <c r="F409">
        <v>0.89903026473664616</v>
      </c>
      <c r="G409">
        <v>0.10396498126932813</v>
      </c>
      <c r="I409">
        <v>0.89908365483221353</v>
      </c>
      <c r="J409">
        <v>0.10485266383272054</v>
      </c>
      <c r="K409">
        <f t="shared" si="26"/>
        <v>1</v>
      </c>
      <c r="L409" t="b">
        <f t="shared" si="27"/>
        <v>1</v>
      </c>
    </row>
    <row r="410" spans="1:12" x14ac:dyDescent="0.35">
      <c r="A410" s="13">
        <v>42956</v>
      </c>
      <c r="B410" s="14">
        <v>5145.7</v>
      </c>
      <c r="C410" s="2">
        <f t="shared" si="24"/>
        <v>-1.4024054923556628E-2</v>
      </c>
      <c r="D410">
        <f t="shared" si="25"/>
        <v>0</v>
      </c>
      <c r="E410">
        <v>0.50049717400794447</v>
      </c>
      <c r="F410">
        <v>0.89908365483221353</v>
      </c>
      <c r="G410">
        <v>0.10485266383272054</v>
      </c>
      <c r="I410">
        <v>0.89895151246095861</v>
      </c>
      <c r="J410">
        <v>0.10479916051995464</v>
      </c>
      <c r="K410">
        <f t="shared" si="26"/>
        <v>1</v>
      </c>
      <c r="L410" t="b">
        <f t="shared" si="27"/>
        <v>0</v>
      </c>
    </row>
    <row r="411" spans="1:12" x14ac:dyDescent="0.35">
      <c r="A411" s="13">
        <v>42957</v>
      </c>
      <c r="B411" s="14">
        <v>5115.2299999999996</v>
      </c>
      <c r="C411" s="2">
        <f t="shared" si="24"/>
        <v>-5.9214489768156797E-3</v>
      </c>
      <c r="D411">
        <f t="shared" si="25"/>
        <v>0</v>
      </c>
      <c r="E411">
        <v>0.49690364190350395</v>
      </c>
      <c r="F411">
        <v>0.89895151246095861</v>
      </c>
      <c r="G411">
        <v>0.10479916051995464</v>
      </c>
      <c r="I411">
        <v>0.89982255455116644</v>
      </c>
      <c r="J411">
        <v>0.1046679718225265</v>
      </c>
      <c r="K411">
        <f t="shared" si="26"/>
        <v>0</v>
      </c>
      <c r="L411" t="b">
        <f t="shared" si="27"/>
        <v>1</v>
      </c>
    </row>
    <row r="412" spans="1:12" x14ac:dyDescent="0.35">
      <c r="A412" s="13">
        <v>42958</v>
      </c>
      <c r="B412" s="14">
        <v>5060.92</v>
      </c>
      <c r="C412" s="2">
        <f t="shared" si="24"/>
        <v>-1.0617313395487549E-2</v>
      </c>
      <c r="D412">
        <f t="shared" si="25"/>
        <v>0</v>
      </c>
      <c r="E412">
        <v>0.49830097585680277</v>
      </c>
      <c r="F412">
        <v>0.89982255455116644</v>
      </c>
      <c r="G412">
        <v>0.1046679718225265</v>
      </c>
      <c r="I412">
        <v>0.90019138326780501</v>
      </c>
      <c r="J412">
        <v>0.10554148676790163</v>
      </c>
      <c r="K412">
        <f t="shared" si="26"/>
        <v>0</v>
      </c>
      <c r="L412" t="b">
        <f t="shared" si="27"/>
        <v>1</v>
      </c>
    </row>
    <row r="413" spans="1:12" x14ac:dyDescent="0.35">
      <c r="A413" s="13">
        <v>42961</v>
      </c>
      <c r="B413" s="14">
        <v>5121.67</v>
      </c>
      <c r="C413" s="2">
        <f t="shared" si="24"/>
        <v>1.200374635441781E-2</v>
      </c>
      <c r="D413">
        <f t="shared" si="25"/>
        <v>1</v>
      </c>
      <c r="E413">
        <v>0.49745437885491728</v>
      </c>
      <c r="F413">
        <v>0.90019138326780501</v>
      </c>
      <c r="G413">
        <v>0.10554148676790163</v>
      </c>
      <c r="I413">
        <v>0.89952444001151788</v>
      </c>
      <c r="J413">
        <v>0.10516952162799964</v>
      </c>
      <c r="K413">
        <f t="shared" si="26"/>
        <v>0</v>
      </c>
      <c r="L413" t="b">
        <f t="shared" si="27"/>
        <v>0</v>
      </c>
    </row>
    <row r="414" spans="1:12" x14ac:dyDescent="0.35">
      <c r="A414" s="13">
        <v>42962</v>
      </c>
      <c r="B414" s="14">
        <v>5140.25</v>
      </c>
      <c r="C414" s="2">
        <f t="shared" si="24"/>
        <v>3.6277229887906604E-3</v>
      </c>
      <c r="D414">
        <f t="shared" si="25"/>
        <v>1</v>
      </c>
      <c r="E414">
        <v>0.50242024245908323</v>
      </c>
      <c r="F414">
        <v>0.89952444001151788</v>
      </c>
      <c r="G414">
        <v>0.10516952162799964</v>
      </c>
      <c r="I414">
        <v>0.90027102516847479</v>
      </c>
      <c r="J414">
        <v>0.10450916707253088</v>
      </c>
      <c r="K414">
        <f t="shared" si="26"/>
        <v>1</v>
      </c>
      <c r="L414" t="b">
        <f t="shared" si="27"/>
        <v>1</v>
      </c>
    </row>
    <row r="415" spans="1:12" x14ac:dyDescent="0.35">
      <c r="A415" s="13">
        <v>42963</v>
      </c>
      <c r="B415" s="14">
        <v>5176.6099999999997</v>
      </c>
      <c r="C415" s="2">
        <f t="shared" si="24"/>
        <v>7.0735859150818925E-3</v>
      </c>
      <c r="D415">
        <f t="shared" si="25"/>
        <v>1</v>
      </c>
      <c r="E415">
        <v>0.50113010693243421</v>
      </c>
      <c r="F415">
        <v>0.90027102516847479</v>
      </c>
      <c r="G415">
        <v>0.10450916707253088</v>
      </c>
      <c r="I415">
        <v>0.90049724423525079</v>
      </c>
      <c r="J415">
        <v>0.10525770170610206</v>
      </c>
      <c r="K415">
        <f t="shared" si="26"/>
        <v>1</v>
      </c>
      <c r="L415" t="b">
        <f t="shared" si="27"/>
        <v>1</v>
      </c>
    </row>
    <row r="416" spans="1:12" x14ac:dyDescent="0.35">
      <c r="A416" s="13">
        <v>42964</v>
      </c>
      <c r="B416" s="14">
        <v>5146.8500000000004</v>
      </c>
      <c r="C416" s="2">
        <f t="shared" si="24"/>
        <v>-5.7489360797895461E-3</v>
      </c>
      <c r="D416">
        <f t="shared" si="25"/>
        <v>0</v>
      </c>
      <c r="E416">
        <v>0.50168789119017743</v>
      </c>
      <c r="F416">
        <v>0.90049724423525079</v>
      </c>
      <c r="G416">
        <v>0.10525770170610206</v>
      </c>
      <c r="I416">
        <v>0.90005365774026747</v>
      </c>
      <c r="J416">
        <v>0.10503020621164047</v>
      </c>
      <c r="K416">
        <f t="shared" si="26"/>
        <v>1</v>
      </c>
      <c r="L416" t="b">
        <f t="shared" si="27"/>
        <v>0</v>
      </c>
    </row>
    <row r="417" spans="1:12" x14ac:dyDescent="0.35">
      <c r="A417" s="13">
        <v>42965</v>
      </c>
      <c r="B417" s="14">
        <v>5114.1499999999996</v>
      </c>
      <c r="C417" s="2">
        <f t="shared" si="24"/>
        <v>-6.3534006236826146E-3</v>
      </c>
      <c r="D417">
        <f t="shared" si="25"/>
        <v>0</v>
      </c>
      <c r="E417">
        <v>0.49889214912308888</v>
      </c>
      <c r="F417">
        <v>0.90005365774026747</v>
      </c>
      <c r="G417">
        <v>0.10503020621164047</v>
      </c>
      <c r="I417">
        <v>0.9004121683647125</v>
      </c>
      <c r="J417">
        <v>0.10458908881734609</v>
      </c>
      <c r="K417">
        <f t="shared" si="26"/>
        <v>0</v>
      </c>
      <c r="L417" t="b">
        <f t="shared" si="27"/>
        <v>1</v>
      </c>
    </row>
    <row r="418" spans="1:12" x14ac:dyDescent="0.35">
      <c r="A418" s="13">
        <v>42968</v>
      </c>
      <c r="B418" s="14">
        <v>5087.59</v>
      </c>
      <c r="C418" s="2">
        <f t="shared" si="24"/>
        <v>-5.1934339039721999E-3</v>
      </c>
      <c r="D418">
        <f t="shared" si="25"/>
        <v>0</v>
      </c>
      <c r="E418">
        <v>0.49841951645936566</v>
      </c>
      <c r="F418">
        <v>0.9004121683647125</v>
      </c>
      <c r="G418">
        <v>0.10458908881734609</v>
      </c>
      <c r="I418">
        <v>0.90080799676801027</v>
      </c>
      <c r="J418">
        <v>0.10494725798121744</v>
      </c>
      <c r="K418">
        <f t="shared" si="26"/>
        <v>0</v>
      </c>
      <c r="L418" t="b">
        <f t="shared" si="27"/>
        <v>1</v>
      </c>
    </row>
    <row r="419" spans="1:12" x14ac:dyDescent="0.35">
      <c r="A419" s="13">
        <v>42969</v>
      </c>
      <c r="B419" s="14">
        <v>5131.8599999999997</v>
      </c>
      <c r="C419" s="2">
        <f t="shared" si="24"/>
        <v>8.7015659673832513E-3</v>
      </c>
      <c r="D419">
        <f t="shared" si="25"/>
        <v>1</v>
      </c>
      <c r="E419">
        <v>0.49866373848995188</v>
      </c>
      <c r="F419">
        <v>0.90080799676801027</v>
      </c>
      <c r="G419">
        <v>0.10494725798121744</v>
      </c>
      <c r="I419">
        <v>0.90048254200032118</v>
      </c>
      <c r="J419">
        <v>0.10454911206037786</v>
      </c>
      <c r="K419">
        <f t="shared" si="26"/>
        <v>0</v>
      </c>
      <c r="L419" t="b">
        <f t="shared" si="27"/>
        <v>0</v>
      </c>
    </row>
    <row r="420" spans="1:12" x14ac:dyDescent="0.35">
      <c r="A420" s="13">
        <v>42970</v>
      </c>
      <c r="B420" s="14">
        <v>5115.3900000000003</v>
      </c>
      <c r="C420" s="2">
        <f t="shared" si="24"/>
        <v>-3.2093626872127246E-3</v>
      </c>
      <c r="D420">
        <f t="shared" si="25"/>
        <v>0</v>
      </c>
      <c r="E420">
        <v>0.5018231517546351</v>
      </c>
      <c r="F420">
        <v>0.90048254200032118</v>
      </c>
      <c r="G420">
        <v>0.10454911206037786</v>
      </c>
      <c r="I420">
        <v>0.89993671835006284</v>
      </c>
      <c r="J420">
        <v>0.1048748809003162</v>
      </c>
      <c r="K420">
        <f t="shared" si="26"/>
        <v>1</v>
      </c>
      <c r="L420" t="b">
        <f t="shared" si="27"/>
        <v>0</v>
      </c>
    </row>
    <row r="421" spans="1:12" x14ac:dyDescent="0.35">
      <c r="A421" s="13">
        <v>42971</v>
      </c>
      <c r="B421" s="14">
        <v>5113.13</v>
      </c>
      <c r="C421" s="2">
        <f t="shared" si="24"/>
        <v>-4.4180404622129466E-4</v>
      </c>
      <c r="D421">
        <f t="shared" si="25"/>
        <v>0</v>
      </c>
      <c r="E421">
        <v>0.4995060882530899</v>
      </c>
      <c r="F421">
        <v>0.89993671835006284</v>
      </c>
      <c r="G421">
        <v>0.1048748809003162</v>
      </c>
      <c r="I421">
        <v>0.90013710517973555</v>
      </c>
      <c r="J421">
        <v>0.10433157078322067</v>
      </c>
      <c r="K421">
        <f t="shared" si="26"/>
        <v>0</v>
      </c>
      <c r="L421" t="b">
        <f t="shared" si="27"/>
        <v>1</v>
      </c>
    </row>
    <row r="422" spans="1:12" x14ac:dyDescent="0.35">
      <c r="A422" s="13">
        <v>42972</v>
      </c>
      <c r="B422" s="14">
        <v>5104.33</v>
      </c>
      <c r="C422" s="2">
        <f t="shared" si="24"/>
        <v>-1.721059312006612E-3</v>
      </c>
      <c r="D422">
        <f t="shared" si="25"/>
        <v>0</v>
      </c>
      <c r="E422">
        <v>0.49981686949179072</v>
      </c>
      <c r="F422">
        <v>0.90013710517973555</v>
      </c>
      <c r="G422">
        <v>0.10433157078322067</v>
      </c>
      <c r="I422">
        <v>0.90016470781544666</v>
      </c>
      <c r="J422">
        <v>0.1045320824577459</v>
      </c>
      <c r="K422">
        <f t="shared" si="26"/>
        <v>0</v>
      </c>
      <c r="L422" t="b">
        <f t="shared" si="27"/>
        <v>1</v>
      </c>
    </row>
    <row r="423" spans="1:12" x14ac:dyDescent="0.35">
      <c r="A423" s="13">
        <v>42975</v>
      </c>
      <c r="B423" s="14">
        <v>5079.75</v>
      </c>
      <c r="C423" s="2">
        <f t="shared" si="24"/>
        <v>-4.8155193727678069E-3</v>
      </c>
      <c r="D423">
        <f t="shared" si="25"/>
        <v>0</v>
      </c>
      <c r="E423">
        <v>0.49960114519717375</v>
      </c>
      <c r="F423">
        <v>0.90016470781544666</v>
      </c>
      <c r="G423">
        <v>0.1045320824577459</v>
      </c>
      <c r="I423">
        <v>0.90027218814745635</v>
      </c>
      <c r="J423">
        <v>0.1045596731661194</v>
      </c>
      <c r="K423">
        <f t="shared" si="26"/>
        <v>0</v>
      </c>
      <c r="L423" t="b">
        <f t="shared" si="27"/>
        <v>1</v>
      </c>
    </row>
    <row r="424" spans="1:12" x14ac:dyDescent="0.35">
      <c r="A424" s="13">
        <v>42976</v>
      </c>
      <c r="B424" s="14">
        <v>5031.92</v>
      </c>
      <c r="C424" s="2">
        <f t="shared" si="24"/>
        <v>-9.415817707564389E-3</v>
      </c>
      <c r="D424">
        <f t="shared" si="25"/>
        <v>0</v>
      </c>
      <c r="E424">
        <v>0.49887119402728863</v>
      </c>
      <c r="F424">
        <v>0.90027218814745635</v>
      </c>
      <c r="G424">
        <v>0.1045596731661194</v>
      </c>
      <c r="I424">
        <v>0.90057247710435151</v>
      </c>
      <c r="J424">
        <v>0.10466699598335899</v>
      </c>
      <c r="K424">
        <f t="shared" si="26"/>
        <v>0</v>
      </c>
      <c r="L424" t="b">
        <f t="shared" si="27"/>
        <v>1</v>
      </c>
    </row>
    <row r="425" spans="1:12" x14ac:dyDescent="0.35">
      <c r="A425" s="13">
        <v>42977</v>
      </c>
      <c r="B425" s="14">
        <v>5056.34</v>
      </c>
      <c r="C425" s="2">
        <f t="shared" si="24"/>
        <v>4.8530183309751784E-3</v>
      </c>
      <c r="D425">
        <f t="shared" si="25"/>
        <v>1</v>
      </c>
      <c r="E425">
        <v>0.49775410204883985</v>
      </c>
      <c r="F425">
        <v>0.90057247710435151</v>
      </c>
      <c r="G425">
        <v>0.10466699598335899</v>
      </c>
      <c r="I425">
        <v>0.8999813570537315</v>
      </c>
      <c r="J425">
        <v>0.10436468022663981</v>
      </c>
      <c r="K425">
        <f t="shared" si="26"/>
        <v>0</v>
      </c>
      <c r="L425" t="b">
        <f t="shared" si="27"/>
        <v>0</v>
      </c>
    </row>
    <row r="426" spans="1:12" x14ac:dyDescent="0.35">
      <c r="A426" s="13">
        <v>42978</v>
      </c>
      <c r="B426" s="14">
        <v>5085.59</v>
      </c>
      <c r="C426" s="2">
        <f t="shared" si="24"/>
        <v>5.7848166855867245E-3</v>
      </c>
      <c r="D426">
        <f t="shared" si="25"/>
        <v>1</v>
      </c>
      <c r="E426">
        <v>0.50084623599679401</v>
      </c>
      <c r="F426">
        <v>0.8999813570537315</v>
      </c>
      <c r="G426">
        <v>0.10436468022663981</v>
      </c>
      <c r="I426">
        <v>0.90028415648220705</v>
      </c>
      <c r="J426">
        <v>0.10377718930325237</v>
      </c>
      <c r="K426">
        <f t="shared" si="26"/>
        <v>1</v>
      </c>
      <c r="L426" t="b">
        <f t="shared" si="27"/>
        <v>1</v>
      </c>
    </row>
    <row r="427" spans="1:12" x14ac:dyDescent="0.35">
      <c r="A427" s="13">
        <v>42979</v>
      </c>
      <c r="B427" s="14">
        <v>5123.26</v>
      </c>
      <c r="C427" s="2">
        <f t="shared" si="24"/>
        <v>7.4072034906471629E-3</v>
      </c>
      <c r="D427">
        <f t="shared" si="25"/>
        <v>1</v>
      </c>
      <c r="E427">
        <v>0.50142789897125206</v>
      </c>
      <c r="F427">
        <v>0.90028415648220705</v>
      </c>
      <c r="G427">
        <v>0.10377718930325237</v>
      </c>
      <c r="I427">
        <v>0.90064467206809362</v>
      </c>
      <c r="J427">
        <v>0.10407963427981815</v>
      </c>
      <c r="K427">
        <f t="shared" si="26"/>
        <v>1</v>
      </c>
      <c r="L427" t="b">
        <f t="shared" si="27"/>
        <v>1</v>
      </c>
    </row>
    <row r="428" spans="1:12" x14ac:dyDescent="0.35">
      <c r="A428" s="13">
        <v>42982</v>
      </c>
      <c r="B428" s="14">
        <v>5103.97</v>
      </c>
      <c r="C428" s="2">
        <f t="shared" si="24"/>
        <v>-3.7651807638104939E-3</v>
      </c>
      <c r="D428">
        <f t="shared" si="25"/>
        <v>0</v>
      </c>
      <c r="E428">
        <v>0.50181832697493911</v>
      </c>
      <c r="F428">
        <v>0.90064467206809362</v>
      </c>
      <c r="G428">
        <v>0.10407963427981815</v>
      </c>
      <c r="I428">
        <v>0.90018004440508781</v>
      </c>
      <c r="J428">
        <v>0.10371677319993358</v>
      </c>
      <c r="K428">
        <f t="shared" si="26"/>
        <v>1</v>
      </c>
      <c r="L428" t="b">
        <f t="shared" si="27"/>
        <v>0</v>
      </c>
    </row>
    <row r="429" spans="1:12" x14ac:dyDescent="0.35">
      <c r="A429" s="13">
        <v>42983</v>
      </c>
      <c r="B429" s="14">
        <v>5086.5600000000004</v>
      </c>
      <c r="C429" s="2">
        <f t="shared" si="24"/>
        <v>-3.4110702061336262E-3</v>
      </c>
      <c r="D429">
        <f t="shared" si="25"/>
        <v>0</v>
      </c>
      <c r="E429">
        <v>0.49934472803948038</v>
      </c>
      <c r="F429">
        <v>0.90018004440508781</v>
      </c>
      <c r="G429">
        <v>0.10371677319993358</v>
      </c>
      <c r="I429">
        <v>0.9004150593970085</v>
      </c>
      <c r="J429">
        <v>0.10325443049244899</v>
      </c>
      <c r="K429">
        <f t="shared" si="26"/>
        <v>0</v>
      </c>
      <c r="L429" t="b">
        <f t="shared" si="27"/>
        <v>1</v>
      </c>
    </row>
    <row r="430" spans="1:12" x14ac:dyDescent="0.35">
      <c r="A430" s="13">
        <v>42984</v>
      </c>
      <c r="B430" s="14">
        <v>5101.41</v>
      </c>
      <c r="C430" s="2">
        <f t="shared" si="24"/>
        <v>2.9194583372651461E-3</v>
      </c>
      <c r="D430">
        <f t="shared" si="25"/>
        <v>1</v>
      </c>
      <c r="E430">
        <v>0.4991349632186316</v>
      </c>
      <c r="F430">
        <v>0.9004150593970085</v>
      </c>
      <c r="G430">
        <v>0.10325443049244899</v>
      </c>
      <c r="I430">
        <v>0.90020149931069637</v>
      </c>
      <c r="J430">
        <v>0.10301870027280878</v>
      </c>
      <c r="K430">
        <f t="shared" si="26"/>
        <v>0</v>
      </c>
      <c r="L430" t="b">
        <f t="shared" si="27"/>
        <v>0</v>
      </c>
    </row>
    <row r="431" spans="1:12" x14ac:dyDescent="0.35">
      <c r="A431" s="13">
        <v>42985</v>
      </c>
      <c r="B431" s="14">
        <v>5114.62</v>
      </c>
      <c r="C431" s="2">
        <f t="shared" si="24"/>
        <v>2.5894801633274955E-3</v>
      </c>
      <c r="D431">
        <f t="shared" si="25"/>
        <v>1</v>
      </c>
      <c r="E431">
        <v>0.50056917394244926</v>
      </c>
      <c r="F431">
        <v>0.90020149931069637</v>
      </c>
      <c r="G431">
        <v>0.10301870027280878</v>
      </c>
      <c r="I431">
        <v>0.90038375751064692</v>
      </c>
      <c r="J431">
        <v>0.1028057513474073</v>
      </c>
      <c r="K431">
        <f t="shared" si="26"/>
        <v>1</v>
      </c>
      <c r="L431" t="b">
        <f t="shared" si="27"/>
        <v>1</v>
      </c>
    </row>
    <row r="432" spans="1:12" x14ac:dyDescent="0.35">
      <c r="A432" s="13">
        <v>42986</v>
      </c>
      <c r="B432" s="14">
        <v>5113.49</v>
      </c>
      <c r="C432" s="2">
        <f t="shared" si="24"/>
        <v>-2.2093527964939241E-4</v>
      </c>
      <c r="D432">
        <f t="shared" si="25"/>
        <v>0</v>
      </c>
      <c r="E432">
        <v>0.50065791536712889</v>
      </c>
      <c r="F432">
        <v>0.90038375751064692</v>
      </c>
      <c r="G432">
        <v>0.1028057513474073</v>
      </c>
      <c r="I432">
        <v>0.90022170232367449</v>
      </c>
      <c r="J432">
        <v>0.10262304542310476</v>
      </c>
      <c r="K432">
        <f t="shared" si="26"/>
        <v>1</v>
      </c>
      <c r="L432" t="b">
        <f t="shared" si="27"/>
        <v>0</v>
      </c>
    </row>
    <row r="433" spans="1:12" x14ac:dyDescent="0.35">
      <c r="A433" s="13">
        <v>42989</v>
      </c>
      <c r="B433" s="14">
        <v>5176.71</v>
      </c>
      <c r="C433" s="2">
        <f t="shared" si="24"/>
        <v>1.2363376089520095E-2</v>
      </c>
      <c r="D433">
        <f t="shared" si="25"/>
        <v>1</v>
      </c>
      <c r="E433">
        <v>0.5000167124017123</v>
      </c>
      <c r="F433">
        <v>0.90022170232367449</v>
      </c>
      <c r="G433">
        <v>0.10262304542310476</v>
      </c>
      <c r="I433">
        <v>0.90020789433025672</v>
      </c>
      <c r="J433">
        <v>0.10278488252357783</v>
      </c>
      <c r="K433">
        <f t="shared" si="26"/>
        <v>1</v>
      </c>
      <c r="L433" t="b">
        <f t="shared" si="27"/>
        <v>1</v>
      </c>
    </row>
    <row r="434" spans="1:12" x14ac:dyDescent="0.35">
      <c r="A434" s="13">
        <v>42990</v>
      </c>
      <c r="B434" s="14">
        <v>5209.01</v>
      </c>
      <c r="C434" s="2">
        <f t="shared" si="24"/>
        <v>6.2394841511308474E-3</v>
      </c>
      <c r="D434">
        <f t="shared" si="25"/>
        <v>1</v>
      </c>
      <c r="E434">
        <v>0.50277669644227163</v>
      </c>
      <c r="F434">
        <v>0.90020789433025672</v>
      </c>
      <c r="G434">
        <v>0.10278488252357783</v>
      </c>
      <c r="I434">
        <v>0.90097629046985106</v>
      </c>
      <c r="J434">
        <v>0.10277115117586555</v>
      </c>
      <c r="K434">
        <f t="shared" si="26"/>
        <v>1</v>
      </c>
      <c r="L434" t="b">
        <f t="shared" si="27"/>
        <v>1</v>
      </c>
    </row>
    <row r="435" spans="1:12" x14ac:dyDescent="0.35">
      <c r="A435" s="13">
        <v>42991</v>
      </c>
      <c r="B435" s="14">
        <v>5217.59</v>
      </c>
      <c r="C435" s="2">
        <f t="shared" si="24"/>
        <v>1.6471460027913665E-3</v>
      </c>
      <c r="D435">
        <f t="shared" si="25"/>
        <v>1</v>
      </c>
      <c r="E435">
        <v>0.50172304959872016</v>
      </c>
      <c r="F435">
        <v>0.90097629046985106</v>
      </c>
      <c r="G435">
        <v>0.10277115117586555</v>
      </c>
      <c r="I435">
        <v>0.90136490974657213</v>
      </c>
      <c r="J435">
        <v>0.10354119019790056</v>
      </c>
      <c r="K435">
        <f t="shared" si="26"/>
        <v>1</v>
      </c>
      <c r="L435" t="b">
        <f t="shared" si="27"/>
        <v>1</v>
      </c>
    </row>
    <row r="436" spans="1:12" x14ac:dyDescent="0.35">
      <c r="A436" s="13">
        <v>42992</v>
      </c>
      <c r="B436" s="14">
        <v>5225.2</v>
      </c>
      <c r="C436" s="2">
        <f t="shared" si="24"/>
        <v>1.4585277877332548E-3</v>
      </c>
      <c r="D436">
        <f t="shared" si="25"/>
        <v>1</v>
      </c>
      <c r="E436">
        <v>0.50053268060431366</v>
      </c>
      <c r="F436">
        <v>0.90136490974657213</v>
      </c>
      <c r="G436">
        <v>0.10354119019790056</v>
      </c>
      <c r="I436">
        <v>0.9014677465796862</v>
      </c>
      <c r="J436">
        <v>0.10393074205868298</v>
      </c>
      <c r="K436">
        <f t="shared" si="26"/>
        <v>1</v>
      </c>
      <c r="L436" t="b">
        <f t="shared" si="27"/>
        <v>1</v>
      </c>
    </row>
    <row r="437" spans="1:12" x14ac:dyDescent="0.35">
      <c r="A437" s="13">
        <v>42993</v>
      </c>
      <c r="B437" s="14">
        <v>5213.91</v>
      </c>
      <c r="C437" s="2">
        <f t="shared" si="24"/>
        <v>-2.1606828446757431E-3</v>
      </c>
      <c r="D437">
        <f t="shared" si="25"/>
        <v>0</v>
      </c>
      <c r="E437">
        <v>0.50037150114775752</v>
      </c>
      <c r="F437">
        <v>0.9014677465796862</v>
      </c>
      <c r="G437">
        <v>0.10393074205868298</v>
      </c>
      <c r="I437">
        <v>0.9013765209127208</v>
      </c>
      <c r="J437">
        <v>0.10382771900080386</v>
      </c>
      <c r="K437">
        <f t="shared" si="26"/>
        <v>1</v>
      </c>
      <c r="L437" t="b">
        <f t="shared" si="27"/>
        <v>0</v>
      </c>
    </row>
    <row r="438" spans="1:12" x14ac:dyDescent="0.35">
      <c r="A438" s="13">
        <v>42996</v>
      </c>
      <c r="B438" s="14">
        <v>5229.32</v>
      </c>
      <c r="C438" s="2">
        <f t="shared" si="24"/>
        <v>2.9555554276923246E-3</v>
      </c>
      <c r="D438">
        <f t="shared" si="25"/>
        <v>1</v>
      </c>
      <c r="E438">
        <v>0.49955096182771513</v>
      </c>
      <c r="F438">
        <v>0.9013765209127208</v>
      </c>
      <c r="G438">
        <v>0.10382771900080386</v>
      </c>
      <c r="I438">
        <v>0.90124135706530939</v>
      </c>
      <c r="J438">
        <v>0.10391895878077999</v>
      </c>
      <c r="K438">
        <f t="shared" si="26"/>
        <v>0</v>
      </c>
      <c r="L438" t="b">
        <f t="shared" si="27"/>
        <v>0</v>
      </c>
    </row>
    <row r="439" spans="1:12" x14ac:dyDescent="0.35">
      <c r="A439" s="13">
        <v>42997</v>
      </c>
      <c r="B439" s="14">
        <v>5237.4399999999996</v>
      </c>
      <c r="C439" s="2">
        <f t="shared" si="24"/>
        <v>1.552783153450088E-3</v>
      </c>
      <c r="D439">
        <f t="shared" si="25"/>
        <v>1</v>
      </c>
      <c r="E439">
        <v>0.5006097829159466</v>
      </c>
      <c r="F439">
        <v>0.90124135706530939</v>
      </c>
      <c r="G439">
        <v>0.10391895878077999</v>
      </c>
      <c r="I439">
        <v>0.90142585372422945</v>
      </c>
      <c r="J439">
        <v>0.10378408099703297</v>
      </c>
      <c r="K439">
        <f t="shared" si="26"/>
        <v>1</v>
      </c>
      <c r="L439" t="b">
        <f t="shared" si="27"/>
        <v>1</v>
      </c>
    </row>
    <row r="440" spans="1:12" x14ac:dyDescent="0.35">
      <c r="A440" s="13">
        <v>42998</v>
      </c>
      <c r="B440" s="14">
        <v>5241.66</v>
      </c>
      <c r="C440" s="2">
        <f t="shared" si="24"/>
        <v>8.0573715402953994E-4</v>
      </c>
      <c r="D440">
        <f t="shared" si="25"/>
        <v>1</v>
      </c>
      <c r="E440">
        <v>0.50042661451738646</v>
      </c>
      <c r="F440">
        <v>0.90142585372422945</v>
      </c>
      <c r="G440">
        <v>0.10378408099703297</v>
      </c>
      <c r="I440">
        <v>0.90152281979574933</v>
      </c>
      <c r="J440">
        <v>0.1039686454665442</v>
      </c>
      <c r="K440">
        <f t="shared" si="26"/>
        <v>1</v>
      </c>
      <c r="L440" t="b">
        <f t="shared" si="27"/>
        <v>1</v>
      </c>
    </row>
    <row r="441" spans="1:12" x14ac:dyDescent="0.35">
      <c r="A441" s="13">
        <v>42999</v>
      </c>
      <c r="B441" s="14">
        <v>5267.29</v>
      </c>
      <c r="C441" s="2">
        <f t="shared" si="24"/>
        <v>4.8896723557041444E-3</v>
      </c>
      <c r="D441">
        <f t="shared" si="25"/>
        <v>1</v>
      </c>
      <c r="E441">
        <v>0.50022195778349088</v>
      </c>
      <c r="F441">
        <v>0.90152281979574933</v>
      </c>
      <c r="G441">
        <v>0.1039686454665442</v>
      </c>
      <c r="I441">
        <v>0.90157315600300281</v>
      </c>
      <c r="J441">
        <v>0.10406565131298039</v>
      </c>
      <c r="K441">
        <f t="shared" si="26"/>
        <v>1</v>
      </c>
      <c r="L441" t="b">
        <f t="shared" si="27"/>
        <v>1</v>
      </c>
    </row>
    <row r="442" spans="1:12" x14ac:dyDescent="0.35">
      <c r="A442" s="13">
        <v>43000</v>
      </c>
      <c r="B442" s="14">
        <v>5281.29</v>
      </c>
      <c r="C442" s="2">
        <f t="shared" si="24"/>
        <v>2.6579132722899246E-3</v>
      </c>
      <c r="D442">
        <f t="shared" si="25"/>
        <v>1</v>
      </c>
      <c r="E442">
        <v>0.50112305983618044</v>
      </c>
      <c r="F442">
        <v>0.90157315600300281</v>
      </c>
      <c r="G442">
        <v>0.10406565131298039</v>
      </c>
      <c r="I442">
        <v>0.90187807256257679</v>
      </c>
      <c r="J442">
        <v>0.10411589652023666</v>
      </c>
      <c r="K442">
        <f t="shared" si="26"/>
        <v>1</v>
      </c>
      <c r="L442" t="b">
        <f t="shared" si="27"/>
        <v>1</v>
      </c>
    </row>
    <row r="443" spans="1:12" x14ac:dyDescent="0.35">
      <c r="A443" s="13">
        <v>43003</v>
      </c>
      <c r="B443" s="14">
        <v>5267.13</v>
      </c>
      <c r="C443" s="2">
        <f t="shared" si="24"/>
        <v>-2.6811631249182843E-3</v>
      </c>
      <c r="D443">
        <f t="shared" si="25"/>
        <v>0</v>
      </c>
      <c r="E443">
        <v>0.50072655106864106</v>
      </c>
      <c r="F443">
        <v>0.90187807256257679</v>
      </c>
      <c r="G443">
        <v>0.10411589652023666</v>
      </c>
      <c r="I443">
        <v>0.90171171194561484</v>
      </c>
      <c r="J443">
        <v>0.10380984856964412</v>
      </c>
      <c r="K443">
        <f t="shared" si="26"/>
        <v>1</v>
      </c>
      <c r="L443" t="b">
        <f t="shared" si="27"/>
        <v>0</v>
      </c>
    </row>
    <row r="444" spans="1:12" x14ac:dyDescent="0.35">
      <c r="A444" s="13">
        <v>43004</v>
      </c>
      <c r="B444" s="14">
        <v>5268.76</v>
      </c>
      <c r="C444" s="2">
        <f t="shared" si="24"/>
        <v>3.094664456735341E-4</v>
      </c>
      <c r="D444">
        <f t="shared" si="25"/>
        <v>1</v>
      </c>
      <c r="E444">
        <v>0.49946457055039906</v>
      </c>
      <c r="F444">
        <v>0.90171171194561484</v>
      </c>
      <c r="G444">
        <v>0.10380984856964412</v>
      </c>
      <c r="I444">
        <v>0.90154395999596326</v>
      </c>
      <c r="J444">
        <v>0.10397614584909254</v>
      </c>
      <c r="K444">
        <f t="shared" si="26"/>
        <v>0</v>
      </c>
      <c r="L444" t="b">
        <f t="shared" si="27"/>
        <v>0</v>
      </c>
    </row>
    <row r="445" spans="1:12" x14ac:dyDescent="0.35">
      <c r="A445" s="13">
        <v>43005</v>
      </c>
      <c r="B445" s="14">
        <v>5281.96</v>
      </c>
      <c r="C445" s="2">
        <f t="shared" si="24"/>
        <v>2.5053333232107899E-3</v>
      </c>
      <c r="D445">
        <f t="shared" si="25"/>
        <v>1</v>
      </c>
      <c r="E445">
        <v>0.50000005514919921</v>
      </c>
      <c r="F445">
        <v>0.90154395999596326</v>
      </c>
      <c r="G445">
        <v>0.10397614584909254</v>
      </c>
      <c r="I445">
        <v>0.90156330164668452</v>
      </c>
      <c r="J445">
        <v>0.10380857317226815</v>
      </c>
      <c r="K445">
        <f t="shared" si="26"/>
        <v>1</v>
      </c>
      <c r="L445" t="b">
        <f t="shared" si="27"/>
        <v>1</v>
      </c>
    </row>
    <row r="446" spans="1:12" x14ac:dyDescent="0.35">
      <c r="A446" s="13">
        <v>43006</v>
      </c>
      <c r="B446" s="14">
        <v>5293.77</v>
      </c>
      <c r="C446" s="2">
        <f t="shared" si="24"/>
        <v>2.2359124264479391E-3</v>
      </c>
      <c r="D446">
        <f t="shared" si="25"/>
        <v>1</v>
      </c>
      <c r="E446">
        <v>0.5005727102127292</v>
      </c>
      <c r="F446">
        <v>0.90156330164668452</v>
      </c>
      <c r="G446">
        <v>0.10380857317226815</v>
      </c>
      <c r="I446">
        <v>0.90171970542043745</v>
      </c>
      <c r="J446">
        <v>0.10382789264545154</v>
      </c>
      <c r="K446">
        <f t="shared" si="26"/>
        <v>1</v>
      </c>
      <c r="L446" t="b">
        <f t="shared" si="27"/>
        <v>1</v>
      </c>
    </row>
    <row r="447" spans="1:12" x14ac:dyDescent="0.35">
      <c r="A447" s="13">
        <v>43007</v>
      </c>
      <c r="B447" s="14">
        <v>5329.81</v>
      </c>
      <c r="C447" s="2">
        <f t="shared" si="24"/>
        <v>6.8080026143939598E-3</v>
      </c>
      <c r="D447">
        <f t="shared" si="25"/>
        <v>1</v>
      </c>
      <c r="E447">
        <v>0.50056907219774116</v>
      </c>
      <c r="F447">
        <v>0.90171970542043745</v>
      </c>
      <c r="G447">
        <v>0.10382789264545154</v>
      </c>
      <c r="I447">
        <v>0.90185929071682547</v>
      </c>
      <c r="J447">
        <v>0.10398429756110676</v>
      </c>
      <c r="K447">
        <f t="shared" si="26"/>
        <v>1</v>
      </c>
      <c r="L447" t="b">
        <f t="shared" si="27"/>
        <v>1</v>
      </c>
    </row>
    <row r="448" spans="1:12" x14ac:dyDescent="0.35">
      <c r="A448" s="13">
        <v>43010</v>
      </c>
      <c r="B448" s="14">
        <v>5350.44</v>
      </c>
      <c r="C448" s="2">
        <f t="shared" si="24"/>
        <v>3.8706820693419353E-3</v>
      </c>
      <c r="D448">
        <f t="shared" si="25"/>
        <v>1</v>
      </c>
      <c r="E448">
        <v>0.50159308465716335</v>
      </c>
      <c r="F448">
        <v>0.90185929071682547</v>
      </c>
      <c r="G448">
        <v>0.10398429756110676</v>
      </c>
      <c r="I448">
        <v>0.90228343085888463</v>
      </c>
      <c r="J448">
        <v>0.10412359542391612</v>
      </c>
      <c r="K448">
        <f t="shared" si="26"/>
        <v>1</v>
      </c>
      <c r="L448" t="b">
        <f t="shared" si="27"/>
        <v>1</v>
      </c>
    </row>
    <row r="449" spans="1:12" x14ac:dyDescent="0.35">
      <c r="A449" s="13">
        <v>43011</v>
      </c>
      <c r="B449" s="14">
        <v>5367.41</v>
      </c>
      <c r="C449" s="2">
        <f t="shared" si="24"/>
        <v>3.1717017665837677E-3</v>
      </c>
      <c r="D449">
        <f t="shared" si="25"/>
        <v>1</v>
      </c>
      <c r="E449">
        <v>0.5010503299568293</v>
      </c>
      <c r="F449">
        <v>0.90228343085888463</v>
      </c>
      <c r="G449">
        <v>0.10412359542391612</v>
      </c>
      <c r="I449">
        <v>0.90252483923626725</v>
      </c>
      <c r="J449">
        <v>0.10454819988248827</v>
      </c>
      <c r="K449">
        <f t="shared" si="26"/>
        <v>1</v>
      </c>
      <c r="L449" t="b">
        <f t="shared" si="27"/>
        <v>1</v>
      </c>
    </row>
    <row r="450" spans="1:12" x14ac:dyDescent="0.35">
      <c r="A450" s="13">
        <v>43013</v>
      </c>
      <c r="B450" s="14">
        <v>5379.21</v>
      </c>
      <c r="C450" s="2">
        <f t="shared" si="24"/>
        <v>2.1984532577166149E-3</v>
      </c>
      <c r="D450">
        <f t="shared" si="25"/>
        <v>1</v>
      </c>
      <c r="E450">
        <v>0.50081680239082293</v>
      </c>
      <c r="F450">
        <v>0.90252483923626725</v>
      </c>
      <c r="G450">
        <v>0.10454819988248827</v>
      </c>
      <c r="I450">
        <v>0.90272274623683169</v>
      </c>
      <c r="J450">
        <v>0.10478972166948373</v>
      </c>
      <c r="K450">
        <f t="shared" si="26"/>
        <v>1</v>
      </c>
      <c r="L450" t="b">
        <f t="shared" si="27"/>
        <v>1</v>
      </c>
    </row>
    <row r="451" spans="1:12" x14ac:dyDescent="0.35">
      <c r="A451" s="13">
        <v>43014</v>
      </c>
      <c r="B451" s="14">
        <v>5359.9</v>
      </c>
      <c r="C451" s="2">
        <f t="shared" si="24"/>
        <v>-3.5897464497575138E-3</v>
      </c>
      <c r="D451">
        <f t="shared" si="25"/>
        <v>0</v>
      </c>
      <c r="E451">
        <v>0.5005792386177782</v>
      </c>
      <c r="F451">
        <v>0.90272274623683169</v>
      </c>
      <c r="G451">
        <v>0.10478972166948373</v>
      </c>
      <c r="I451">
        <v>0.90258518391421461</v>
      </c>
      <c r="J451">
        <v>0.10459126092890231</v>
      </c>
      <c r="K451">
        <f t="shared" si="26"/>
        <v>1</v>
      </c>
      <c r="L451" t="b">
        <f t="shared" si="27"/>
        <v>0</v>
      </c>
    </row>
    <row r="452" spans="1:12" x14ac:dyDescent="0.35">
      <c r="A452" s="13">
        <v>43017</v>
      </c>
      <c r="B452" s="14">
        <v>5365.83</v>
      </c>
      <c r="C452" s="2">
        <f t="shared" ref="C452:C515" si="28">(B452/B451)-1</f>
        <v>1.1063639247002044E-3</v>
      </c>
      <c r="D452">
        <f t="shared" si="25"/>
        <v>1</v>
      </c>
      <c r="E452">
        <v>0.49924747232789674</v>
      </c>
      <c r="F452">
        <v>0.90258518391421461</v>
      </c>
      <c r="G452">
        <v>0.10459126092890231</v>
      </c>
      <c r="I452">
        <v>0.90236048759714371</v>
      </c>
      <c r="J452">
        <v>0.10472887074541032</v>
      </c>
      <c r="K452">
        <f t="shared" si="26"/>
        <v>0</v>
      </c>
      <c r="L452" t="b">
        <f t="shared" si="27"/>
        <v>0</v>
      </c>
    </row>
    <row r="453" spans="1:12" x14ac:dyDescent="0.35">
      <c r="A453" s="13">
        <v>43018</v>
      </c>
      <c r="B453" s="14">
        <v>5363.65</v>
      </c>
      <c r="C453" s="2">
        <f t="shared" si="28"/>
        <v>-4.0627451857411234E-4</v>
      </c>
      <c r="D453">
        <f t="shared" si="25"/>
        <v>0</v>
      </c>
      <c r="E453">
        <v>0.50015559724462899</v>
      </c>
      <c r="F453">
        <v>0.90236048759714371</v>
      </c>
      <c r="G453">
        <v>0.10472887074541032</v>
      </c>
      <c r="I453">
        <v>0.90229131834015119</v>
      </c>
      <c r="J453">
        <v>0.10495329969611807</v>
      </c>
      <c r="K453">
        <f t="shared" si="26"/>
        <v>1</v>
      </c>
      <c r="L453" t="b">
        <f t="shared" si="27"/>
        <v>0</v>
      </c>
    </row>
    <row r="454" spans="1:12" x14ac:dyDescent="0.35">
      <c r="A454" s="13">
        <v>43019</v>
      </c>
      <c r="B454" s="14">
        <v>5362.41</v>
      </c>
      <c r="C454" s="2">
        <f t="shared" si="28"/>
        <v>-2.3118585291725946E-4</v>
      </c>
      <c r="D454">
        <f t="shared" ref="D454:D517" si="29">IF(C454&gt;=0,1,0)</f>
        <v>0</v>
      </c>
      <c r="E454">
        <v>0.49993738464372478</v>
      </c>
      <c r="F454">
        <v>0.90229131834015119</v>
      </c>
      <c r="G454">
        <v>0.10495329969611807</v>
      </c>
      <c r="I454">
        <v>0.90231670731728597</v>
      </c>
      <c r="J454">
        <v>0.10488416061133</v>
      </c>
      <c r="K454">
        <f t="shared" ref="K454:K517" si="30">IF(E454&gt;=0.5,1,0)</f>
        <v>0</v>
      </c>
      <c r="L454" t="b">
        <f t="shared" ref="L454:L517" si="31">IF(K454=D454,TRUE,FALSE)</f>
        <v>1</v>
      </c>
    </row>
    <row r="455" spans="1:12" x14ac:dyDescent="0.35">
      <c r="A455" s="13">
        <v>43020</v>
      </c>
      <c r="B455" s="14">
        <v>5360.81</v>
      </c>
      <c r="C455" s="2">
        <f t="shared" si="28"/>
        <v>-2.9837330603210699E-4</v>
      </c>
      <c r="D455">
        <f t="shared" si="29"/>
        <v>0</v>
      </c>
      <c r="E455">
        <v>0.49993719634547001</v>
      </c>
      <c r="F455">
        <v>0.90231670731728597</v>
      </c>
      <c r="G455">
        <v>0.10488416061133</v>
      </c>
      <c r="I455">
        <v>0.90233115461795077</v>
      </c>
      <c r="J455">
        <v>0.10490954957889975</v>
      </c>
      <c r="K455">
        <f t="shared" si="30"/>
        <v>0</v>
      </c>
      <c r="L455" t="b">
        <f t="shared" si="31"/>
        <v>1</v>
      </c>
    </row>
    <row r="456" spans="1:12" x14ac:dyDescent="0.35">
      <c r="A456" s="13">
        <v>43021</v>
      </c>
      <c r="B456" s="14">
        <v>5351.74</v>
      </c>
      <c r="C456" s="2">
        <f t="shared" si="28"/>
        <v>-1.6919084989023281E-3</v>
      </c>
      <c r="D456">
        <f t="shared" si="29"/>
        <v>0</v>
      </c>
      <c r="E456">
        <v>0.4999266287171672</v>
      </c>
      <c r="F456">
        <v>0.90233115461795077</v>
      </c>
      <c r="G456">
        <v>0.10490954957889975</v>
      </c>
      <c r="I456">
        <v>0.90234980021267219</v>
      </c>
      <c r="J456">
        <v>0.10492399657409567</v>
      </c>
      <c r="K456">
        <f t="shared" si="30"/>
        <v>0</v>
      </c>
      <c r="L456" t="b">
        <f t="shared" si="31"/>
        <v>1</v>
      </c>
    </row>
    <row r="457" spans="1:12" x14ac:dyDescent="0.35">
      <c r="A457" s="13">
        <v>43024</v>
      </c>
      <c r="B457" s="14">
        <v>5362.88</v>
      </c>
      <c r="C457" s="2">
        <f t="shared" si="28"/>
        <v>2.0815659953585808E-3</v>
      </c>
      <c r="D457">
        <f t="shared" si="29"/>
        <v>1</v>
      </c>
      <c r="E457">
        <v>0.49961050012486247</v>
      </c>
      <c r="F457">
        <v>0.90234980021267219</v>
      </c>
      <c r="G457">
        <v>0.10492399657409567</v>
      </c>
      <c r="I457">
        <v>0.90224397362094211</v>
      </c>
      <c r="J457">
        <v>0.10490533372674836</v>
      </c>
      <c r="K457">
        <f t="shared" si="30"/>
        <v>0</v>
      </c>
      <c r="L457" t="b">
        <f t="shared" si="31"/>
        <v>0</v>
      </c>
    </row>
    <row r="458" spans="1:12" x14ac:dyDescent="0.35">
      <c r="A458" s="13">
        <v>43025</v>
      </c>
      <c r="B458" s="14">
        <v>5361.37</v>
      </c>
      <c r="C458" s="2">
        <f t="shared" si="28"/>
        <v>-2.8156512918431353E-4</v>
      </c>
      <c r="D458">
        <f t="shared" si="29"/>
        <v>0</v>
      </c>
      <c r="E458">
        <v>0.50042514743486277</v>
      </c>
      <c r="F458">
        <v>0.90224397362094211</v>
      </c>
      <c r="G458">
        <v>0.10490533372674836</v>
      </c>
      <c r="I458">
        <v>0.9021137652188177</v>
      </c>
      <c r="J458">
        <v>0.10501116784523128</v>
      </c>
      <c r="K458">
        <f t="shared" si="30"/>
        <v>1</v>
      </c>
      <c r="L458" t="b">
        <f t="shared" si="31"/>
        <v>0</v>
      </c>
    </row>
    <row r="459" spans="1:12" x14ac:dyDescent="0.35">
      <c r="A459" s="13">
        <v>43027</v>
      </c>
      <c r="B459" s="14">
        <v>5368.29</v>
      </c>
      <c r="C459" s="2">
        <f t="shared" si="28"/>
        <v>1.2907148732506091E-3</v>
      </c>
      <c r="D459">
        <f t="shared" si="29"/>
        <v>1</v>
      </c>
      <c r="E459">
        <v>0.49999114597432009</v>
      </c>
      <c r="F459">
        <v>0.9021137652188177</v>
      </c>
      <c r="G459">
        <v>0.10501116784523128</v>
      </c>
      <c r="I459">
        <v>0.9020961670866261</v>
      </c>
      <c r="J459">
        <v>0.10514126802368023</v>
      </c>
      <c r="K459">
        <f t="shared" si="30"/>
        <v>0</v>
      </c>
      <c r="L459" t="b">
        <f t="shared" si="31"/>
        <v>0</v>
      </c>
    </row>
    <row r="460" spans="1:12" x14ac:dyDescent="0.35">
      <c r="A460" s="13">
        <v>43028</v>
      </c>
      <c r="B460" s="14">
        <v>5372.38</v>
      </c>
      <c r="C460" s="2">
        <f t="shared" si="28"/>
        <v>7.6188134396626417E-4</v>
      </c>
      <c r="D460">
        <f t="shared" si="29"/>
        <v>1</v>
      </c>
      <c r="E460">
        <v>0.50028368617587127</v>
      </c>
      <c r="F460">
        <v>0.9020961670866261</v>
      </c>
      <c r="G460">
        <v>0.10514126802368023</v>
      </c>
      <c r="I460">
        <v>0.90217679097050474</v>
      </c>
      <c r="J460">
        <v>0.10512368019328479</v>
      </c>
      <c r="K460">
        <f t="shared" si="30"/>
        <v>1</v>
      </c>
      <c r="L460" t="b">
        <f t="shared" si="31"/>
        <v>1</v>
      </c>
    </row>
    <row r="461" spans="1:12" x14ac:dyDescent="0.35">
      <c r="A461" s="13">
        <v>43031</v>
      </c>
      <c r="B461" s="14">
        <v>5386.81</v>
      </c>
      <c r="C461" s="2">
        <f t="shared" si="28"/>
        <v>2.6859604123312675E-3</v>
      </c>
      <c r="D461">
        <f t="shared" si="29"/>
        <v>1</v>
      </c>
      <c r="E461">
        <v>0.50020575907927411</v>
      </c>
      <c r="F461">
        <v>0.90217679097050474</v>
      </c>
      <c r="G461">
        <v>0.10512368019328479</v>
      </c>
      <c r="I461">
        <v>0.90222438895094159</v>
      </c>
      <c r="J461">
        <v>0.10520431666216939</v>
      </c>
      <c r="K461">
        <f t="shared" si="30"/>
        <v>1</v>
      </c>
      <c r="L461" t="b">
        <f t="shared" si="31"/>
        <v>1</v>
      </c>
    </row>
    <row r="462" spans="1:12" x14ac:dyDescent="0.35">
      <c r="A462" s="13">
        <v>43032</v>
      </c>
      <c r="B462" s="14">
        <v>5394.8</v>
      </c>
      <c r="C462" s="2">
        <f t="shared" si="28"/>
        <v>1.4832526114714195E-3</v>
      </c>
      <c r="D462">
        <f t="shared" si="29"/>
        <v>1</v>
      </c>
      <c r="E462">
        <v>0.50062587272259629</v>
      </c>
      <c r="F462">
        <v>0.90222438895094159</v>
      </c>
      <c r="G462">
        <v>0.10520431666216939</v>
      </c>
      <c r="I462">
        <v>0.90239205108033815</v>
      </c>
      <c r="J462">
        <v>0.10525187456655639</v>
      </c>
      <c r="K462">
        <f t="shared" si="30"/>
        <v>1</v>
      </c>
      <c r="L462" t="b">
        <f t="shared" si="31"/>
        <v>1</v>
      </c>
    </row>
    <row r="463" spans="1:12" x14ac:dyDescent="0.35">
      <c r="A463" s="13">
        <v>43033</v>
      </c>
      <c r="B463" s="14">
        <v>5374.89</v>
      </c>
      <c r="C463" s="2">
        <f t="shared" si="28"/>
        <v>-3.690590939423144E-3</v>
      </c>
      <c r="D463">
        <f t="shared" si="29"/>
        <v>0</v>
      </c>
      <c r="E463">
        <v>0.50040529434491954</v>
      </c>
      <c r="F463">
        <v>0.90239205108033815</v>
      </c>
      <c r="G463">
        <v>0.10525187456655639</v>
      </c>
      <c r="I463">
        <v>0.90229927270884469</v>
      </c>
      <c r="J463">
        <v>0.10508386607560569</v>
      </c>
      <c r="K463">
        <f t="shared" si="30"/>
        <v>1</v>
      </c>
      <c r="L463" t="b">
        <f t="shared" si="31"/>
        <v>0</v>
      </c>
    </row>
    <row r="464" spans="1:12" x14ac:dyDescent="0.35">
      <c r="A464" s="13">
        <v>43034</v>
      </c>
      <c r="B464" s="14">
        <v>5455.4</v>
      </c>
      <c r="C464" s="2">
        <f t="shared" si="28"/>
        <v>1.4978911196322109E-2</v>
      </c>
      <c r="D464">
        <f t="shared" si="29"/>
        <v>1</v>
      </c>
      <c r="E464">
        <v>0.49920646276582448</v>
      </c>
      <c r="F464">
        <v>0.90229927270884469</v>
      </c>
      <c r="G464">
        <v>0.10508386607560569</v>
      </c>
      <c r="I464">
        <v>0.90206824527937957</v>
      </c>
      <c r="J464">
        <v>0.10517671625697239</v>
      </c>
      <c r="K464">
        <f t="shared" si="30"/>
        <v>0</v>
      </c>
      <c r="L464" t="b">
        <f t="shared" si="31"/>
        <v>0</v>
      </c>
    </row>
    <row r="465" spans="1:12" x14ac:dyDescent="0.35">
      <c r="A465" s="13">
        <v>43035</v>
      </c>
      <c r="B465" s="14">
        <v>5494.13</v>
      </c>
      <c r="C465" s="2">
        <f t="shared" si="28"/>
        <v>7.0993877625840085E-3</v>
      </c>
      <c r="D465">
        <f t="shared" si="29"/>
        <v>1</v>
      </c>
      <c r="E465">
        <v>0.50328091188521284</v>
      </c>
      <c r="F465">
        <v>0.90206824527937957</v>
      </c>
      <c r="G465">
        <v>0.10517671625697239</v>
      </c>
      <c r="I465">
        <v>0.90299824412299978</v>
      </c>
      <c r="J465">
        <v>0.10494757775278114</v>
      </c>
      <c r="K465">
        <f t="shared" si="30"/>
        <v>1</v>
      </c>
      <c r="L465" t="b">
        <f t="shared" si="31"/>
        <v>1</v>
      </c>
    </row>
    <row r="466" spans="1:12" x14ac:dyDescent="0.35">
      <c r="A466" s="13">
        <v>43039</v>
      </c>
      <c r="B466" s="14">
        <v>5503.29</v>
      </c>
      <c r="C466" s="2">
        <f t="shared" si="28"/>
        <v>1.6672339387673318E-3</v>
      </c>
      <c r="D466">
        <f t="shared" si="29"/>
        <v>1</v>
      </c>
      <c r="E466">
        <v>0.50199567318515881</v>
      </c>
      <c r="F466">
        <v>0.90299824412299978</v>
      </c>
      <c r="G466">
        <v>0.10494757775278114</v>
      </c>
      <c r="I466">
        <v>0.90344017781044805</v>
      </c>
      <c r="J466">
        <v>0.1058800082214814</v>
      </c>
      <c r="K466">
        <f t="shared" si="30"/>
        <v>1</v>
      </c>
      <c r="L466" t="b">
        <f t="shared" si="31"/>
        <v>1</v>
      </c>
    </row>
    <row r="467" spans="1:12" x14ac:dyDescent="0.35">
      <c r="A467" s="13">
        <v>43040</v>
      </c>
      <c r="B467" s="14">
        <v>5514.29</v>
      </c>
      <c r="C467" s="2">
        <f t="shared" si="28"/>
        <v>1.9988043515788423E-3</v>
      </c>
      <c r="D467">
        <f t="shared" si="29"/>
        <v>1</v>
      </c>
      <c r="E467">
        <v>0.50056448210036808</v>
      </c>
      <c r="F467">
        <v>0.90344017781044805</v>
      </c>
      <c r="G467">
        <v>0.1058800082214814</v>
      </c>
      <c r="I467">
        <v>0.90354426215849459</v>
      </c>
      <c r="J467">
        <v>0.10632321845707962</v>
      </c>
      <c r="K467">
        <f t="shared" si="30"/>
        <v>1</v>
      </c>
      <c r="L467" t="b">
        <f t="shared" si="31"/>
        <v>1</v>
      </c>
    </row>
    <row r="468" spans="1:12" x14ac:dyDescent="0.35">
      <c r="A468" s="13">
        <v>43041</v>
      </c>
      <c r="B468" s="14">
        <v>5510.5</v>
      </c>
      <c r="C468" s="2">
        <f t="shared" si="28"/>
        <v>-6.8730516530690622E-4</v>
      </c>
      <c r="D468">
        <f t="shared" si="29"/>
        <v>0</v>
      </c>
      <c r="E468">
        <v>0.50049581830781431</v>
      </c>
      <c r="F468">
        <v>0.90354426215849459</v>
      </c>
      <c r="G468">
        <v>0.10632321845707962</v>
      </c>
      <c r="I468">
        <v>0.90341921312901319</v>
      </c>
      <c r="J468">
        <v>0.10621891310783593</v>
      </c>
      <c r="K468">
        <f t="shared" si="30"/>
        <v>1</v>
      </c>
      <c r="L468" t="b">
        <f t="shared" si="31"/>
        <v>0</v>
      </c>
    </row>
    <row r="469" spans="1:12" x14ac:dyDescent="0.35">
      <c r="A469" s="13">
        <v>43042</v>
      </c>
      <c r="B469" s="14">
        <v>5517.97</v>
      </c>
      <c r="C469" s="2">
        <f t="shared" si="28"/>
        <v>1.355593866255278E-3</v>
      </c>
      <c r="D469">
        <f t="shared" si="29"/>
        <v>1</v>
      </c>
      <c r="E469">
        <v>0.49989784653495106</v>
      </c>
      <c r="F469">
        <v>0.90341921312901319</v>
      </c>
      <c r="G469">
        <v>0.10621891310783593</v>
      </c>
      <c r="I469">
        <v>0.90337624778164938</v>
      </c>
      <c r="J469">
        <v>0.10634386389769281</v>
      </c>
      <c r="K469">
        <f t="shared" si="30"/>
        <v>0</v>
      </c>
      <c r="L469" t="b">
        <f t="shared" si="31"/>
        <v>0</v>
      </c>
    </row>
    <row r="470" spans="1:12" x14ac:dyDescent="0.35">
      <c r="A470" s="13">
        <v>43045</v>
      </c>
      <c r="B470" s="14">
        <v>5507.25</v>
      </c>
      <c r="C470" s="2">
        <f t="shared" si="28"/>
        <v>-1.9427434364449603E-3</v>
      </c>
      <c r="D470">
        <f t="shared" si="29"/>
        <v>0</v>
      </c>
      <c r="E470">
        <v>0.50028788012155379</v>
      </c>
      <c r="F470">
        <v>0.90337624778164938</v>
      </c>
      <c r="G470">
        <v>0.10634386389769281</v>
      </c>
      <c r="I470">
        <v>0.90329147441204494</v>
      </c>
      <c r="J470">
        <v>0.10638684518896301</v>
      </c>
      <c r="K470">
        <f t="shared" si="30"/>
        <v>1</v>
      </c>
      <c r="L470" t="b">
        <f t="shared" si="31"/>
        <v>0</v>
      </c>
    </row>
    <row r="471" spans="1:12" x14ac:dyDescent="0.35">
      <c r="A471" s="13">
        <v>43046</v>
      </c>
      <c r="B471" s="14">
        <v>5480.64</v>
      </c>
      <c r="C471" s="2">
        <f t="shared" si="28"/>
        <v>-4.8318126106495773E-3</v>
      </c>
      <c r="D471">
        <f t="shared" si="29"/>
        <v>0</v>
      </c>
      <c r="E471">
        <v>0.49959733852996752</v>
      </c>
      <c r="F471">
        <v>0.90329147441204494</v>
      </c>
      <c r="G471">
        <v>0.10638684518896301</v>
      </c>
      <c r="I471">
        <v>0.90341279801464791</v>
      </c>
      <c r="J471">
        <v>0.10630218885790289</v>
      </c>
      <c r="K471">
        <f t="shared" si="30"/>
        <v>0</v>
      </c>
      <c r="L471" t="b">
        <f t="shared" si="31"/>
        <v>1</v>
      </c>
    </row>
    <row r="472" spans="1:12" x14ac:dyDescent="0.35">
      <c r="A472" s="13">
        <v>43047</v>
      </c>
      <c r="B472" s="14">
        <v>5471.43</v>
      </c>
      <c r="C472" s="2">
        <f t="shared" si="28"/>
        <v>-1.6804606761253726E-3</v>
      </c>
      <c r="D472">
        <f t="shared" si="29"/>
        <v>0</v>
      </c>
      <c r="E472">
        <v>0.49885709218311464</v>
      </c>
      <c r="F472">
        <v>0.90341279801464791</v>
      </c>
      <c r="G472">
        <v>0.10630218885790289</v>
      </c>
      <c r="I472">
        <v>0.90371409443899531</v>
      </c>
      <c r="J472">
        <v>0.10642333214262695</v>
      </c>
      <c r="K472">
        <f t="shared" si="30"/>
        <v>0</v>
      </c>
      <c r="L472" t="b">
        <f t="shared" si="31"/>
        <v>1</v>
      </c>
    </row>
    <row r="473" spans="1:12" x14ac:dyDescent="0.35">
      <c r="A473" s="13">
        <v>43048</v>
      </c>
      <c r="B473" s="14">
        <v>5407.75</v>
      </c>
      <c r="C473" s="2">
        <f t="shared" si="28"/>
        <v>-1.163863925884101E-2</v>
      </c>
      <c r="D473">
        <f t="shared" si="29"/>
        <v>0</v>
      </c>
      <c r="E473">
        <v>0.49949178177590103</v>
      </c>
      <c r="F473">
        <v>0.90371409443899531</v>
      </c>
      <c r="G473">
        <v>0.10642333214262695</v>
      </c>
      <c r="I473">
        <v>0.90381901636776107</v>
      </c>
      <c r="J473">
        <v>0.10672501316720955</v>
      </c>
      <c r="K473">
        <f t="shared" si="30"/>
        <v>0</v>
      </c>
      <c r="L473" t="b">
        <f t="shared" si="31"/>
        <v>1</v>
      </c>
    </row>
    <row r="474" spans="1:12" x14ac:dyDescent="0.35">
      <c r="A474" s="13">
        <v>43049</v>
      </c>
      <c r="B474" s="14">
        <v>5380.72</v>
      </c>
      <c r="C474" s="2">
        <f t="shared" si="28"/>
        <v>-4.9983819518283346E-3</v>
      </c>
      <c r="D474">
        <f t="shared" si="29"/>
        <v>0</v>
      </c>
      <c r="E474">
        <v>0.497325382842568</v>
      </c>
      <c r="F474">
        <v>0.90381901636776107</v>
      </c>
      <c r="G474">
        <v>0.10672501316720955</v>
      </c>
      <c r="I474">
        <v>0.90454251950527342</v>
      </c>
      <c r="J474">
        <v>0.1068294771465978</v>
      </c>
      <c r="K474">
        <f t="shared" si="30"/>
        <v>0</v>
      </c>
      <c r="L474" t="b">
        <f t="shared" si="31"/>
        <v>1</v>
      </c>
    </row>
    <row r="475" spans="1:12" x14ac:dyDescent="0.35">
      <c r="A475" s="13">
        <v>43052</v>
      </c>
      <c r="B475" s="14">
        <v>5341.63</v>
      </c>
      <c r="C475" s="2">
        <f t="shared" si="28"/>
        <v>-7.264827011998376E-3</v>
      </c>
      <c r="D475">
        <f t="shared" si="29"/>
        <v>0</v>
      </c>
      <c r="E475">
        <v>0.49855885430312324</v>
      </c>
      <c r="F475">
        <v>0.90454251950527342</v>
      </c>
      <c r="G475">
        <v>0.1068294771465978</v>
      </c>
      <c r="I475">
        <v>0.90485401536487686</v>
      </c>
      <c r="J475">
        <v>0.10755478945275744</v>
      </c>
      <c r="K475">
        <f t="shared" si="30"/>
        <v>0</v>
      </c>
      <c r="L475" t="b">
        <f t="shared" si="31"/>
        <v>1</v>
      </c>
    </row>
    <row r="476" spans="1:12" x14ac:dyDescent="0.35">
      <c r="A476" s="13">
        <v>43053</v>
      </c>
      <c r="B476" s="14">
        <v>5315.58</v>
      </c>
      <c r="C476" s="2">
        <f t="shared" si="28"/>
        <v>-4.8767885458184113E-3</v>
      </c>
      <c r="D476">
        <f t="shared" si="29"/>
        <v>0</v>
      </c>
      <c r="E476">
        <v>0.49822220553901586</v>
      </c>
      <c r="F476">
        <v>0.90485401536487686</v>
      </c>
      <c r="G476">
        <v>0.10755478945275744</v>
      </c>
      <c r="I476">
        <v>0.90530644691216589</v>
      </c>
      <c r="J476">
        <v>0.10786607362740777</v>
      </c>
      <c r="K476">
        <f t="shared" si="30"/>
        <v>0</v>
      </c>
      <c r="L476" t="b">
        <f t="shared" si="31"/>
        <v>1</v>
      </c>
    </row>
    <row r="477" spans="1:12" x14ac:dyDescent="0.35">
      <c r="A477" s="13">
        <v>43054</v>
      </c>
      <c r="B477" s="14">
        <v>5301.25</v>
      </c>
      <c r="C477" s="2">
        <f t="shared" si="28"/>
        <v>-2.6958488067153619E-3</v>
      </c>
      <c r="D477">
        <f t="shared" si="29"/>
        <v>0</v>
      </c>
      <c r="E477">
        <v>0.49870034880795705</v>
      </c>
      <c r="F477">
        <v>0.90530644691216589</v>
      </c>
      <c r="G477">
        <v>0.10786607362740777</v>
      </c>
      <c r="I477">
        <v>0.9056104518767889</v>
      </c>
      <c r="J477">
        <v>0.10831894203825337</v>
      </c>
      <c r="K477">
        <f t="shared" si="30"/>
        <v>0</v>
      </c>
      <c r="L477" t="b">
        <f t="shared" si="31"/>
        <v>1</v>
      </c>
    </row>
    <row r="478" spans="1:12" x14ac:dyDescent="0.35">
      <c r="A478" s="13">
        <v>43055</v>
      </c>
      <c r="B478" s="14">
        <v>5336.39</v>
      </c>
      <c r="C478" s="2">
        <f t="shared" si="28"/>
        <v>6.628625324216042E-3</v>
      </c>
      <c r="D478">
        <f t="shared" si="29"/>
        <v>1</v>
      </c>
      <c r="E478">
        <v>0.4992575911876258</v>
      </c>
      <c r="F478">
        <v>0.9056104518767889</v>
      </c>
      <c r="G478">
        <v>0.10831894203825337</v>
      </c>
      <c r="I478">
        <v>0.90544171152065023</v>
      </c>
      <c r="J478">
        <v>0.10801369085577435</v>
      </c>
      <c r="K478">
        <f t="shared" si="30"/>
        <v>0</v>
      </c>
      <c r="L478" t="b">
        <f t="shared" si="31"/>
        <v>0</v>
      </c>
    </row>
    <row r="479" spans="1:12" x14ac:dyDescent="0.35">
      <c r="A479" s="13">
        <v>43056</v>
      </c>
      <c r="B479" s="14">
        <v>5319.17</v>
      </c>
      <c r="C479" s="2">
        <f t="shared" si="28"/>
        <v>-3.2269005826036645E-3</v>
      </c>
      <c r="D479">
        <f t="shared" si="29"/>
        <v>0</v>
      </c>
      <c r="E479">
        <v>0.50142765743991435</v>
      </c>
      <c r="F479">
        <v>0.90544171152065023</v>
      </c>
      <c r="G479">
        <v>0.10801369085577435</v>
      </c>
      <c r="I479">
        <v>0.90502624289937394</v>
      </c>
      <c r="J479">
        <v>0.10818266112217387</v>
      </c>
      <c r="K479">
        <f t="shared" si="30"/>
        <v>1</v>
      </c>
      <c r="L479" t="b">
        <f t="shared" si="31"/>
        <v>0</v>
      </c>
    </row>
    <row r="480" spans="1:12" x14ac:dyDescent="0.35">
      <c r="A480" s="13">
        <v>43059</v>
      </c>
      <c r="B480" s="14">
        <v>5340.45</v>
      </c>
      <c r="C480" s="2">
        <f t="shared" si="28"/>
        <v>4.0006241575283319E-3</v>
      </c>
      <c r="D480">
        <f t="shared" si="29"/>
        <v>1</v>
      </c>
      <c r="E480">
        <v>0.49944916837700926</v>
      </c>
      <c r="F480">
        <v>0.90502624289937394</v>
      </c>
      <c r="G480">
        <v>0.10818266112217387</v>
      </c>
      <c r="I480">
        <v>0.90482433967314313</v>
      </c>
      <c r="J480">
        <v>0.10859740610863226</v>
      </c>
      <c r="K480">
        <f t="shared" si="30"/>
        <v>0</v>
      </c>
      <c r="L480" t="b">
        <f t="shared" si="31"/>
        <v>0</v>
      </c>
    </row>
    <row r="481" spans="1:12" x14ac:dyDescent="0.35">
      <c r="A481" s="13">
        <v>43060</v>
      </c>
      <c r="B481" s="14">
        <v>5366.15</v>
      </c>
      <c r="C481" s="2">
        <f t="shared" si="28"/>
        <v>4.812328549092193E-3</v>
      </c>
      <c r="D481">
        <f t="shared" si="29"/>
        <v>1</v>
      </c>
      <c r="E481">
        <v>0.50081735654157211</v>
      </c>
      <c r="F481">
        <v>0.90482433967314313</v>
      </c>
      <c r="G481">
        <v>0.10859740610863226</v>
      </c>
      <c r="I481">
        <v>0.9050739692738643</v>
      </c>
      <c r="J481">
        <v>0.10839605505132628</v>
      </c>
      <c r="K481">
        <f t="shared" si="30"/>
        <v>1</v>
      </c>
      <c r="L481" t="b">
        <f t="shared" si="31"/>
        <v>1</v>
      </c>
    </row>
    <row r="482" spans="1:12" x14ac:dyDescent="0.35">
      <c r="A482" s="13">
        <v>43061</v>
      </c>
      <c r="B482" s="14">
        <v>5352.76</v>
      </c>
      <c r="C482" s="2">
        <f t="shared" si="28"/>
        <v>-2.495271283881273E-3</v>
      </c>
      <c r="D482">
        <f t="shared" si="29"/>
        <v>0</v>
      </c>
      <c r="E482">
        <v>0.50119728900602123</v>
      </c>
      <c r="F482">
        <v>0.9050739692738643</v>
      </c>
      <c r="G482">
        <v>0.10839605505132628</v>
      </c>
      <c r="I482">
        <v>0.90477248024978707</v>
      </c>
      <c r="J482">
        <v>0.10814541874072345</v>
      </c>
      <c r="K482">
        <f t="shared" si="30"/>
        <v>1</v>
      </c>
      <c r="L482" t="b">
        <f t="shared" si="31"/>
        <v>0</v>
      </c>
    </row>
    <row r="483" spans="1:12" x14ac:dyDescent="0.35">
      <c r="A483" s="13">
        <v>43062</v>
      </c>
      <c r="B483" s="14">
        <v>5379.54</v>
      </c>
      <c r="C483" s="2">
        <f t="shared" si="28"/>
        <v>5.0030264760609899E-3</v>
      </c>
      <c r="D483">
        <f t="shared" si="29"/>
        <v>1</v>
      </c>
      <c r="E483">
        <v>0.4995656947336371</v>
      </c>
      <c r="F483">
        <v>0.90477248024978707</v>
      </c>
      <c r="G483">
        <v>0.10814541874072345</v>
      </c>
      <c r="I483">
        <v>0.9046163904486294</v>
      </c>
      <c r="J483">
        <v>0.108446450300372</v>
      </c>
      <c r="K483">
        <f t="shared" si="30"/>
        <v>0</v>
      </c>
      <c r="L483" t="b">
        <f t="shared" si="31"/>
        <v>0</v>
      </c>
    </row>
    <row r="484" spans="1:12" x14ac:dyDescent="0.35">
      <c r="A484" s="13">
        <v>43063</v>
      </c>
      <c r="B484" s="14">
        <v>5390.46</v>
      </c>
      <c r="C484" s="2">
        <f t="shared" si="28"/>
        <v>2.029913338315259E-3</v>
      </c>
      <c r="D484">
        <f t="shared" si="29"/>
        <v>1</v>
      </c>
      <c r="E484">
        <v>0.50106380250452787</v>
      </c>
      <c r="F484">
        <v>0.9046163904486294</v>
      </c>
      <c r="G484">
        <v>0.108446450300372</v>
      </c>
      <c r="I484">
        <v>0.90492841291193182</v>
      </c>
      <c r="J484">
        <v>0.10829082835906709</v>
      </c>
      <c r="K484">
        <f t="shared" si="30"/>
        <v>1</v>
      </c>
      <c r="L484" t="b">
        <f t="shared" si="31"/>
        <v>1</v>
      </c>
    </row>
    <row r="485" spans="1:12" x14ac:dyDescent="0.35">
      <c r="A485" s="13">
        <v>43066</v>
      </c>
      <c r="B485" s="14">
        <v>5360.09</v>
      </c>
      <c r="C485" s="2">
        <f t="shared" si="28"/>
        <v>-5.6340275226974823E-3</v>
      </c>
      <c r="D485">
        <f t="shared" si="29"/>
        <v>0</v>
      </c>
      <c r="E485">
        <v>0.50059467675384373</v>
      </c>
      <c r="F485">
        <v>0.90492841291193182</v>
      </c>
      <c r="G485">
        <v>0.10829082835906709</v>
      </c>
      <c r="I485">
        <v>0.90480139261518111</v>
      </c>
      <c r="J485">
        <v>0.10797776774921444</v>
      </c>
      <c r="K485">
        <f t="shared" si="30"/>
        <v>1</v>
      </c>
      <c r="L485" t="b">
        <f t="shared" si="31"/>
        <v>0</v>
      </c>
    </row>
    <row r="486" spans="1:12" x14ac:dyDescent="0.35">
      <c r="A486" s="13">
        <v>43067</v>
      </c>
      <c r="B486" s="14">
        <v>5390.48</v>
      </c>
      <c r="C486" s="2">
        <f t="shared" si="28"/>
        <v>5.6696809195366793E-3</v>
      </c>
      <c r="D486">
        <f t="shared" si="29"/>
        <v>1</v>
      </c>
      <c r="E486">
        <v>0.49878037980948542</v>
      </c>
      <c r="F486">
        <v>0.90480139261518111</v>
      </c>
      <c r="G486">
        <v>0.10797776774921444</v>
      </c>
      <c r="I486">
        <v>0.90444840907352442</v>
      </c>
      <c r="J486">
        <v>0.10810494604156888</v>
      </c>
      <c r="K486">
        <f t="shared" si="30"/>
        <v>0</v>
      </c>
      <c r="L486" t="b">
        <f t="shared" si="31"/>
        <v>0</v>
      </c>
    </row>
    <row r="487" spans="1:12" x14ac:dyDescent="0.35">
      <c r="A487" s="13">
        <v>43068</v>
      </c>
      <c r="B487" s="14">
        <v>5398.05</v>
      </c>
      <c r="C487" s="2">
        <f t="shared" si="28"/>
        <v>1.4043276294506413E-3</v>
      </c>
      <c r="D487">
        <f t="shared" si="29"/>
        <v>1</v>
      </c>
      <c r="E487">
        <v>0.5011297149891597</v>
      </c>
      <c r="F487">
        <v>0.90444840907352442</v>
      </c>
      <c r="G487">
        <v>0.10810494604156888</v>
      </c>
      <c r="I487">
        <v>0.90480196168565197</v>
      </c>
      <c r="J487">
        <v>0.10775361672062171</v>
      </c>
      <c r="K487">
        <f t="shared" si="30"/>
        <v>1</v>
      </c>
      <c r="L487" t="b">
        <f t="shared" si="31"/>
        <v>1</v>
      </c>
    </row>
    <row r="488" spans="1:12" x14ac:dyDescent="0.35">
      <c r="A488" s="13">
        <v>43069</v>
      </c>
      <c r="B488" s="14">
        <v>5372.79</v>
      </c>
      <c r="C488" s="2">
        <f t="shared" si="28"/>
        <v>-4.679467585517072E-3</v>
      </c>
      <c r="D488">
        <f t="shared" si="29"/>
        <v>0</v>
      </c>
      <c r="E488">
        <v>0.50047039161590001</v>
      </c>
      <c r="F488">
        <v>0.90480196168565197</v>
      </c>
      <c r="G488">
        <v>0.10775361672062171</v>
      </c>
      <c r="I488">
        <v>0.90471410871357483</v>
      </c>
      <c r="J488">
        <v>0.10739892860577968</v>
      </c>
      <c r="K488">
        <f t="shared" si="30"/>
        <v>1</v>
      </c>
      <c r="L488" t="b">
        <f t="shared" si="31"/>
        <v>0</v>
      </c>
    </row>
    <row r="489" spans="1:12" x14ac:dyDescent="0.35">
      <c r="A489" s="13">
        <v>43070</v>
      </c>
      <c r="B489" s="14">
        <v>5316.89</v>
      </c>
      <c r="C489" s="2">
        <f t="shared" si="28"/>
        <v>-1.0404277851916666E-2</v>
      </c>
      <c r="D489">
        <f t="shared" si="29"/>
        <v>0</v>
      </c>
      <c r="E489">
        <v>0.49897931215204439</v>
      </c>
      <c r="F489">
        <v>0.90471410871357483</v>
      </c>
      <c r="G489">
        <v>0.10739892860577968</v>
      </c>
      <c r="I489">
        <v>0.90500597718692355</v>
      </c>
      <c r="J489">
        <v>0.10731133766646903</v>
      </c>
      <c r="K489">
        <f t="shared" si="30"/>
        <v>0</v>
      </c>
      <c r="L489" t="b">
        <f t="shared" si="31"/>
        <v>1</v>
      </c>
    </row>
    <row r="490" spans="1:12" x14ac:dyDescent="0.35">
      <c r="A490" s="13">
        <v>43073</v>
      </c>
      <c r="B490" s="14">
        <v>5389.29</v>
      </c>
      <c r="C490" s="2">
        <f t="shared" si="28"/>
        <v>1.3616982860281013E-2</v>
      </c>
      <c r="D490">
        <f t="shared" si="29"/>
        <v>1</v>
      </c>
      <c r="E490">
        <v>0.49752049693278294</v>
      </c>
      <c r="F490">
        <v>0.90500597718692355</v>
      </c>
      <c r="G490">
        <v>0.10731133766646903</v>
      </c>
      <c r="I490">
        <v>0.90435250121183064</v>
      </c>
      <c r="J490">
        <v>0.10701742782602797</v>
      </c>
      <c r="K490">
        <f t="shared" si="30"/>
        <v>0</v>
      </c>
      <c r="L490" t="b">
        <f t="shared" si="31"/>
        <v>0</v>
      </c>
    </row>
    <row r="491" spans="1:12" x14ac:dyDescent="0.35">
      <c r="A491" s="13">
        <v>43074</v>
      </c>
      <c r="B491" s="14">
        <v>5375.53</v>
      </c>
      <c r="C491" s="2">
        <f t="shared" si="28"/>
        <v>-2.5532120186518847E-3</v>
      </c>
      <c r="D491">
        <f t="shared" si="29"/>
        <v>0</v>
      </c>
      <c r="E491">
        <v>0.50280024908594223</v>
      </c>
      <c r="F491">
        <v>0.90435250121183064</v>
      </c>
      <c r="G491">
        <v>0.10701742782602797</v>
      </c>
      <c r="I491">
        <v>0.90349670025862217</v>
      </c>
      <c r="J491">
        <v>0.10767131650272509</v>
      </c>
      <c r="K491">
        <f t="shared" si="30"/>
        <v>1</v>
      </c>
      <c r="L491" t="b">
        <f t="shared" si="31"/>
        <v>0</v>
      </c>
    </row>
    <row r="492" spans="1:12" x14ac:dyDescent="0.35">
      <c r="A492" s="13">
        <v>43075</v>
      </c>
      <c r="B492" s="14">
        <v>5374.35</v>
      </c>
      <c r="C492" s="2">
        <f t="shared" si="28"/>
        <v>-2.1951323869451311E-4</v>
      </c>
      <c r="D492">
        <f t="shared" si="29"/>
        <v>0</v>
      </c>
      <c r="E492">
        <v>0.49978983497173934</v>
      </c>
      <c r="F492">
        <v>0.90349670025862217</v>
      </c>
      <c r="G492">
        <v>0.10767131650272509</v>
      </c>
      <c r="I492">
        <v>0.90365620890712184</v>
      </c>
      <c r="J492">
        <v>0.10682061295095606</v>
      </c>
      <c r="K492">
        <f t="shared" si="30"/>
        <v>0</v>
      </c>
      <c r="L492" t="b">
        <f t="shared" si="31"/>
        <v>1</v>
      </c>
    </row>
    <row r="493" spans="1:12" x14ac:dyDescent="0.35">
      <c r="A493" s="13">
        <v>43076</v>
      </c>
      <c r="B493" s="14">
        <v>5383.86</v>
      </c>
      <c r="C493" s="2">
        <f t="shared" si="28"/>
        <v>1.769516313600672E-3</v>
      </c>
      <c r="D493">
        <f t="shared" si="29"/>
        <v>1</v>
      </c>
      <c r="E493">
        <v>0.49988222495870077</v>
      </c>
      <c r="F493">
        <v>0.90365620890712184</v>
      </c>
      <c r="G493">
        <v>0.10682061295095606</v>
      </c>
      <c r="I493">
        <v>0.90364248609881725</v>
      </c>
      <c r="J493">
        <v>0.10666099962056491</v>
      </c>
      <c r="K493">
        <f t="shared" si="30"/>
        <v>0</v>
      </c>
      <c r="L493" t="b">
        <f t="shared" si="31"/>
        <v>0</v>
      </c>
    </row>
    <row r="494" spans="1:12" x14ac:dyDescent="0.35">
      <c r="A494" s="13">
        <v>43077</v>
      </c>
      <c r="B494" s="14">
        <v>5399.09</v>
      </c>
      <c r="C494" s="2">
        <f t="shared" si="28"/>
        <v>2.8288254152226688E-3</v>
      </c>
      <c r="D494">
        <f t="shared" si="29"/>
        <v>1</v>
      </c>
      <c r="E494">
        <v>0.5003938990733483</v>
      </c>
      <c r="F494">
        <v>0.90364248609881725</v>
      </c>
      <c r="G494">
        <v>0.10666099962056491</v>
      </c>
      <c r="I494">
        <v>0.90375299367347883</v>
      </c>
      <c r="J494">
        <v>0.10664729085991219</v>
      </c>
      <c r="K494">
        <f t="shared" si="30"/>
        <v>1</v>
      </c>
      <c r="L494" t="b">
        <f t="shared" si="31"/>
        <v>1</v>
      </c>
    </row>
    <row r="495" spans="1:12" x14ac:dyDescent="0.35">
      <c r="A495" s="13">
        <v>43080</v>
      </c>
      <c r="B495" s="14">
        <v>5386.83</v>
      </c>
      <c r="C495" s="2">
        <f t="shared" si="28"/>
        <v>-2.2707530343076821E-3</v>
      </c>
      <c r="D495">
        <f t="shared" si="29"/>
        <v>0</v>
      </c>
      <c r="E495">
        <v>0.50068631795860352</v>
      </c>
      <c r="F495">
        <v>0.90375299367347883</v>
      </c>
      <c r="G495">
        <v>0.10664729085991219</v>
      </c>
      <c r="I495">
        <v>0.90357594973439115</v>
      </c>
      <c r="J495">
        <v>0.10653654449262001</v>
      </c>
      <c r="K495">
        <f t="shared" si="30"/>
        <v>1</v>
      </c>
      <c r="L495" t="b">
        <f t="shared" si="31"/>
        <v>0</v>
      </c>
    </row>
    <row r="496" spans="1:12" x14ac:dyDescent="0.35">
      <c r="A496" s="13">
        <v>43081</v>
      </c>
      <c r="B496" s="14">
        <v>5427.19</v>
      </c>
      <c r="C496" s="2">
        <f t="shared" si="28"/>
        <v>7.4923470761096844E-3</v>
      </c>
      <c r="D496">
        <f t="shared" si="29"/>
        <v>1</v>
      </c>
      <c r="E496">
        <v>0.49956239397551588</v>
      </c>
      <c r="F496">
        <v>0.90357594973439115</v>
      </c>
      <c r="G496">
        <v>0.10653654449262001</v>
      </c>
      <c r="I496">
        <v>0.90343390356665287</v>
      </c>
      <c r="J496">
        <v>0.10671350068440405</v>
      </c>
      <c r="K496">
        <f t="shared" si="30"/>
        <v>0</v>
      </c>
      <c r="L496" t="b">
        <f t="shared" si="31"/>
        <v>0</v>
      </c>
    </row>
    <row r="497" spans="1:12" x14ac:dyDescent="0.35">
      <c r="A497" s="13">
        <v>43082</v>
      </c>
      <c r="B497" s="14">
        <v>5399.45</v>
      </c>
      <c r="C497" s="2">
        <f t="shared" si="28"/>
        <v>-5.1113006915179948E-3</v>
      </c>
      <c r="D497">
        <f t="shared" si="29"/>
        <v>0</v>
      </c>
      <c r="E497">
        <v>0.50163162429844532</v>
      </c>
      <c r="F497">
        <v>0.90343390356665287</v>
      </c>
      <c r="G497">
        <v>0.10671350068440405</v>
      </c>
      <c r="I497">
        <v>0.90296410879025313</v>
      </c>
      <c r="J497">
        <v>0.1068558843597964</v>
      </c>
      <c r="K497">
        <f t="shared" si="30"/>
        <v>1</v>
      </c>
      <c r="L497" t="b">
        <f t="shared" si="31"/>
        <v>0</v>
      </c>
    </row>
    <row r="498" spans="1:12" x14ac:dyDescent="0.35">
      <c r="A498" s="13">
        <v>43083</v>
      </c>
      <c r="B498" s="14">
        <v>5357.14</v>
      </c>
      <c r="C498" s="2">
        <f t="shared" si="28"/>
        <v>-7.8359832945946728E-3</v>
      </c>
      <c r="D498">
        <f t="shared" si="29"/>
        <v>0</v>
      </c>
      <c r="E498">
        <v>0.49904632123126924</v>
      </c>
      <c r="F498">
        <v>0.90296410879025313</v>
      </c>
      <c r="G498">
        <v>0.1068558843597964</v>
      </c>
      <c r="I498">
        <v>0.90328295460613484</v>
      </c>
      <c r="J498">
        <v>0.10638850752941041</v>
      </c>
      <c r="K498">
        <f t="shared" si="30"/>
        <v>0</v>
      </c>
      <c r="L498" t="b">
        <f t="shared" si="31"/>
        <v>1</v>
      </c>
    </row>
    <row r="499" spans="1:12" x14ac:dyDescent="0.35">
      <c r="A499" s="13">
        <v>43084</v>
      </c>
      <c r="B499" s="14">
        <v>5349.3</v>
      </c>
      <c r="C499" s="2">
        <f t="shared" si="28"/>
        <v>-1.4634674471826203E-3</v>
      </c>
      <c r="D499">
        <f t="shared" si="29"/>
        <v>0</v>
      </c>
      <c r="E499">
        <v>0.49809453577587165</v>
      </c>
      <c r="F499">
        <v>0.90328295460613484</v>
      </c>
      <c r="G499">
        <v>0.10638850752941041</v>
      </c>
      <c r="I499">
        <v>0.90377083007821435</v>
      </c>
      <c r="J499">
        <v>0.1067067417757155</v>
      </c>
      <c r="K499">
        <f t="shared" si="30"/>
        <v>0</v>
      </c>
      <c r="L499" t="b">
        <f t="shared" si="31"/>
        <v>1</v>
      </c>
    </row>
    <row r="500" spans="1:12" x14ac:dyDescent="0.35">
      <c r="A500" s="13">
        <v>43087</v>
      </c>
      <c r="B500" s="14">
        <v>5420.58</v>
      </c>
      <c r="C500" s="2">
        <f t="shared" si="28"/>
        <v>1.332510795805053E-2</v>
      </c>
      <c r="D500">
        <f t="shared" si="29"/>
        <v>1</v>
      </c>
      <c r="E500">
        <v>0.49946030235072275</v>
      </c>
      <c r="F500">
        <v>0.90377083007821435</v>
      </c>
      <c r="G500">
        <v>0.1067067417757155</v>
      </c>
      <c r="I500">
        <v>0.90367926474070515</v>
      </c>
      <c r="J500">
        <v>0.10621646475830243</v>
      </c>
      <c r="K500">
        <f t="shared" si="30"/>
        <v>0</v>
      </c>
      <c r="L500" t="b">
        <f t="shared" si="31"/>
        <v>0</v>
      </c>
    </row>
    <row r="501" spans="1:12" x14ac:dyDescent="0.35">
      <c r="A501" s="13">
        <v>43088</v>
      </c>
      <c r="B501" s="14">
        <v>5382.91</v>
      </c>
      <c r="C501" s="2">
        <f t="shared" si="28"/>
        <v>-6.9494408347445802E-3</v>
      </c>
      <c r="D501">
        <f t="shared" si="29"/>
        <v>0</v>
      </c>
      <c r="E501">
        <v>0.50297150987109207</v>
      </c>
      <c r="F501">
        <v>0.90367926474070515</v>
      </c>
      <c r="G501">
        <v>0.10621646475830243</v>
      </c>
      <c r="I501">
        <v>0.90284152562165632</v>
      </c>
      <c r="J501">
        <v>0.10630847181249059</v>
      </c>
      <c r="K501">
        <f t="shared" si="30"/>
        <v>1</v>
      </c>
      <c r="L501" t="b">
        <f t="shared" si="31"/>
        <v>0</v>
      </c>
    </row>
    <row r="502" spans="1:12" x14ac:dyDescent="0.35">
      <c r="A502" s="13">
        <v>43089</v>
      </c>
      <c r="B502" s="14">
        <v>5352.77</v>
      </c>
      <c r="C502" s="2">
        <f t="shared" si="28"/>
        <v>-5.599201918664698E-3</v>
      </c>
      <c r="D502">
        <f t="shared" si="29"/>
        <v>0</v>
      </c>
      <c r="E502">
        <v>0.49878558441261839</v>
      </c>
      <c r="F502">
        <v>0.90284152562165632</v>
      </c>
      <c r="G502">
        <v>0.10630847181249059</v>
      </c>
      <c r="I502">
        <v>0.90327480817912409</v>
      </c>
      <c r="J502">
        <v>0.10547768024351528</v>
      </c>
      <c r="K502">
        <f t="shared" si="30"/>
        <v>0</v>
      </c>
      <c r="L502" t="b">
        <f t="shared" si="31"/>
        <v>1</v>
      </c>
    </row>
    <row r="503" spans="1:12" x14ac:dyDescent="0.35">
      <c r="A503" s="13">
        <v>43090</v>
      </c>
      <c r="B503" s="14">
        <v>5385.97</v>
      </c>
      <c r="C503" s="2">
        <f t="shared" si="28"/>
        <v>6.2023961425579088E-3</v>
      </c>
      <c r="D503">
        <f t="shared" si="29"/>
        <v>1</v>
      </c>
      <c r="E503">
        <v>0.49855234681082977</v>
      </c>
      <c r="F503">
        <v>0.90327480817912409</v>
      </c>
      <c r="G503">
        <v>0.10547768024351528</v>
      </c>
      <c r="I503">
        <v>0.90292384778844836</v>
      </c>
      <c r="J503">
        <v>0.10504208629534746</v>
      </c>
      <c r="K503">
        <f t="shared" si="30"/>
        <v>0</v>
      </c>
      <c r="L503" t="b">
        <f t="shared" si="31"/>
        <v>0</v>
      </c>
    </row>
    <row r="504" spans="1:12" x14ac:dyDescent="0.35">
      <c r="A504" s="13">
        <v>43091</v>
      </c>
      <c r="B504" s="14">
        <v>5364.72</v>
      </c>
      <c r="C504" s="2">
        <f t="shared" si="28"/>
        <v>-3.9454360124545618E-3</v>
      </c>
      <c r="D504">
        <f t="shared" si="29"/>
        <v>0</v>
      </c>
      <c r="E504">
        <v>0.50125303226168105</v>
      </c>
      <c r="F504">
        <v>0.90292384778844836</v>
      </c>
      <c r="G504">
        <v>0.10504208629534746</v>
      </c>
      <c r="I504">
        <v>0.90253522899491123</v>
      </c>
      <c r="J504">
        <v>0.10539291120952408</v>
      </c>
      <c r="K504">
        <f t="shared" si="30"/>
        <v>1</v>
      </c>
      <c r="L504" t="b">
        <f t="shared" si="31"/>
        <v>0</v>
      </c>
    </row>
    <row r="505" spans="1:12" x14ac:dyDescent="0.35">
      <c r="A505" s="13">
        <v>43096</v>
      </c>
      <c r="B505" s="14">
        <v>5368.84</v>
      </c>
      <c r="C505" s="2">
        <f t="shared" si="28"/>
        <v>7.679804351392594E-4</v>
      </c>
      <c r="D505">
        <f t="shared" si="29"/>
        <v>1</v>
      </c>
      <c r="E505">
        <v>0.49927319890963939</v>
      </c>
      <c r="F505">
        <v>0.90253522899491123</v>
      </c>
      <c r="G505">
        <v>0.10539291120952408</v>
      </c>
      <c r="I505">
        <v>0.90228828132252481</v>
      </c>
      <c r="J505">
        <v>0.10578112363669007</v>
      </c>
      <c r="K505">
        <f t="shared" si="30"/>
        <v>0</v>
      </c>
      <c r="L505" t="b">
        <f t="shared" si="31"/>
        <v>0</v>
      </c>
    </row>
    <row r="506" spans="1:12" x14ac:dyDescent="0.35">
      <c r="A506" s="13">
        <v>43097</v>
      </c>
      <c r="B506" s="14">
        <v>5339.42</v>
      </c>
      <c r="C506" s="2">
        <f t="shared" si="28"/>
        <v>-5.4797684416000303E-3</v>
      </c>
      <c r="D506">
        <f t="shared" si="29"/>
        <v>0</v>
      </c>
      <c r="E506">
        <v>0.50006889677263322</v>
      </c>
      <c r="F506">
        <v>0.90228828132252481</v>
      </c>
      <c r="G506">
        <v>0.10578112363669007</v>
      </c>
      <c r="I506">
        <v>0.90224027593231837</v>
      </c>
      <c r="J506">
        <v>0.1060277473612618</v>
      </c>
      <c r="K506">
        <f t="shared" si="30"/>
        <v>1</v>
      </c>
      <c r="L506" t="b">
        <f t="shared" si="31"/>
        <v>0</v>
      </c>
    </row>
    <row r="507" spans="1:12" x14ac:dyDescent="0.35">
      <c r="A507" s="13">
        <v>43098</v>
      </c>
      <c r="B507" s="14">
        <v>5312.56</v>
      </c>
      <c r="C507" s="2">
        <f t="shared" si="28"/>
        <v>-5.0305089316816654E-3</v>
      </c>
      <c r="D507">
        <f t="shared" si="29"/>
        <v>0</v>
      </c>
      <c r="E507">
        <v>0.49878434225656926</v>
      </c>
      <c r="F507">
        <v>0.90224027593231837</v>
      </c>
      <c r="G507">
        <v>0.1060277473612618</v>
      </c>
      <c r="I507">
        <v>0.90258192674994042</v>
      </c>
      <c r="J507">
        <v>0.10597986556728103</v>
      </c>
      <c r="K507">
        <f t="shared" si="30"/>
        <v>0</v>
      </c>
      <c r="L507" t="b">
        <f t="shared" si="31"/>
        <v>1</v>
      </c>
    </row>
    <row r="508" spans="1:12" x14ac:dyDescent="0.35">
      <c r="A508" s="13">
        <v>43102</v>
      </c>
      <c r="B508" s="14">
        <v>5288.6</v>
      </c>
      <c r="C508" s="2">
        <f t="shared" si="28"/>
        <v>-4.5100667098347813E-3</v>
      </c>
      <c r="D508">
        <f t="shared" si="29"/>
        <v>0</v>
      </c>
      <c r="E508">
        <v>0.49871970490643036</v>
      </c>
      <c r="F508">
        <v>0.90258192674994042</v>
      </c>
      <c r="G508">
        <v>0.10597986556728103</v>
      </c>
      <c r="I508">
        <v>0.90289552643501447</v>
      </c>
      <c r="J508">
        <v>0.10632147189000157</v>
      </c>
      <c r="K508">
        <f t="shared" si="30"/>
        <v>0</v>
      </c>
      <c r="L508" t="b">
        <f t="shared" si="31"/>
        <v>1</v>
      </c>
    </row>
    <row r="509" spans="1:12" x14ac:dyDescent="0.35">
      <c r="A509" s="13">
        <v>43103</v>
      </c>
      <c r="B509" s="14">
        <v>5331.28</v>
      </c>
      <c r="C509" s="2">
        <f t="shared" si="28"/>
        <v>8.0701887077865297E-3</v>
      </c>
      <c r="D509">
        <f t="shared" si="29"/>
        <v>1</v>
      </c>
      <c r="E509">
        <v>0.49884825949450967</v>
      </c>
      <c r="F509">
        <v>0.90289552643501447</v>
      </c>
      <c r="G509">
        <v>0.10632147189000157</v>
      </c>
      <c r="I509">
        <v>0.9026129994614388</v>
      </c>
      <c r="J509">
        <v>0.10600634252375209</v>
      </c>
      <c r="K509">
        <f t="shared" si="30"/>
        <v>0</v>
      </c>
      <c r="L509" t="b">
        <f t="shared" si="31"/>
        <v>0</v>
      </c>
    </row>
    <row r="510" spans="1:12" x14ac:dyDescent="0.35">
      <c r="A510" s="13">
        <v>43104</v>
      </c>
      <c r="B510" s="14">
        <v>5413.69</v>
      </c>
      <c r="C510" s="2">
        <f t="shared" si="28"/>
        <v>1.5457826263111318E-2</v>
      </c>
      <c r="D510">
        <f t="shared" si="29"/>
        <v>1</v>
      </c>
      <c r="E510">
        <v>0.50170153382136751</v>
      </c>
      <c r="F510">
        <v>0.9026129994614388</v>
      </c>
      <c r="G510">
        <v>0.10600634252375209</v>
      </c>
      <c r="I510">
        <v>0.9031156639719371</v>
      </c>
      <c r="J510">
        <v>0.10572542586156469</v>
      </c>
      <c r="K510">
        <f t="shared" si="30"/>
        <v>1</v>
      </c>
      <c r="L510" t="b">
        <f t="shared" si="31"/>
        <v>1</v>
      </c>
    </row>
    <row r="511" spans="1:12" x14ac:dyDescent="0.35">
      <c r="A511" s="13">
        <v>43105</v>
      </c>
      <c r="B511" s="14">
        <v>5470.75</v>
      </c>
      <c r="C511" s="2">
        <f t="shared" si="28"/>
        <v>1.0539945951836938E-2</v>
      </c>
      <c r="D511">
        <f t="shared" si="29"/>
        <v>1</v>
      </c>
      <c r="E511">
        <v>0.50370328957191213</v>
      </c>
      <c r="F511">
        <v>0.9031156639719371</v>
      </c>
      <c r="G511">
        <v>0.10572542586156469</v>
      </c>
      <c r="I511">
        <v>0.90407456990654467</v>
      </c>
      <c r="J511">
        <v>0.10622604941067051</v>
      </c>
      <c r="K511">
        <f t="shared" si="30"/>
        <v>1</v>
      </c>
      <c r="L511" t="b">
        <f t="shared" si="31"/>
        <v>1</v>
      </c>
    </row>
    <row r="512" spans="1:12" x14ac:dyDescent="0.35">
      <c r="A512" s="13">
        <v>43108</v>
      </c>
      <c r="B512" s="14">
        <v>5487.42</v>
      </c>
      <c r="C512" s="2">
        <f t="shared" si="28"/>
        <v>3.0471141982360006E-3</v>
      </c>
      <c r="D512">
        <f t="shared" si="29"/>
        <v>1</v>
      </c>
      <c r="E512">
        <v>0.50279270118833064</v>
      </c>
      <c r="F512">
        <v>0.90407456990654467</v>
      </c>
      <c r="G512">
        <v>0.10622604941067051</v>
      </c>
      <c r="I512">
        <v>0.90472961672763674</v>
      </c>
      <c r="J512">
        <v>0.1071867374446429</v>
      </c>
      <c r="K512">
        <f t="shared" si="30"/>
        <v>1</v>
      </c>
      <c r="L512" t="b">
        <f t="shared" si="31"/>
        <v>1</v>
      </c>
    </row>
    <row r="513" spans="1:12" x14ac:dyDescent="0.35">
      <c r="A513" s="13">
        <v>43109</v>
      </c>
      <c r="B513" s="14">
        <v>5523.94</v>
      </c>
      <c r="C513" s="2">
        <f t="shared" si="28"/>
        <v>6.6552223084801465E-3</v>
      </c>
      <c r="D513">
        <f t="shared" si="29"/>
        <v>1</v>
      </c>
      <c r="E513">
        <v>0.50097163799695366</v>
      </c>
      <c r="F513">
        <v>0.90472961672763674</v>
      </c>
      <c r="G513">
        <v>0.1071867374446429</v>
      </c>
      <c r="I513">
        <v>0.90491969056075183</v>
      </c>
      <c r="J513">
        <v>0.1078442014573312</v>
      </c>
      <c r="K513">
        <f t="shared" si="30"/>
        <v>1</v>
      </c>
      <c r="L513" t="b">
        <f t="shared" si="31"/>
        <v>1</v>
      </c>
    </row>
    <row r="514" spans="1:12" x14ac:dyDescent="0.35">
      <c r="A514" s="13">
        <v>43110</v>
      </c>
      <c r="B514" s="14">
        <v>5504.68</v>
      </c>
      <c r="C514" s="2">
        <f t="shared" si="28"/>
        <v>-3.486641781047406E-3</v>
      </c>
      <c r="D514">
        <f t="shared" si="29"/>
        <v>0</v>
      </c>
      <c r="E514">
        <v>0.50158775849039605</v>
      </c>
      <c r="F514">
        <v>0.90491969056075183</v>
      </c>
      <c r="G514">
        <v>0.1078442014573312</v>
      </c>
      <c r="I514">
        <v>0.90450242251349122</v>
      </c>
      <c r="J514">
        <v>0.10765315398628608</v>
      </c>
      <c r="K514">
        <f t="shared" si="30"/>
        <v>1</v>
      </c>
      <c r="L514" t="b">
        <f t="shared" si="31"/>
        <v>0</v>
      </c>
    </row>
    <row r="515" spans="1:12" x14ac:dyDescent="0.35">
      <c r="A515" s="13">
        <v>43111</v>
      </c>
      <c r="B515" s="14">
        <v>5488.55</v>
      </c>
      <c r="C515" s="2">
        <f t="shared" si="28"/>
        <v>-2.9302339100547581E-3</v>
      </c>
      <c r="D515">
        <f t="shared" si="29"/>
        <v>0</v>
      </c>
      <c r="E515">
        <v>0.49939069523525637</v>
      </c>
      <c r="F515">
        <v>0.90450242251349122</v>
      </c>
      <c r="G515">
        <v>0.10765315398628608</v>
      </c>
      <c r="I515">
        <v>0.90472007174816382</v>
      </c>
      <c r="J515">
        <v>0.10723771009127786</v>
      </c>
      <c r="K515">
        <f t="shared" si="30"/>
        <v>0</v>
      </c>
      <c r="L515" t="b">
        <f t="shared" si="31"/>
        <v>1</v>
      </c>
    </row>
    <row r="516" spans="1:12" x14ac:dyDescent="0.35">
      <c r="A516" s="13">
        <v>43112</v>
      </c>
      <c r="B516" s="14">
        <v>5517.06</v>
      </c>
      <c r="C516" s="2">
        <f t="shared" ref="C516:C579" si="32">(B516/B515)-1</f>
        <v>5.1944502646419366E-3</v>
      </c>
      <c r="D516">
        <f t="shared" si="29"/>
        <v>1</v>
      </c>
      <c r="E516">
        <v>0.49924376534818277</v>
      </c>
      <c r="F516">
        <v>0.90472007174816382</v>
      </c>
      <c r="G516">
        <v>0.10723771009127786</v>
      </c>
      <c r="I516">
        <v>0.90453665555530993</v>
      </c>
      <c r="J516">
        <v>0.10701946588929433</v>
      </c>
      <c r="K516">
        <f t="shared" si="30"/>
        <v>0</v>
      </c>
      <c r="L516" t="b">
        <f t="shared" si="31"/>
        <v>0</v>
      </c>
    </row>
    <row r="517" spans="1:12" x14ac:dyDescent="0.35">
      <c r="A517" s="13">
        <v>43116</v>
      </c>
      <c r="B517" s="14">
        <v>5513.82</v>
      </c>
      <c r="C517" s="2">
        <f t="shared" si="32"/>
        <v>-5.8726930647856612E-4</v>
      </c>
      <c r="D517">
        <f t="shared" si="29"/>
        <v>0</v>
      </c>
      <c r="E517">
        <v>0.5010962428939113</v>
      </c>
      <c r="F517">
        <v>0.90453665555530993</v>
      </c>
      <c r="G517">
        <v>0.10701946588929433</v>
      </c>
      <c r="I517">
        <v>0.90421129218039831</v>
      </c>
      <c r="J517">
        <v>0.10720300615740423</v>
      </c>
      <c r="K517">
        <f t="shared" si="30"/>
        <v>1</v>
      </c>
      <c r="L517" t="b">
        <f t="shared" si="31"/>
        <v>0</v>
      </c>
    </row>
    <row r="518" spans="1:12" x14ac:dyDescent="0.35">
      <c r="A518" s="13">
        <v>43117</v>
      </c>
      <c r="B518" s="14">
        <v>5493.99</v>
      </c>
      <c r="C518" s="2">
        <f t="shared" si="32"/>
        <v>-3.5964177285439103E-3</v>
      </c>
      <c r="D518">
        <f t="shared" ref="D518:D581" si="33">IF(C518&gt;=0,1,0)</f>
        <v>0</v>
      </c>
      <c r="E518">
        <v>0.50000646128630866</v>
      </c>
      <c r="F518">
        <v>0.90421129218039831</v>
      </c>
      <c r="G518">
        <v>0.10720300615740423</v>
      </c>
      <c r="I518">
        <v>0.90424799698636149</v>
      </c>
      <c r="J518">
        <v>0.10687834882056453</v>
      </c>
      <c r="K518">
        <f t="shared" ref="K518:K581" si="34">IF(E518&gt;=0.5,1,0)</f>
        <v>1</v>
      </c>
      <c r="L518" t="b">
        <f t="shared" ref="L518:L581" si="35">IF(K518=D518,TRUE,FALSE)</f>
        <v>0</v>
      </c>
    </row>
    <row r="519" spans="1:12" x14ac:dyDescent="0.35">
      <c r="A519" s="13">
        <v>43118</v>
      </c>
      <c r="B519" s="14">
        <v>5494.83</v>
      </c>
      <c r="C519" s="2">
        <f t="shared" si="32"/>
        <v>1.5289434454746065E-4</v>
      </c>
      <c r="D519">
        <f t="shared" si="33"/>
        <v>1</v>
      </c>
      <c r="E519">
        <v>0.49917129578353098</v>
      </c>
      <c r="F519">
        <v>0.90424799698636149</v>
      </c>
      <c r="G519">
        <v>0.10687834882056453</v>
      </c>
      <c r="I519">
        <v>0.9040228489509945</v>
      </c>
      <c r="J519">
        <v>0.10684158375583482</v>
      </c>
      <c r="K519">
        <f t="shared" si="34"/>
        <v>0</v>
      </c>
      <c r="L519" t="b">
        <f t="shared" si="35"/>
        <v>0</v>
      </c>
    </row>
    <row r="520" spans="1:12" x14ac:dyDescent="0.35">
      <c r="A520" s="13">
        <v>43123</v>
      </c>
      <c r="B520" s="14">
        <v>5535.26</v>
      </c>
      <c r="C520" s="2">
        <f t="shared" si="32"/>
        <v>7.3578254468291693E-3</v>
      </c>
      <c r="D520">
        <f t="shared" si="33"/>
        <v>1</v>
      </c>
      <c r="E520">
        <v>0.49993849325405554</v>
      </c>
      <c r="F520">
        <v>0.9040228489509945</v>
      </c>
      <c r="G520">
        <v>0.10684158375583482</v>
      </c>
      <c r="I520">
        <v>0.90403240602288826</v>
      </c>
      <c r="J520">
        <v>0.10661678000070868</v>
      </c>
      <c r="K520">
        <f t="shared" si="34"/>
        <v>0</v>
      </c>
      <c r="L520" t="b">
        <f t="shared" si="35"/>
        <v>0</v>
      </c>
    </row>
    <row r="521" spans="1:12" x14ac:dyDescent="0.35">
      <c r="A521" s="13">
        <v>43124</v>
      </c>
      <c r="B521" s="14">
        <v>5495.16</v>
      </c>
      <c r="C521" s="2">
        <f t="shared" si="32"/>
        <v>-7.2444654812963138E-3</v>
      </c>
      <c r="D521">
        <f t="shared" si="33"/>
        <v>0</v>
      </c>
      <c r="E521">
        <v>0.50166699725956765</v>
      </c>
      <c r="F521">
        <v>0.90403240602288826</v>
      </c>
      <c r="G521">
        <v>0.10661678000070868</v>
      </c>
      <c r="I521">
        <v>0.90357101387677474</v>
      </c>
      <c r="J521">
        <v>0.10660719235144067</v>
      </c>
      <c r="K521">
        <f t="shared" si="34"/>
        <v>1</v>
      </c>
      <c r="L521" t="b">
        <f t="shared" si="35"/>
        <v>0</v>
      </c>
    </row>
    <row r="522" spans="1:12" x14ac:dyDescent="0.35">
      <c r="A522" s="13">
        <v>43125</v>
      </c>
      <c r="B522" s="14">
        <v>5481.21</v>
      </c>
      <c r="C522" s="2">
        <f t="shared" si="32"/>
        <v>-2.5385976022536116E-3</v>
      </c>
      <c r="D522">
        <f t="shared" si="33"/>
        <v>0</v>
      </c>
      <c r="E522">
        <v>0.49855963100758527</v>
      </c>
      <c r="F522">
        <v>0.90357101387677474</v>
      </c>
      <c r="G522">
        <v>0.10660719235144067</v>
      </c>
      <c r="I522">
        <v>0.90402248488479342</v>
      </c>
      <c r="J522">
        <v>0.10614865681422513</v>
      </c>
      <c r="K522">
        <f t="shared" si="34"/>
        <v>0</v>
      </c>
      <c r="L522" t="b">
        <f t="shared" si="35"/>
        <v>1</v>
      </c>
    </row>
    <row r="523" spans="1:12" x14ac:dyDescent="0.35">
      <c r="A523" s="13">
        <v>43126</v>
      </c>
      <c r="B523" s="14">
        <v>5529.15</v>
      </c>
      <c r="C523" s="2">
        <f t="shared" si="32"/>
        <v>8.7462439862731056E-3</v>
      </c>
      <c r="D523">
        <f t="shared" si="33"/>
        <v>1</v>
      </c>
      <c r="E523">
        <v>0.49923401570106529</v>
      </c>
      <c r="F523">
        <v>0.90402248488479342</v>
      </c>
      <c r="G523">
        <v>0.10614865681422513</v>
      </c>
      <c r="I523">
        <v>0.90386357984185406</v>
      </c>
      <c r="J523">
        <v>0.10569518514256027</v>
      </c>
      <c r="K523">
        <f t="shared" si="34"/>
        <v>0</v>
      </c>
      <c r="L523" t="b">
        <f t="shared" si="35"/>
        <v>0</v>
      </c>
    </row>
    <row r="524" spans="1:12" x14ac:dyDescent="0.35">
      <c r="A524" s="13">
        <v>43129</v>
      </c>
      <c r="B524" s="14">
        <v>5521.59</v>
      </c>
      <c r="C524" s="2">
        <f t="shared" si="32"/>
        <v>-1.3672987710587892E-3</v>
      </c>
      <c r="D524">
        <f t="shared" si="33"/>
        <v>0</v>
      </c>
      <c r="E524">
        <v>0.50190926418416493</v>
      </c>
      <c r="F524">
        <v>0.90386357984185406</v>
      </c>
      <c r="G524">
        <v>0.10569518514256027</v>
      </c>
      <c r="I524">
        <v>0.90331486023249785</v>
      </c>
      <c r="J524">
        <v>0.10585445102707108</v>
      </c>
      <c r="K524">
        <f t="shared" si="34"/>
        <v>1</v>
      </c>
      <c r="L524" t="b">
        <f t="shared" si="35"/>
        <v>0</v>
      </c>
    </row>
    <row r="525" spans="1:12" x14ac:dyDescent="0.35">
      <c r="A525" s="13">
        <v>43130</v>
      </c>
      <c r="B525" s="14">
        <v>5473.78</v>
      </c>
      <c r="C525" s="2">
        <f t="shared" si="32"/>
        <v>-8.6587377911073737E-3</v>
      </c>
      <c r="D525">
        <f t="shared" si="33"/>
        <v>0</v>
      </c>
      <c r="E525">
        <v>0.49992268188997646</v>
      </c>
      <c r="F525">
        <v>0.90331486023249785</v>
      </c>
      <c r="G525">
        <v>0.10585445102707108</v>
      </c>
      <c r="I525">
        <v>0.90340030318902631</v>
      </c>
      <c r="J525">
        <v>0.10530789532138031</v>
      </c>
      <c r="K525">
        <f t="shared" si="34"/>
        <v>0</v>
      </c>
      <c r="L525" t="b">
        <f t="shared" si="35"/>
        <v>1</v>
      </c>
    </row>
    <row r="526" spans="1:12" x14ac:dyDescent="0.35">
      <c r="A526" s="13">
        <v>43131</v>
      </c>
      <c r="B526" s="14">
        <v>5481.93</v>
      </c>
      <c r="C526" s="2">
        <f t="shared" si="32"/>
        <v>1.4889162516580345E-3</v>
      </c>
      <c r="D526">
        <f t="shared" si="33"/>
        <v>1</v>
      </c>
      <c r="E526">
        <v>0.49800843710694781</v>
      </c>
      <c r="F526">
        <v>0.90340030318902631</v>
      </c>
      <c r="G526">
        <v>0.10530789532138031</v>
      </c>
      <c r="I526">
        <v>0.90285698514450707</v>
      </c>
      <c r="J526">
        <v>0.10522210012668945</v>
      </c>
      <c r="K526">
        <f t="shared" si="34"/>
        <v>0</v>
      </c>
      <c r="L526" t="b">
        <f t="shared" si="35"/>
        <v>0</v>
      </c>
    </row>
    <row r="527" spans="1:12" x14ac:dyDescent="0.35">
      <c r="A527" s="13">
        <v>43132</v>
      </c>
      <c r="B527" s="14">
        <v>5454.55</v>
      </c>
      <c r="C527" s="2">
        <f t="shared" si="32"/>
        <v>-4.994591320939934E-3</v>
      </c>
      <c r="D527">
        <f t="shared" si="33"/>
        <v>0</v>
      </c>
      <c r="E527">
        <v>0.50010829696412595</v>
      </c>
      <c r="F527">
        <v>0.90285698514450707</v>
      </c>
      <c r="G527">
        <v>0.10522210012668945</v>
      </c>
      <c r="I527">
        <v>0.90276390772750625</v>
      </c>
      <c r="J527">
        <v>0.10576338842761723</v>
      </c>
      <c r="K527">
        <f t="shared" si="34"/>
        <v>1</v>
      </c>
      <c r="L527" t="b">
        <f t="shared" si="35"/>
        <v>0</v>
      </c>
    </row>
    <row r="528" spans="1:12" x14ac:dyDescent="0.35">
      <c r="A528" s="13">
        <v>43133</v>
      </c>
      <c r="B528" s="14">
        <v>5364.98</v>
      </c>
      <c r="C528" s="2">
        <f t="shared" si="32"/>
        <v>-1.6421152982372678E-2</v>
      </c>
      <c r="D528">
        <f t="shared" si="33"/>
        <v>0</v>
      </c>
      <c r="E528">
        <v>0.49891213572894688</v>
      </c>
      <c r="F528">
        <v>0.90276390772750625</v>
      </c>
      <c r="G528">
        <v>0.10576338842761723</v>
      </c>
      <c r="I528">
        <v>0.90307538903088869</v>
      </c>
      <c r="J528">
        <v>0.10567053406879326</v>
      </c>
      <c r="K528">
        <f t="shared" si="34"/>
        <v>0</v>
      </c>
      <c r="L528" t="b">
        <f t="shared" si="35"/>
        <v>1</v>
      </c>
    </row>
    <row r="529" spans="1:12" x14ac:dyDescent="0.35">
      <c r="A529" s="13">
        <v>43136</v>
      </c>
      <c r="B529" s="14">
        <v>5285.83</v>
      </c>
      <c r="C529" s="2">
        <f t="shared" si="32"/>
        <v>-1.4753083888476737E-2</v>
      </c>
      <c r="D529">
        <f t="shared" si="33"/>
        <v>0</v>
      </c>
      <c r="E529">
        <v>0.49616074539362703</v>
      </c>
      <c r="F529">
        <v>0.90307538903088869</v>
      </c>
      <c r="G529">
        <v>0.10567053406879326</v>
      </c>
      <c r="I529">
        <v>0.9040937704220815</v>
      </c>
      <c r="J529">
        <v>0.10598028082429323</v>
      </c>
      <c r="K529">
        <f t="shared" si="34"/>
        <v>0</v>
      </c>
      <c r="L529" t="b">
        <f t="shared" si="35"/>
        <v>1</v>
      </c>
    </row>
    <row r="530" spans="1:12" x14ac:dyDescent="0.35">
      <c r="A530" s="13">
        <v>43137</v>
      </c>
      <c r="B530" s="14">
        <v>5161.8100000000004</v>
      </c>
      <c r="C530" s="2">
        <f t="shared" si="32"/>
        <v>-2.3462729599703303E-2</v>
      </c>
      <c r="D530">
        <f t="shared" si="33"/>
        <v>0</v>
      </c>
      <c r="E530">
        <v>0.4962304490097682</v>
      </c>
      <c r="F530">
        <v>0.9040937704220815</v>
      </c>
      <c r="G530">
        <v>0.10598028082429323</v>
      </c>
      <c r="I530">
        <v>0.90500883458893655</v>
      </c>
      <c r="J530">
        <v>0.10699880744463942</v>
      </c>
      <c r="K530">
        <f t="shared" si="34"/>
        <v>0</v>
      </c>
      <c r="L530" t="b">
        <f t="shared" si="35"/>
        <v>1</v>
      </c>
    </row>
    <row r="531" spans="1:12" x14ac:dyDescent="0.35">
      <c r="A531" s="13">
        <v>43138</v>
      </c>
      <c r="B531" s="14">
        <v>5255.9</v>
      </c>
      <c r="C531" s="2">
        <f t="shared" si="32"/>
        <v>1.8228102157963777E-2</v>
      </c>
      <c r="D531">
        <f t="shared" si="33"/>
        <v>1</v>
      </c>
      <c r="E531">
        <v>0.4942971123304013</v>
      </c>
      <c r="F531">
        <v>0.90500883458893655</v>
      </c>
      <c r="G531">
        <v>0.10699880744463942</v>
      </c>
      <c r="I531">
        <v>0.90352588127007416</v>
      </c>
      <c r="J531">
        <v>0.10606634412561673</v>
      </c>
      <c r="K531">
        <f t="shared" si="34"/>
        <v>0</v>
      </c>
      <c r="L531" t="b">
        <f t="shared" si="35"/>
        <v>0</v>
      </c>
    </row>
    <row r="532" spans="1:12" x14ac:dyDescent="0.35">
      <c r="A532" s="13">
        <v>43139</v>
      </c>
      <c r="B532" s="14">
        <v>5151.68</v>
      </c>
      <c r="C532" s="2">
        <f t="shared" si="32"/>
        <v>-1.9829144390113851E-2</v>
      </c>
      <c r="D532">
        <f t="shared" si="33"/>
        <v>0</v>
      </c>
      <c r="E532">
        <v>0.50349518209599331</v>
      </c>
      <c r="F532">
        <v>0.90352588127007416</v>
      </c>
      <c r="G532">
        <v>0.10606634412561673</v>
      </c>
      <c r="I532">
        <v>0.902378717127298</v>
      </c>
      <c r="J532">
        <v>0.1075429433818192</v>
      </c>
      <c r="K532">
        <f t="shared" si="34"/>
        <v>1</v>
      </c>
      <c r="L532" t="b">
        <f t="shared" si="35"/>
        <v>0</v>
      </c>
    </row>
    <row r="533" spans="1:12" x14ac:dyDescent="0.35">
      <c r="A533" s="13">
        <v>43140</v>
      </c>
      <c r="B533" s="14">
        <v>5079.21</v>
      </c>
      <c r="C533" s="2">
        <f t="shared" si="32"/>
        <v>-1.4067255730169648E-2</v>
      </c>
      <c r="D533">
        <f t="shared" si="33"/>
        <v>0</v>
      </c>
      <c r="E533">
        <v>0.49601681073563242</v>
      </c>
      <c r="F533">
        <v>0.902378717127298</v>
      </c>
      <c r="G533">
        <v>0.1075429433818192</v>
      </c>
      <c r="I533">
        <v>0.90360808772257062</v>
      </c>
      <c r="J533">
        <v>0.10641283446941462</v>
      </c>
      <c r="K533">
        <f t="shared" si="34"/>
        <v>0</v>
      </c>
      <c r="L533" t="b">
        <f t="shared" si="35"/>
        <v>1</v>
      </c>
    </row>
    <row r="534" spans="1:12" x14ac:dyDescent="0.35">
      <c r="A534" s="13">
        <v>43143</v>
      </c>
      <c r="B534" s="14">
        <v>5140.0600000000004</v>
      </c>
      <c r="C534" s="2">
        <f t="shared" si="32"/>
        <v>1.1980209520771945E-2</v>
      </c>
      <c r="D534">
        <f t="shared" si="33"/>
        <v>1</v>
      </c>
      <c r="E534">
        <v>0.49629472745133008</v>
      </c>
      <c r="F534">
        <v>0.90360808772257062</v>
      </c>
      <c r="G534">
        <v>0.10641283446941462</v>
      </c>
      <c r="I534">
        <v>0.90272241750266868</v>
      </c>
      <c r="J534">
        <v>0.10516439746014102</v>
      </c>
      <c r="K534">
        <f t="shared" si="34"/>
        <v>0</v>
      </c>
      <c r="L534" t="b">
        <f t="shared" si="35"/>
        <v>0</v>
      </c>
    </row>
    <row r="535" spans="1:12" x14ac:dyDescent="0.35">
      <c r="A535" s="13">
        <v>43144</v>
      </c>
      <c r="B535" s="14">
        <v>5109.24</v>
      </c>
      <c r="C535" s="2">
        <f t="shared" si="32"/>
        <v>-5.9960389567438321E-3</v>
      </c>
      <c r="D535">
        <f t="shared" si="33"/>
        <v>0</v>
      </c>
      <c r="E535">
        <v>0.5023338403574622</v>
      </c>
      <c r="F535">
        <v>0.90272241750266868</v>
      </c>
      <c r="G535">
        <v>0.10516439746014102</v>
      </c>
      <c r="I535">
        <v>0.90197017581019145</v>
      </c>
      <c r="J535">
        <v>0.10604768553958779</v>
      </c>
      <c r="K535">
        <f t="shared" si="34"/>
        <v>1</v>
      </c>
      <c r="L535" t="b">
        <f t="shared" si="35"/>
        <v>0</v>
      </c>
    </row>
    <row r="536" spans="1:12" x14ac:dyDescent="0.35">
      <c r="A536" s="13">
        <v>43145</v>
      </c>
      <c r="B536" s="14">
        <v>5165.26</v>
      </c>
      <c r="C536" s="2">
        <f t="shared" si="32"/>
        <v>1.0964448724272158E-2</v>
      </c>
      <c r="D536">
        <f t="shared" si="33"/>
        <v>1</v>
      </c>
      <c r="E536">
        <v>0.49896555777090013</v>
      </c>
      <c r="F536">
        <v>0.90197017581019145</v>
      </c>
      <c r="G536">
        <v>0.10604768553958779</v>
      </c>
      <c r="I536">
        <v>0.90159464966327196</v>
      </c>
      <c r="J536">
        <v>0.10679799452741778</v>
      </c>
      <c r="K536">
        <f t="shared" si="34"/>
        <v>0</v>
      </c>
      <c r="L536" t="b">
        <f t="shared" si="35"/>
        <v>0</v>
      </c>
    </row>
    <row r="537" spans="1:12" x14ac:dyDescent="0.35">
      <c r="A537" s="13">
        <v>43146</v>
      </c>
      <c r="B537" s="14">
        <v>5222.5200000000004</v>
      </c>
      <c r="C537" s="2">
        <f t="shared" si="32"/>
        <v>1.1085598788831641E-2</v>
      </c>
      <c r="D537">
        <f t="shared" si="33"/>
        <v>1</v>
      </c>
      <c r="E537">
        <v>0.50231126438025431</v>
      </c>
      <c r="F537">
        <v>0.90159464966327196</v>
      </c>
      <c r="G537">
        <v>0.10679799452741778</v>
      </c>
      <c r="I537">
        <v>0.90227674541588776</v>
      </c>
      <c r="J537">
        <v>0.10642498236713838</v>
      </c>
      <c r="K537">
        <f t="shared" si="34"/>
        <v>1</v>
      </c>
      <c r="L537" t="b">
        <f t="shared" si="35"/>
        <v>1</v>
      </c>
    </row>
    <row r="538" spans="1:12" x14ac:dyDescent="0.35">
      <c r="A538" s="13">
        <v>43147</v>
      </c>
      <c r="B538" s="14">
        <v>5281.58</v>
      </c>
      <c r="C538" s="2">
        <f t="shared" si="32"/>
        <v>1.1308716864655288E-2</v>
      </c>
      <c r="D538">
        <f t="shared" si="33"/>
        <v>1</v>
      </c>
      <c r="E538">
        <v>0.50279226328665683</v>
      </c>
      <c r="F538">
        <v>0.90227674541588776</v>
      </c>
      <c r="G538">
        <v>0.10642498236713838</v>
      </c>
      <c r="I538">
        <v>0.90296570461417891</v>
      </c>
      <c r="J538">
        <v>0.10710641220657918</v>
      </c>
      <c r="K538">
        <f t="shared" si="34"/>
        <v>1</v>
      </c>
      <c r="L538" t="b">
        <f t="shared" si="35"/>
        <v>1</v>
      </c>
    </row>
    <row r="539" spans="1:12" x14ac:dyDescent="0.35">
      <c r="A539" s="13">
        <v>43150</v>
      </c>
      <c r="B539" s="14">
        <v>5256.18</v>
      </c>
      <c r="C539" s="2">
        <f t="shared" si="32"/>
        <v>-4.809166953828159E-3</v>
      </c>
      <c r="D539">
        <f t="shared" si="33"/>
        <v>0</v>
      </c>
      <c r="E539">
        <v>0.50284964969663093</v>
      </c>
      <c r="F539">
        <v>0.90296570461417891</v>
      </c>
      <c r="G539">
        <v>0.10710641220657918</v>
      </c>
      <c r="I539">
        <v>0.90225490466390368</v>
      </c>
      <c r="J539">
        <v>0.1064096361565483</v>
      </c>
      <c r="K539">
        <f t="shared" si="34"/>
        <v>1</v>
      </c>
      <c r="L539" t="b">
        <f t="shared" si="35"/>
        <v>0</v>
      </c>
    </row>
    <row r="540" spans="1:12" x14ac:dyDescent="0.35">
      <c r="A540" s="13">
        <v>43151</v>
      </c>
      <c r="B540" s="14">
        <v>5289.86</v>
      </c>
      <c r="C540" s="2">
        <f t="shared" si="32"/>
        <v>6.4076953224583288E-3</v>
      </c>
      <c r="D540">
        <f t="shared" si="33"/>
        <v>1</v>
      </c>
      <c r="E540">
        <v>0.49921606613624031</v>
      </c>
      <c r="F540">
        <v>0.90225490466390368</v>
      </c>
      <c r="G540">
        <v>0.1064096361565483</v>
      </c>
      <c r="I540">
        <v>0.90195386121071508</v>
      </c>
      <c r="J540">
        <v>0.10711753738117891</v>
      </c>
      <c r="K540">
        <f t="shared" si="34"/>
        <v>0</v>
      </c>
      <c r="L540" t="b">
        <f t="shared" si="35"/>
        <v>0</v>
      </c>
    </row>
    <row r="541" spans="1:12" x14ac:dyDescent="0.35">
      <c r="A541" s="13">
        <v>43152</v>
      </c>
      <c r="B541" s="14">
        <v>5302.17</v>
      </c>
      <c r="C541" s="2">
        <f t="shared" si="32"/>
        <v>2.3270937227073407E-3</v>
      </c>
      <c r="D541">
        <f t="shared" si="33"/>
        <v>1</v>
      </c>
      <c r="E541">
        <v>0.50131607181481086</v>
      </c>
      <c r="F541">
        <v>0.90195386121071508</v>
      </c>
      <c r="G541">
        <v>0.10711753738117891</v>
      </c>
      <c r="I541">
        <v>0.90235328527766623</v>
      </c>
      <c r="J541">
        <v>0.10681775767464191</v>
      </c>
      <c r="K541">
        <f t="shared" si="34"/>
        <v>1</v>
      </c>
      <c r="L541" t="b">
        <f t="shared" si="35"/>
        <v>1</v>
      </c>
    </row>
    <row r="542" spans="1:12" x14ac:dyDescent="0.35">
      <c r="A542" s="13">
        <v>43153</v>
      </c>
      <c r="B542" s="14">
        <v>5309.23</v>
      </c>
      <c r="C542" s="2">
        <f t="shared" si="32"/>
        <v>1.3315302979721721E-3</v>
      </c>
      <c r="D542">
        <f t="shared" si="33"/>
        <v>1</v>
      </c>
      <c r="E542">
        <v>0.50069607862831944</v>
      </c>
      <c r="F542">
        <v>0.90235328527766623</v>
      </c>
      <c r="G542">
        <v>0.10681775767464191</v>
      </c>
      <c r="I542">
        <v>0.90249852587381807</v>
      </c>
      <c r="J542">
        <v>0.10721768032473189</v>
      </c>
      <c r="K542">
        <f t="shared" si="34"/>
        <v>1</v>
      </c>
      <c r="L542" t="b">
        <f t="shared" si="35"/>
        <v>1</v>
      </c>
    </row>
    <row r="543" spans="1:12" x14ac:dyDescent="0.35">
      <c r="A543" s="13">
        <v>43154</v>
      </c>
      <c r="B543" s="14">
        <v>5317.37</v>
      </c>
      <c r="C543" s="2">
        <f t="shared" si="32"/>
        <v>1.5331790108923382E-3</v>
      </c>
      <c r="D543">
        <f t="shared" si="33"/>
        <v>1</v>
      </c>
      <c r="E543">
        <v>0.50036280236680863</v>
      </c>
      <c r="F543">
        <v>0.90249852587381807</v>
      </c>
      <c r="G543">
        <v>0.10721768032473189</v>
      </c>
      <c r="I543">
        <v>0.90258168608836431</v>
      </c>
      <c r="J543">
        <v>0.10736301807149161</v>
      </c>
      <c r="K543">
        <f t="shared" si="34"/>
        <v>1</v>
      </c>
      <c r="L543" t="b">
        <f t="shared" si="35"/>
        <v>1</v>
      </c>
    </row>
    <row r="544" spans="1:12" x14ac:dyDescent="0.35">
      <c r="A544" s="13">
        <v>43157</v>
      </c>
      <c r="B544" s="14">
        <v>5344.26</v>
      </c>
      <c r="C544" s="2">
        <f t="shared" si="32"/>
        <v>5.0570112668482103E-3</v>
      </c>
      <c r="D544">
        <f t="shared" si="33"/>
        <v>1</v>
      </c>
      <c r="E544">
        <v>0.50038169402789712</v>
      </c>
      <c r="F544">
        <v>0.90258168608836431</v>
      </c>
      <c r="G544">
        <v>0.10736301807149161</v>
      </c>
      <c r="I544">
        <v>0.90267743657008637</v>
      </c>
      <c r="J544">
        <v>0.10744617513700878</v>
      </c>
      <c r="K544">
        <f t="shared" si="34"/>
        <v>1</v>
      </c>
      <c r="L544" t="b">
        <f t="shared" si="35"/>
        <v>1</v>
      </c>
    </row>
    <row r="545" spans="1:12" x14ac:dyDescent="0.35">
      <c r="A545" s="13">
        <v>43158</v>
      </c>
      <c r="B545" s="14">
        <v>5343.93</v>
      </c>
      <c r="C545" s="2">
        <f t="shared" si="32"/>
        <v>-6.1748492775404173E-5</v>
      </c>
      <c r="D545">
        <f t="shared" si="33"/>
        <v>0</v>
      </c>
      <c r="E545">
        <v>0.50118239384281982</v>
      </c>
      <c r="F545">
        <v>0.90267743657008637</v>
      </c>
      <c r="G545">
        <v>0.10744617513700878</v>
      </c>
      <c r="I545">
        <v>0.9023606277152102</v>
      </c>
      <c r="J545">
        <v>0.10735012538328464</v>
      </c>
      <c r="K545">
        <f t="shared" si="34"/>
        <v>1</v>
      </c>
      <c r="L545" t="b">
        <f t="shared" si="35"/>
        <v>0</v>
      </c>
    </row>
    <row r="546" spans="1:12" x14ac:dyDescent="0.35">
      <c r="A546" s="13">
        <v>43159</v>
      </c>
      <c r="B546" s="14">
        <v>5320.49</v>
      </c>
      <c r="C546" s="2">
        <f t="shared" si="32"/>
        <v>-4.3862849999907194E-3</v>
      </c>
      <c r="D546">
        <f t="shared" si="33"/>
        <v>0</v>
      </c>
      <c r="E546">
        <v>0.50012178784380634</v>
      </c>
      <c r="F546">
        <v>0.9023606277152102</v>
      </c>
      <c r="G546">
        <v>0.10735012538328464</v>
      </c>
      <c r="I546">
        <v>0.90236448793580659</v>
      </c>
      <c r="J546">
        <v>0.10703398521255066</v>
      </c>
      <c r="K546">
        <f t="shared" si="34"/>
        <v>1</v>
      </c>
      <c r="L546" t="b">
        <f t="shared" si="35"/>
        <v>0</v>
      </c>
    </row>
    <row r="547" spans="1:12" x14ac:dyDescent="0.35">
      <c r="A547" s="13">
        <v>43160</v>
      </c>
      <c r="B547" s="14">
        <v>5262.56</v>
      </c>
      <c r="C547" s="2">
        <f t="shared" si="32"/>
        <v>-1.0888094893515277E-2</v>
      </c>
      <c r="D547">
        <f t="shared" si="33"/>
        <v>0</v>
      </c>
      <c r="E547">
        <v>0.49900884204697504</v>
      </c>
      <c r="F547">
        <v>0.90236448793580659</v>
      </c>
      <c r="G547">
        <v>0.10703398521255066</v>
      </c>
      <c r="I547">
        <v>0.90263808623551867</v>
      </c>
      <c r="J547">
        <v>0.10703783682790013</v>
      </c>
      <c r="K547">
        <f t="shared" si="34"/>
        <v>0</v>
      </c>
      <c r="L547" t="b">
        <f t="shared" si="35"/>
        <v>1</v>
      </c>
    </row>
    <row r="548" spans="1:12" x14ac:dyDescent="0.35">
      <c r="A548" s="13">
        <v>43161</v>
      </c>
      <c r="B548" s="14">
        <v>5136.58</v>
      </c>
      <c r="C548" s="2">
        <f t="shared" si="32"/>
        <v>-2.3938919461250929E-2</v>
      </c>
      <c r="D548">
        <f t="shared" si="33"/>
        <v>0</v>
      </c>
      <c r="E548">
        <v>0.49742564584949667</v>
      </c>
      <c r="F548">
        <v>0.90263808623551867</v>
      </c>
      <c r="G548">
        <v>0.10703783682790013</v>
      </c>
      <c r="I548">
        <v>0.90331507049304338</v>
      </c>
      <c r="J548">
        <v>0.10731056092913654</v>
      </c>
      <c r="K548">
        <f t="shared" si="34"/>
        <v>0</v>
      </c>
      <c r="L548" t="b">
        <f t="shared" si="35"/>
        <v>1</v>
      </c>
    </row>
    <row r="549" spans="1:12" x14ac:dyDescent="0.35">
      <c r="A549" s="13">
        <v>43164</v>
      </c>
      <c r="B549" s="14">
        <v>5167.2299999999996</v>
      </c>
      <c r="C549" s="2">
        <f t="shared" si="32"/>
        <v>5.9670052836711118E-3</v>
      </c>
      <c r="D549">
        <f t="shared" si="33"/>
        <v>1</v>
      </c>
      <c r="E549">
        <v>0.49430204810436035</v>
      </c>
      <c r="F549">
        <v>0.90331507049304338</v>
      </c>
      <c r="G549">
        <v>0.10731056092913654</v>
      </c>
      <c r="I549">
        <v>0.90180203419371097</v>
      </c>
      <c r="J549">
        <v>0.10662238940029493</v>
      </c>
      <c r="K549">
        <f t="shared" si="34"/>
        <v>0</v>
      </c>
      <c r="L549" t="b">
        <f t="shared" si="35"/>
        <v>0</v>
      </c>
    </row>
    <row r="550" spans="1:12" x14ac:dyDescent="0.35">
      <c r="A550" s="13">
        <v>43165</v>
      </c>
      <c r="B550" s="14">
        <v>5170.2299999999996</v>
      </c>
      <c r="C550" s="2">
        <f t="shared" si="32"/>
        <v>5.8058185913933968E-4</v>
      </c>
      <c r="D550">
        <f t="shared" si="33"/>
        <v>1</v>
      </c>
      <c r="E550">
        <v>0.5007071577060529</v>
      </c>
      <c r="F550">
        <v>0.90180203419371097</v>
      </c>
      <c r="G550">
        <v>0.10662238940029493</v>
      </c>
      <c r="I550">
        <v>0.90217444382729128</v>
      </c>
      <c r="J550">
        <v>0.1051283259964514</v>
      </c>
      <c r="K550">
        <f t="shared" si="34"/>
        <v>1</v>
      </c>
      <c r="L550" t="b">
        <f t="shared" si="35"/>
        <v>1</v>
      </c>
    </row>
    <row r="551" spans="1:12" x14ac:dyDescent="0.35">
      <c r="A551" s="13">
        <v>43166</v>
      </c>
      <c r="B551" s="14">
        <v>5187.83</v>
      </c>
      <c r="C551" s="2">
        <f t="shared" si="32"/>
        <v>3.4041038793246603E-3</v>
      </c>
      <c r="D551">
        <f t="shared" si="33"/>
        <v>1</v>
      </c>
      <c r="E551">
        <v>0.50028777181636253</v>
      </c>
      <c r="F551">
        <v>0.90217444382729128</v>
      </c>
      <c r="G551">
        <v>0.1051283259964514</v>
      </c>
      <c r="I551">
        <v>0.90221070929708747</v>
      </c>
      <c r="J551">
        <v>0.10550104906122253</v>
      </c>
      <c r="K551">
        <f t="shared" si="34"/>
        <v>1</v>
      </c>
      <c r="L551" t="b">
        <f t="shared" si="35"/>
        <v>1</v>
      </c>
    </row>
    <row r="552" spans="1:12" x14ac:dyDescent="0.35">
      <c r="A552" s="13">
        <v>43167</v>
      </c>
      <c r="B552" s="14">
        <v>5254.1</v>
      </c>
      <c r="C552" s="2">
        <f t="shared" si="32"/>
        <v>1.2774127139864033E-2</v>
      </c>
      <c r="D552">
        <f t="shared" si="33"/>
        <v>1</v>
      </c>
      <c r="E552">
        <v>0.50078311710231982</v>
      </c>
      <c r="F552">
        <v>0.90221070929708747</v>
      </c>
      <c r="G552">
        <v>0.10550104906122253</v>
      </c>
      <c r="I552">
        <v>0.90242313204195623</v>
      </c>
      <c r="J552">
        <v>0.10553727850559655</v>
      </c>
      <c r="K552">
        <f t="shared" si="34"/>
        <v>1</v>
      </c>
      <c r="L552" t="b">
        <f t="shared" si="35"/>
        <v>1</v>
      </c>
    </row>
    <row r="553" spans="1:12" x14ac:dyDescent="0.35">
      <c r="A553" s="13">
        <v>43168</v>
      </c>
      <c r="B553" s="14">
        <v>5274.4</v>
      </c>
      <c r="C553" s="2">
        <f t="shared" si="32"/>
        <v>3.8636493405148631E-3</v>
      </c>
      <c r="D553">
        <f t="shared" si="33"/>
        <v>1</v>
      </c>
      <c r="E553">
        <v>0.50297169692904453</v>
      </c>
      <c r="F553">
        <v>0.90242313204195623</v>
      </c>
      <c r="G553">
        <v>0.10553727850559655</v>
      </c>
      <c r="I553">
        <v>0.90321674184949063</v>
      </c>
      <c r="J553">
        <v>0.10574876303169518</v>
      </c>
      <c r="K553">
        <f t="shared" si="34"/>
        <v>1</v>
      </c>
      <c r="L553" t="b">
        <f t="shared" si="35"/>
        <v>1</v>
      </c>
    </row>
    <row r="554" spans="1:12" x14ac:dyDescent="0.35">
      <c r="A554" s="13">
        <v>43171</v>
      </c>
      <c r="B554" s="14">
        <v>5276.71</v>
      </c>
      <c r="C554" s="2">
        <f t="shared" si="32"/>
        <v>4.3796450781141694E-4</v>
      </c>
      <c r="D554">
        <f t="shared" si="33"/>
        <v>1</v>
      </c>
      <c r="E554">
        <v>0.50121013786531265</v>
      </c>
      <c r="F554">
        <v>0.90321674184949063</v>
      </c>
      <c r="G554">
        <v>0.10574876303169518</v>
      </c>
      <c r="I554">
        <v>0.90345763407863611</v>
      </c>
      <c r="J554">
        <v>0.10654520900567167</v>
      </c>
      <c r="K554">
        <f t="shared" si="34"/>
        <v>1</v>
      </c>
      <c r="L554" t="b">
        <f t="shared" si="35"/>
        <v>1</v>
      </c>
    </row>
    <row r="555" spans="1:12" x14ac:dyDescent="0.35">
      <c r="A555" s="13">
        <v>43172</v>
      </c>
      <c r="B555" s="14">
        <v>5242.79</v>
      </c>
      <c r="C555" s="2">
        <f t="shared" si="32"/>
        <v>-6.4282479044708296E-3</v>
      </c>
      <c r="D555">
        <f t="shared" si="33"/>
        <v>0</v>
      </c>
      <c r="E555">
        <v>0.50020183391517403</v>
      </c>
      <c r="F555">
        <v>0.90345763407863611</v>
      </c>
      <c r="G555">
        <v>0.10654520900567167</v>
      </c>
      <c r="I555">
        <v>0.90343025025184864</v>
      </c>
      <c r="J555">
        <v>0.10630363348431952</v>
      </c>
      <c r="K555">
        <f t="shared" si="34"/>
        <v>1</v>
      </c>
      <c r="L555" t="b">
        <f t="shared" si="35"/>
        <v>0</v>
      </c>
    </row>
    <row r="556" spans="1:12" x14ac:dyDescent="0.35">
      <c r="A556" s="13">
        <v>43173</v>
      </c>
      <c r="B556" s="14">
        <v>5233.3599999999997</v>
      </c>
      <c r="C556" s="2">
        <f t="shared" si="32"/>
        <v>-1.7986606367984548E-3</v>
      </c>
      <c r="D556">
        <f t="shared" si="33"/>
        <v>0</v>
      </c>
      <c r="E556">
        <v>0.49855977488457442</v>
      </c>
      <c r="F556">
        <v>0.90343025025184864</v>
      </c>
      <c r="G556">
        <v>0.10630363348431952</v>
      </c>
      <c r="I556">
        <v>0.90383085515652417</v>
      </c>
      <c r="J556">
        <v>0.1062763397749744</v>
      </c>
      <c r="K556">
        <f t="shared" si="34"/>
        <v>0</v>
      </c>
      <c r="L556" t="b">
        <f t="shared" si="35"/>
        <v>1</v>
      </c>
    </row>
    <row r="557" spans="1:12" x14ac:dyDescent="0.35">
      <c r="A557" s="13">
        <v>43174</v>
      </c>
      <c r="B557" s="14">
        <v>5267.26</v>
      </c>
      <c r="C557" s="2">
        <f t="shared" si="32"/>
        <v>6.4776739991134757E-3</v>
      </c>
      <c r="D557">
        <f t="shared" si="33"/>
        <v>1</v>
      </c>
      <c r="E557">
        <v>0.49942278634643139</v>
      </c>
      <c r="F557">
        <v>0.90383085515652417</v>
      </c>
      <c r="G557">
        <v>0.1062763397749744</v>
      </c>
      <c r="I557">
        <v>0.90371830924027996</v>
      </c>
      <c r="J557">
        <v>0.10587411100793956</v>
      </c>
      <c r="K557">
        <f t="shared" si="34"/>
        <v>0</v>
      </c>
      <c r="L557" t="b">
        <f t="shared" si="35"/>
        <v>0</v>
      </c>
    </row>
    <row r="558" spans="1:12" x14ac:dyDescent="0.35">
      <c r="A558" s="13">
        <v>43175</v>
      </c>
      <c r="B558" s="14">
        <v>5282.75</v>
      </c>
      <c r="C558" s="2">
        <f t="shared" si="32"/>
        <v>2.9408079342960747E-3</v>
      </c>
      <c r="D558">
        <f t="shared" si="33"/>
        <v>1</v>
      </c>
      <c r="E558">
        <v>0.50141588646493718</v>
      </c>
      <c r="F558">
        <v>0.90371830924027996</v>
      </c>
      <c r="G558">
        <v>0.10587411100793956</v>
      </c>
      <c r="I558">
        <v>0.90412201417154636</v>
      </c>
      <c r="J558">
        <v>0.10576201395445251</v>
      </c>
      <c r="K558">
        <f t="shared" si="34"/>
        <v>1</v>
      </c>
      <c r="L558" t="b">
        <f t="shared" si="35"/>
        <v>1</v>
      </c>
    </row>
    <row r="559" spans="1:12" x14ac:dyDescent="0.35">
      <c r="A559" s="13">
        <v>43178</v>
      </c>
      <c r="B559" s="14">
        <v>5222.84</v>
      </c>
      <c r="C559" s="2">
        <f t="shared" si="32"/>
        <v>-1.1340684302683202E-2</v>
      </c>
      <c r="D559">
        <f t="shared" si="33"/>
        <v>0</v>
      </c>
      <c r="E559">
        <v>0.50083598448118949</v>
      </c>
      <c r="F559">
        <v>0.90412201417154636</v>
      </c>
      <c r="G559">
        <v>0.10576201395445251</v>
      </c>
      <c r="I559">
        <v>0.90393790688159814</v>
      </c>
      <c r="J559">
        <v>0.10535648355879609</v>
      </c>
      <c r="K559">
        <f t="shared" si="34"/>
        <v>1</v>
      </c>
      <c r="L559" t="b">
        <f t="shared" si="35"/>
        <v>0</v>
      </c>
    </row>
    <row r="560" spans="1:12" x14ac:dyDescent="0.35">
      <c r="A560" s="13">
        <v>43179</v>
      </c>
      <c r="B560" s="14">
        <v>5252.43</v>
      </c>
      <c r="C560" s="2">
        <f t="shared" si="32"/>
        <v>5.6654999961707198E-3</v>
      </c>
      <c r="D560">
        <f t="shared" si="33"/>
        <v>1</v>
      </c>
      <c r="E560">
        <v>0.4975146601571796</v>
      </c>
      <c r="F560">
        <v>0.90393790688159814</v>
      </c>
      <c r="G560">
        <v>0.10535648355879609</v>
      </c>
      <c r="I560">
        <v>0.90322560853052047</v>
      </c>
      <c r="J560">
        <v>0.10554119310422798</v>
      </c>
      <c r="K560">
        <f t="shared" si="34"/>
        <v>0</v>
      </c>
      <c r="L560" t="b">
        <f t="shared" si="35"/>
        <v>0</v>
      </c>
    </row>
    <row r="561" spans="1:12" x14ac:dyDescent="0.35">
      <c r="A561" s="13">
        <v>43180</v>
      </c>
      <c r="B561" s="14">
        <v>5239.74</v>
      </c>
      <c r="C561" s="2">
        <f t="shared" si="32"/>
        <v>-2.4160245829074611E-3</v>
      </c>
      <c r="D561">
        <f t="shared" si="33"/>
        <v>0</v>
      </c>
      <c r="E561">
        <v>0.5009800775772133</v>
      </c>
      <c r="F561">
        <v>0.90322560853052047</v>
      </c>
      <c r="G561">
        <v>0.10554119310422798</v>
      </c>
      <c r="I561">
        <v>0.90287082206523972</v>
      </c>
      <c r="J561">
        <v>0.10625137248827754</v>
      </c>
      <c r="K561">
        <f t="shared" si="34"/>
        <v>1</v>
      </c>
      <c r="L561" t="b">
        <f t="shared" si="35"/>
        <v>0</v>
      </c>
    </row>
    <row r="562" spans="1:12" x14ac:dyDescent="0.35">
      <c r="A562" s="13">
        <v>43181</v>
      </c>
      <c r="B562" s="14">
        <v>5167.21</v>
      </c>
      <c r="C562" s="2">
        <f t="shared" si="32"/>
        <v>-1.3842289884612557E-2</v>
      </c>
      <c r="D562">
        <f t="shared" si="33"/>
        <v>0</v>
      </c>
      <c r="E562">
        <v>0.4996051523443597</v>
      </c>
      <c r="F562">
        <v>0.90287082206523972</v>
      </c>
      <c r="G562">
        <v>0.10625137248827754</v>
      </c>
      <c r="I562">
        <v>0.90302170426237316</v>
      </c>
      <c r="J562">
        <v>0.10589755858533591</v>
      </c>
      <c r="K562">
        <f t="shared" si="34"/>
        <v>0</v>
      </c>
      <c r="L562" t="b">
        <f t="shared" si="35"/>
        <v>1</v>
      </c>
    </row>
    <row r="563" spans="1:12" x14ac:dyDescent="0.35">
      <c r="A563" s="13">
        <v>43182</v>
      </c>
      <c r="B563" s="14">
        <v>5095.22</v>
      </c>
      <c r="C563" s="2">
        <f t="shared" si="32"/>
        <v>-1.3932083271243068E-2</v>
      </c>
      <c r="D563">
        <f t="shared" si="33"/>
        <v>0</v>
      </c>
      <c r="E563">
        <v>0.49681110841147186</v>
      </c>
      <c r="F563">
        <v>0.90302170426237316</v>
      </c>
      <c r="G563">
        <v>0.10589755858533591</v>
      </c>
      <c r="I563">
        <v>0.9038812947187137</v>
      </c>
      <c r="J563">
        <v>0.10604759096372585</v>
      </c>
      <c r="K563">
        <f t="shared" si="34"/>
        <v>0</v>
      </c>
      <c r="L563" t="b">
        <f t="shared" si="35"/>
        <v>1</v>
      </c>
    </row>
    <row r="564" spans="1:12" x14ac:dyDescent="0.35">
      <c r="A564" s="13">
        <v>43185</v>
      </c>
      <c r="B564" s="14">
        <v>5066.28</v>
      </c>
      <c r="C564" s="2">
        <f t="shared" si="32"/>
        <v>-5.6798332554827136E-3</v>
      </c>
      <c r="D564">
        <f t="shared" si="33"/>
        <v>0</v>
      </c>
      <c r="E564">
        <v>0.49648483517442865</v>
      </c>
      <c r="F564">
        <v>0.9038812947187137</v>
      </c>
      <c r="G564">
        <v>0.10604759096372585</v>
      </c>
      <c r="I564">
        <v>0.90474588549205992</v>
      </c>
      <c r="J564">
        <v>0.10690660938065724</v>
      </c>
      <c r="K564">
        <f t="shared" si="34"/>
        <v>0</v>
      </c>
      <c r="L564" t="b">
        <f t="shared" si="35"/>
        <v>1</v>
      </c>
    </row>
    <row r="565" spans="1:12" x14ac:dyDescent="0.35">
      <c r="A565" s="13">
        <v>43186</v>
      </c>
      <c r="B565" s="14">
        <v>5115.74</v>
      </c>
      <c r="C565" s="2">
        <f t="shared" si="32"/>
        <v>9.7625871448083767E-3</v>
      </c>
      <c r="D565">
        <f t="shared" si="33"/>
        <v>1</v>
      </c>
      <c r="E565">
        <v>0.4983429466786003</v>
      </c>
      <c r="F565">
        <v>0.90474588549205992</v>
      </c>
      <c r="G565">
        <v>0.10690660938065724</v>
      </c>
      <c r="I565">
        <v>0.90438972335215173</v>
      </c>
      <c r="J565">
        <v>0.10603297799606068</v>
      </c>
      <c r="K565">
        <f t="shared" si="34"/>
        <v>0</v>
      </c>
      <c r="L565" t="b">
        <f t="shared" si="35"/>
        <v>0</v>
      </c>
    </row>
    <row r="566" spans="1:12" x14ac:dyDescent="0.35">
      <c r="A566" s="13">
        <v>43187</v>
      </c>
      <c r="B566" s="14">
        <v>5130.4399999999996</v>
      </c>
      <c r="C566" s="2">
        <f t="shared" si="32"/>
        <v>2.873484578965968E-3</v>
      </c>
      <c r="D566">
        <f t="shared" si="33"/>
        <v>1</v>
      </c>
      <c r="E566">
        <v>0.50205672186280714</v>
      </c>
      <c r="F566">
        <v>0.90438972335215173</v>
      </c>
      <c r="G566">
        <v>0.10603297799606068</v>
      </c>
      <c r="I566">
        <v>0.90499736490117622</v>
      </c>
      <c r="J566">
        <v>0.10567945462911203</v>
      </c>
      <c r="K566">
        <f t="shared" si="34"/>
        <v>1</v>
      </c>
      <c r="L566" t="b">
        <f t="shared" si="35"/>
        <v>1</v>
      </c>
    </row>
    <row r="567" spans="1:12" x14ac:dyDescent="0.35">
      <c r="A567" s="13">
        <v>43188</v>
      </c>
      <c r="B567" s="14">
        <v>5167.3</v>
      </c>
      <c r="C567" s="2">
        <f t="shared" si="32"/>
        <v>7.184568964845317E-3</v>
      </c>
      <c r="D567">
        <f t="shared" si="33"/>
        <v>1</v>
      </c>
      <c r="E567">
        <v>0.50090804921600485</v>
      </c>
      <c r="F567">
        <v>0.90499736490117622</v>
      </c>
      <c r="G567">
        <v>0.10567945462911203</v>
      </c>
      <c r="I567">
        <v>0.90517663093792455</v>
      </c>
      <c r="J567">
        <v>0.10628850620317341</v>
      </c>
      <c r="K567">
        <f t="shared" si="34"/>
        <v>1</v>
      </c>
      <c r="L567" t="b">
        <f t="shared" si="35"/>
        <v>1</v>
      </c>
    </row>
    <row r="568" spans="1:12" x14ac:dyDescent="0.35">
      <c r="A568" s="13">
        <v>43193</v>
      </c>
      <c r="B568" s="14">
        <v>5152.12</v>
      </c>
      <c r="C568" s="2">
        <f t="shared" si="32"/>
        <v>-2.9377044104271777E-3</v>
      </c>
      <c r="D568">
        <f t="shared" si="33"/>
        <v>0</v>
      </c>
      <c r="E568">
        <v>0.50170217400258299</v>
      </c>
      <c r="F568">
        <v>0.90517663093792455</v>
      </c>
      <c r="G568">
        <v>0.10628850620317341</v>
      </c>
      <c r="I568">
        <v>0.90472607192616039</v>
      </c>
      <c r="J568">
        <v>0.10610830410913639</v>
      </c>
      <c r="K568">
        <f t="shared" si="34"/>
        <v>1</v>
      </c>
      <c r="L568" t="b">
        <f t="shared" si="35"/>
        <v>0</v>
      </c>
    </row>
    <row r="569" spans="1:12" x14ac:dyDescent="0.35">
      <c r="A569" s="13">
        <v>43194</v>
      </c>
      <c r="B569" s="14">
        <v>5141.8</v>
      </c>
      <c r="C569" s="2">
        <f t="shared" si="32"/>
        <v>-2.0030589349626648E-3</v>
      </c>
      <c r="D569">
        <f t="shared" si="33"/>
        <v>0</v>
      </c>
      <c r="E569">
        <v>0.49952613130609957</v>
      </c>
      <c r="F569">
        <v>0.90472607192616039</v>
      </c>
      <c r="G569">
        <v>0.10610830410913639</v>
      </c>
      <c r="I569">
        <v>0.90490950427628292</v>
      </c>
      <c r="J569">
        <v>0.10565969451956678</v>
      </c>
      <c r="K569">
        <f t="shared" si="34"/>
        <v>0</v>
      </c>
      <c r="L569" t="b">
        <f t="shared" si="35"/>
        <v>1</v>
      </c>
    </row>
    <row r="570" spans="1:12" x14ac:dyDescent="0.35">
      <c r="A570" s="13">
        <v>43195</v>
      </c>
      <c r="B570" s="14">
        <v>5276.67</v>
      </c>
      <c r="C570" s="2">
        <f t="shared" si="32"/>
        <v>2.6230113967871116E-2</v>
      </c>
      <c r="D570">
        <f t="shared" si="33"/>
        <v>1</v>
      </c>
      <c r="E570">
        <v>0.49946925419472504</v>
      </c>
      <c r="F570">
        <v>0.90490950427628292</v>
      </c>
      <c r="G570">
        <v>0.10565969451956678</v>
      </c>
      <c r="I570">
        <v>0.90478418034466757</v>
      </c>
      <c r="J570">
        <v>0.10547589330422937</v>
      </c>
      <c r="K570">
        <f t="shared" si="34"/>
        <v>0</v>
      </c>
      <c r="L570" t="b">
        <f t="shared" si="35"/>
        <v>0</v>
      </c>
    </row>
    <row r="571" spans="1:12" x14ac:dyDescent="0.35">
      <c r="A571" s="13">
        <v>43196</v>
      </c>
      <c r="B571" s="14">
        <v>5258.24</v>
      </c>
      <c r="C571" s="2">
        <f t="shared" si="32"/>
        <v>-3.4927331062962752E-3</v>
      </c>
      <c r="D571">
        <f t="shared" si="33"/>
        <v>0</v>
      </c>
      <c r="E571">
        <v>0.50588005834020511</v>
      </c>
      <c r="F571">
        <v>0.90478418034466757</v>
      </c>
      <c r="G571">
        <v>0.10547589330422937</v>
      </c>
      <c r="I571">
        <v>0.90312574829007486</v>
      </c>
      <c r="J571">
        <v>0.10560253923299084</v>
      </c>
      <c r="K571">
        <f t="shared" si="34"/>
        <v>1</v>
      </c>
      <c r="L571" t="b">
        <f t="shared" si="35"/>
        <v>0</v>
      </c>
    </row>
    <row r="572" spans="1:12" x14ac:dyDescent="0.35">
      <c r="A572" s="13">
        <v>43199</v>
      </c>
      <c r="B572" s="14">
        <v>5263.39</v>
      </c>
      <c r="C572" s="2">
        <f t="shared" si="32"/>
        <v>9.7941516553068375E-4</v>
      </c>
      <c r="D572">
        <f t="shared" si="33"/>
        <v>1</v>
      </c>
      <c r="E572">
        <v>0.49990389736097757</v>
      </c>
      <c r="F572">
        <v>0.90312574829007486</v>
      </c>
      <c r="G572">
        <v>0.10560253923299084</v>
      </c>
      <c r="I572">
        <v>0.90290741052138879</v>
      </c>
      <c r="J572">
        <v>0.10724223639330444</v>
      </c>
      <c r="K572">
        <f t="shared" si="34"/>
        <v>0</v>
      </c>
      <c r="L572" t="b">
        <f t="shared" si="35"/>
        <v>0</v>
      </c>
    </row>
    <row r="573" spans="1:12" x14ac:dyDescent="0.35">
      <c r="A573" s="13">
        <v>43200</v>
      </c>
      <c r="B573" s="14">
        <v>5307.56</v>
      </c>
      <c r="C573" s="2">
        <f t="shared" si="32"/>
        <v>8.3919299158907723E-3</v>
      </c>
      <c r="D573">
        <f t="shared" si="33"/>
        <v>1</v>
      </c>
      <c r="E573">
        <v>0.50012743817261307</v>
      </c>
      <c r="F573">
        <v>0.90290741052138879</v>
      </c>
      <c r="G573">
        <v>0.10724223639330444</v>
      </c>
      <c r="I573">
        <v>0.90296860836339909</v>
      </c>
      <c r="J573">
        <v>0.10702399622677879</v>
      </c>
      <c r="K573">
        <f t="shared" si="34"/>
        <v>1</v>
      </c>
      <c r="L573" t="b">
        <f t="shared" si="35"/>
        <v>1</v>
      </c>
    </row>
    <row r="574" spans="1:12" x14ac:dyDescent="0.35">
      <c r="A574" s="13">
        <v>43201</v>
      </c>
      <c r="B574" s="14">
        <v>5277.94</v>
      </c>
      <c r="C574" s="2">
        <f t="shared" si="32"/>
        <v>-5.5807188237158023E-3</v>
      </c>
      <c r="D574">
        <f t="shared" si="33"/>
        <v>0</v>
      </c>
      <c r="E574">
        <v>0.50192060810441652</v>
      </c>
      <c r="F574">
        <v>0.90296860836339909</v>
      </c>
      <c r="G574">
        <v>0.10702399622677879</v>
      </c>
      <c r="I574">
        <v>0.90244210581120909</v>
      </c>
      <c r="J574">
        <v>0.10696254855151531</v>
      </c>
      <c r="K574">
        <f t="shared" si="34"/>
        <v>1</v>
      </c>
      <c r="L574" t="b">
        <f t="shared" si="35"/>
        <v>0</v>
      </c>
    </row>
    <row r="575" spans="1:12" x14ac:dyDescent="0.35">
      <c r="A575" s="13">
        <v>43202</v>
      </c>
      <c r="B575" s="14">
        <v>5309.22</v>
      </c>
      <c r="C575" s="2">
        <f t="shared" si="32"/>
        <v>5.9265546785300938E-3</v>
      </c>
      <c r="D575">
        <f t="shared" si="33"/>
        <v>1</v>
      </c>
      <c r="E575">
        <v>0.49896533811780974</v>
      </c>
      <c r="F575">
        <v>0.90244210581120909</v>
      </c>
      <c r="G575">
        <v>0.10696254855151531</v>
      </c>
      <c r="I575">
        <v>0.90209259061176228</v>
      </c>
      <c r="J575">
        <v>0.10748812727191802</v>
      </c>
      <c r="K575">
        <f t="shared" si="34"/>
        <v>0</v>
      </c>
      <c r="L575" t="b">
        <f t="shared" si="35"/>
        <v>0</v>
      </c>
    </row>
    <row r="576" spans="1:12" x14ac:dyDescent="0.35">
      <c r="A576" s="13">
        <v>43203</v>
      </c>
      <c r="B576" s="14">
        <v>5315.02</v>
      </c>
      <c r="C576" s="2">
        <f t="shared" si="32"/>
        <v>1.0924391906910191E-3</v>
      </c>
      <c r="D576">
        <f t="shared" si="33"/>
        <v>1</v>
      </c>
      <c r="E576">
        <v>0.50118660778431523</v>
      </c>
      <c r="F576">
        <v>0.90209259061176228</v>
      </c>
      <c r="G576">
        <v>0.10748812727191802</v>
      </c>
      <c r="I576">
        <v>0.90246211913592833</v>
      </c>
      <c r="J576">
        <v>0.10714016207078955</v>
      </c>
      <c r="K576">
        <f t="shared" si="34"/>
        <v>1</v>
      </c>
      <c r="L576" t="b">
        <f t="shared" si="35"/>
        <v>1</v>
      </c>
    </row>
    <row r="577" spans="1:12" x14ac:dyDescent="0.35">
      <c r="A577" s="13">
        <v>43206</v>
      </c>
      <c r="B577" s="14">
        <v>5312.96</v>
      </c>
      <c r="C577" s="2">
        <f t="shared" si="32"/>
        <v>-3.8758085576351409E-4</v>
      </c>
      <c r="D577">
        <f t="shared" si="33"/>
        <v>0</v>
      </c>
      <c r="E577">
        <v>0.50040521416524519</v>
      </c>
      <c r="F577">
        <v>0.90246211913592833</v>
      </c>
      <c r="G577">
        <v>0.10714016207078955</v>
      </c>
      <c r="I577">
        <v>0.90239378639741141</v>
      </c>
      <c r="J577">
        <v>0.10676945245637311</v>
      </c>
      <c r="K577">
        <f t="shared" si="34"/>
        <v>1</v>
      </c>
      <c r="L577" t="b">
        <f t="shared" si="35"/>
        <v>0</v>
      </c>
    </row>
    <row r="578" spans="1:12" x14ac:dyDescent="0.35">
      <c r="A578" s="13">
        <v>43207</v>
      </c>
      <c r="B578" s="14">
        <v>5353.54</v>
      </c>
      <c r="C578" s="2">
        <f t="shared" si="32"/>
        <v>7.6379268806840983E-3</v>
      </c>
      <c r="D578">
        <f t="shared" si="33"/>
        <v>1</v>
      </c>
      <c r="E578">
        <v>0.49994172214483001</v>
      </c>
      <c r="F578">
        <v>0.90239378639741141</v>
      </c>
      <c r="G578">
        <v>0.10676945245637311</v>
      </c>
      <c r="I578">
        <v>0.90236955977083266</v>
      </c>
      <c r="J578">
        <v>0.10683773786299024</v>
      </c>
      <c r="K578">
        <f t="shared" si="34"/>
        <v>0</v>
      </c>
      <c r="L578" t="b">
        <f t="shared" si="35"/>
        <v>0</v>
      </c>
    </row>
    <row r="579" spans="1:12" x14ac:dyDescent="0.35">
      <c r="A579" s="13">
        <v>43208</v>
      </c>
      <c r="B579" s="14">
        <v>5380.17</v>
      </c>
      <c r="C579" s="2">
        <f t="shared" si="32"/>
        <v>4.9742787015694123E-3</v>
      </c>
      <c r="D579">
        <f t="shared" si="33"/>
        <v>1</v>
      </c>
      <c r="E579">
        <v>0.50171269941513552</v>
      </c>
      <c r="F579">
        <v>0.90236955977083266</v>
      </c>
      <c r="G579">
        <v>0.10683773786299024</v>
      </c>
      <c r="I579">
        <v>0.90284528943479114</v>
      </c>
      <c r="J579">
        <v>0.10681359731894609</v>
      </c>
      <c r="K579">
        <f t="shared" si="34"/>
        <v>1</v>
      </c>
      <c r="L579" t="b">
        <f t="shared" si="35"/>
        <v>1</v>
      </c>
    </row>
    <row r="580" spans="1:12" x14ac:dyDescent="0.35">
      <c r="A580" s="13">
        <v>43209</v>
      </c>
      <c r="B580" s="14">
        <v>5391.64</v>
      </c>
      <c r="C580" s="2">
        <f t="shared" ref="C580:C643" si="36">(B580/B579)-1</f>
        <v>2.1319028952617725E-3</v>
      </c>
      <c r="D580">
        <f t="shared" si="33"/>
        <v>1</v>
      </c>
      <c r="E580">
        <v>0.5013267065214414</v>
      </c>
      <c r="F580">
        <v>0.90284528943479114</v>
      </c>
      <c r="G580">
        <v>0.10681359731894609</v>
      </c>
      <c r="I580">
        <v>0.90315535474457864</v>
      </c>
      <c r="J580">
        <v>0.10728969773600691</v>
      </c>
      <c r="K580">
        <f t="shared" si="34"/>
        <v>1</v>
      </c>
      <c r="L580" t="b">
        <f t="shared" si="35"/>
        <v>1</v>
      </c>
    </row>
    <row r="581" spans="1:12" x14ac:dyDescent="0.35">
      <c r="A581" s="13">
        <v>43210</v>
      </c>
      <c r="B581" s="14">
        <v>5412.83</v>
      </c>
      <c r="C581" s="2">
        <f t="shared" si="36"/>
        <v>3.9301585417423901E-3</v>
      </c>
      <c r="D581">
        <f t="shared" si="33"/>
        <v>1</v>
      </c>
      <c r="E581">
        <v>0.50061478178368457</v>
      </c>
      <c r="F581">
        <v>0.90315535474457864</v>
      </c>
      <c r="G581">
        <v>0.10728969773600691</v>
      </c>
      <c r="I581">
        <v>0.90328843464245545</v>
      </c>
      <c r="J581">
        <v>0.10760020742342591</v>
      </c>
      <c r="K581">
        <f t="shared" si="34"/>
        <v>1</v>
      </c>
      <c r="L581" t="b">
        <f t="shared" si="35"/>
        <v>1</v>
      </c>
    </row>
    <row r="582" spans="1:12" x14ac:dyDescent="0.35">
      <c r="A582" s="13">
        <v>43213</v>
      </c>
      <c r="B582" s="14">
        <v>5438.55</v>
      </c>
      <c r="C582" s="2">
        <f t="shared" si="36"/>
        <v>4.7516733390851051E-3</v>
      </c>
      <c r="D582">
        <f t="shared" ref="D582:D645" si="37">IF(C582&gt;=0,1,0)</f>
        <v>1</v>
      </c>
      <c r="E582">
        <v>0.50094486386297332</v>
      </c>
      <c r="F582">
        <v>0.90328843464245545</v>
      </c>
      <c r="G582">
        <v>0.10760020742342591</v>
      </c>
      <c r="I582">
        <v>0.9035336044926946</v>
      </c>
      <c r="J582">
        <v>0.10773319908470479</v>
      </c>
      <c r="K582">
        <f t="shared" ref="K582:K645" si="38">IF(E582&gt;=0.5,1,0)</f>
        <v>1</v>
      </c>
      <c r="L582" t="b">
        <f t="shared" ref="L582:L645" si="39">IF(K582=D582,TRUE,FALSE)</f>
        <v>1</v>
      </c>
    </row>
    <row r="583" spans="1:12" x14ac:dyDescent="0.35">
      <c r="A583" s="13">
        <v>43214</v>
      </c>
      <c r="B583" s="14">
        <v>5444.16</v>
      </c>
      <c r="C583" s="2">
        <f t="shared" si="36"/>
        <v>1.0315249469068366E-3</v>
      </c>
      <c r="D583">
        <f t="shared" si="37"/>
        <v>1</v>
      </c>
      <c r="E583">
        <v>0.50117917408689205</v>
      </c>
      <c r="F583">
        <v>0.9035336044926946</v>
      </c>
      <c r="G583">
        <v>0.10773319908470479</v>
      </c>
      <c r="I583">
        <v>0.9038298820472811</v>
      </c>
      <c r="J583">
        <v>0.10797825333797313</v>
      </c>
      <c r="K583">
        <f t="shared" si="38"/>
        <v>1</v>
      </c>
      <c r="L583" t="b">
        <f t="shared" si="39"/>
        <v>1</v>
      </c>
    </row>
    <row r="584" spans="1:12" x14ac:dyDescent="0.35">
      <c r="A584" s="13">
        <v>43215</v>
      </c>
      <c r="B584" s="14">
        <v>5413.3</v>
      </c>
      <c r="C584" s="2">
        <f t="shared" si="36"/>
        <v>-5.6684594133896704E-3</v>
      </c>
      <c r="D584">
        <f t="shared" si="37"/>
        <v>0</v>
      </c>
      <c r="E584">
        <v>0.50036135005175919</v>
      </c>
      <c r="F584">
        <v>0.9038298820472811</v>
      </c>
      <c r="G584">
        <v>0.10797825333797313</v>
      </c>
      <c r="I584">
        <v>0.90376536517909722</v>
      </c>
      <c r="J584">
        <v>0.10768105928232762</v>
      </c>
      <c r="K584">
        <f t="shared" si="38"/>
        <v>1</v>
      </c>
      <c r="L584" t="b">
        <f t="shared" si="39"/>
        <v>0</v>
      </c>
    </row>
    <row r="585" spans="1:12" x14ac:dyDescent="0.35">
      <c r="A585" s="13">
        <v>43216</v>
      </c>
      <c r="B585" s="14">
        <v>5453.58</v>
      </c>
      <c r="C585" s="2">
        <f t="shared" si="36"/>
        <v>7.4409325180573305E-3</v>
      </c>
      <c r="D585">
        <f t="shared" si="37"/>
        <v>1</v>
      </c>
      <c r="E585">
        <v>0.49874703222457273</v>
      </c>
      <c r="F585">
        <v>0.90376536517909722</v>
      </c>
      <c r="G585">
        <v>0.10768105928232762</v>
      </c>
      <c r="I585">
        <v>0.9034102008964815</v>
      </c>
      <c r="J585">
        <v>0.10774569074407947</v>
      </c>
      <c r="K585">
        <f t="shared" si="38"/>
        <v>0</v>
      </c>
      <c r="L585" t="b">
        <f t="shared" si="39"/>
        <v>0</v>
      </c>
    </row>
    <row r="586" spans="1:12" x14ac:dyDescent="0.35">
      <c r="A586" s="13">
        <v>43217</v>
      </c>
      <c r="B586" s="14">
        <v>5483.19</v>
      </c>
      <c r="C586" s="2">
        <f t="shared" si="36"/>
        <v>5.4294610145995126E-3</v>
      </c>
      <c r="D586">
        <f t="shared" si="37"/>
        <v>1</v>
      </c>
      <c r="E586">
        <v>0.50152786081105105</v>
      </c>
      <c r="F586">
        <v>0.9034102008964815</v>
      </c>
      <c r="G586">
        <v>0.10774569074407947</v>
      </c>
      <c r="I586">
        <v>0.90387383376102914</v>
      </c>
      <c r="J586">
        <v>0.10739249790581304</v>
      </c>
      <c r="K586">
        <f t="shared" si="38"/>
        <v>1</v>
      </c>
      <c r="L586" t="b">
        <f t="shared" si="39"/>
        <v>1</v>
      </c>
    </row>
    <row r="587" spans="1:12" x14ac:dyDescent="0.35">
      <c r="A587" s="13">
        <v>43220</v>
      </c>
      <c r="B587" s="14">
        <v>5520.5</v>
      </c>
      <c r="C587" s="2">
        <f t="shared" si="36"/>
        <v>6.8044331857914919E-3</v>
      </c>
      <c r="D587">
        <f t="shared" si="37"/>
        <v>1</v>
      </c>
      <c r="E587">
        <v>0.50142665814640586</v>
      </c>
      <c r="F587">
        <v>0.90387383376102914</v>
      </c>
      <c r="G587">
        <v>0.10739249790581304</v>
      </c>
      <c r="I587">
        <v>0.90421220407150804</v>
      </c>
      <c r="J587">
        <v>0.10785622545438878</v>
      </c>
      <c r="K587">
        <f t="shared" si="38"/>
        <v>1</v>
      </c>
      <c r="L587" t="b">
        <f t="shared" si="39"/>
        <v>1</v>
      </c>
    </row>
    <row r="588" spans="1:12" x14ac:dyDescent="0.35">
      <c r="A588" s="13">
        <v>43222</v>
      </c>
      <c r="B588" s="14">
        <v>5529.22</v>
      </c>
      <c r="C588" s="2">
        <f t="shared" si="36"/>
        <v>1.5795670682003937E-3</v>
      </c>
      <c r="D588">
        <f t="shared" si="37"/>
        <v>1</v>
      </c>
      <c r="E588">
        <v>0.50168455680111357</v>
      </c>
      <c r="F588">
        <v>0.90421220407150804</v>
      </c>
      <c r="G588">
        <v>0.10785622545438878</v>
      </c>
      <c r="I588">
        <v>0.90463604352781979</v>
      </c>
      <c r="J588">
        <v>0.10819441964950542</v>
      </c>
      <c r="K588">
        <f t="shared" si="38"/>
        <v>1</v>
      </c>
      <c r="L588" t="b">
        <f t="shared" si="39"/>
        <v>1</v>
      </c>
    </row>
    <row r="589" spans="1:12" x14ac:dyDescent="0.35">
      <c r="A589" s="13">
        <v>43223</v>
      </c>
      <c r="B589" s="14">
        <v>5501.66</v>
      </c>
      <c r="C589" s="2">
        <f t="shared" si="36"/>
        <v>-4.9844281833604231E-3</v>
      </c>
      <c r="D589">
        <f t="shared" si="37"/>
        <v>0</v>
      </c>
      <c r="E589">
        <v>0.50054128353920824</v>
      </c>
      <c r="F589">
        <v>0.90463604352781979</v>
      </c>
      <c r="G589">
        <v>0.10819441964950542</v>
      </c>
      <c r="I589">
        <v>0.90453721382767438</v>
      </c>
      <c r="J589">
        <v>0.10776868268337747</v>
      </c>
      <c r="K589">
        <f t="shared" si="38"/>
        <v>1</v>
      </c>
      <c r="L589" t="b">
        <f t="shared" si="39"/>
        <v>0</v>
      </c>
    </row>
    <row r="590" spans="1:12" x14ac:dyDescent="0.35">
      <c r="A590" s="13">
        <v>43224</v>
      </c>
      <c r="B590" s="14">
        <v>5516.05</v>
      </c>
      <c r="C590" s="2">
        <f t="shared" si="36"/>
        <v>2.6155742085116618E-3</v>
      </c>
      <c r="D590">
        <f t="shared" si="37"/>
        <v>1</v>
      </c>
      <c r="E590">
        <v>0.49891540847129651</v>
      </c>
      <c r="F590">
        <v>0.90453721382767438</v>
      </c>
      <c r="G590">
        <v>0.10776868268337747</v>
      </c>
      <c r="I590">
        <v>0.90422501277666523</v>
      </c>
      <c r="J590">
        <v>0.1078676193077385</v>
      </c>
      <c r="K590">
        <f t="shared" si="38"/>
        <v>0</v>
      </c>
      <c r="L590" t="b">
        <f t="shared" si="39"/>
        <v>0</v>
      </c>
    </row>
    <row r="591" spans="1:12" x14ac:dyDescent="0.35">
      <c r="A591" s="13">
        <v>43227</v>
      </c>
      <c r="B591" s="14">
        <v>5531.42</v>
      </c>
      <c r="C591" s="2">
        <f t="shared" si="36"/>
        <v>2.7864141913143126E-3</v>
      </c>
      <c r="D591">
        <f t="shared" si="37"/>
        <v>1</v>
      </c>
      <c r="E591">
        <v>0.50045685217795477</v>
      </c>
      <c r="F591">
        <v>0.90422501277666523</v>
      </c>
      <c r="G591">
        <v>0.1078676193077385</v>
      </c>
      <c r="I591">
        <v>0.90438833666199847</v>
      </c>
      <c r="J591">
        <v>0.10755637744947964</v>
      </c>
      <c r="K591">
        <f t="shared" si="38"/>
        <v>1</v>
      </c>
      <c r="L591" t="b">
        <f t="shared" si="39"/>
        <v>1</v>
      </c>
    </row>
    <row r="592" spans="1:12" x14ac:dyDescent="0.35">
      <c r="A592" s="13">
        <v>43228</v>
      </c>
      <c r="B592" s="14">
        <v>5521.93</v>
      </c>
      <c r="C592" s="2">
        <f t="shared" si="36"/>
        <v>-1.7156534850002458E-3</v>
      </c>
      <c r="D592">
        <f t="shared" si="37"/>
        <v>0</v>
      </c>
      <c r="E592">
        <v>0.5007003300876568</v>
      </c>
      <c r="F592">
        <v>0.90438833666199847</v>
      </c>
      <c r="G592">
        <v>0.10755637744947964</v>
      </c>
      <c r="I592">
        <v>0.90421394219096574</v>
      </c>
      <c r="J592">
        <v>0.10739267541194263</v>
      </c>
      <c r="K592">
        <f t="shared" si="38"/>
        <v>1</v>
      </c>
      <c r="L592" t="b">
        <f t="shared" si="39"/>
        <v>0</v>
      </c>
    </row>
    <row r="593" spans="1:12" x14ac:dyDescent="0.35">
      <c r="A593" s="13">
        <v>43229</v>
      </c>
      <c r="B593" s="14">
        <v>5534.63</v>
      </c>
      <c r="C593" s="2">
        <f t="shared" si="36"/>
        <v>2.2999204988110034E-3</v>
      </c>
      <c r="D593">
        <f t="shared" si="37"/>
        <v>1</v>
      </c>
      <c r="E593">
        <v>0.49968698070931966</v>
      </c>
      <c r="F593">
        <v>0.90421394219096574</v>
      </c>
      <c r="G593">
        <v>0.10739267541194263</v>
      </c>
      <c r="I593">
        <v>0.90410664676112529</v>
      </c>
      <c r="J593">
        <v>0.10756693525577729</v>
      </c>
      <c r="K593">
        <f t="shared" si="38"/>
        <v>0</v>
      </c>
      <c r="L593" t="b">
        <f t="shared" si="39"/>
        <v>0</v>
      </c>
    </row>
    <row r="594" spans="1:12" x14ac:dyDescent="0.35">
      <c r="A594" s="13">
        <v>43230</v>
      </c>
      <c r="B594" s="14">
        <v>5545.95</v>
      </c>
      <c r="C594" s="2">
        <f t="shared" si="36"/>
        <v>2.0453038414491864E-3</v>
      </c>
      <c r="D594">
        <f t="shared" si="37"/>
        <v>1</v>
      </c>
      <c r="E594">
        <v>0.50047370631393218</v>
      </c>
      <c r="F594">
        <v>0.90410664676112529</v>
      </c>
      <c r="G594">
        <v>0.10756693525577729</v>
      </c>
      <c r="I594">
        <v>0.90425025547754123</v>
      </c>
      <c r="J594">
        <v>0.10745980859860679</v>
      </c>
      <c r="K594">
        <f t="shared" si="38"/>
        <v>1</v>
      </c>
      <c r="L594" t="b">
        <f t="shared" si="39"/>
        <v>1</v>
      </c>
    </row>
    <row r="595" spans="1:12" x14ac:dyDescent="0.35">
      <c r="A595" s="13">
        <v>43231</v>
      </c>
      <c r="B595" s="14">
        <v>5541.94</v>
      </c>
      <c r="C595" s="2">
        <f t="shared" si="36"/>
        <v>-7.230501537157652E-4</v>
      </c>
      <c r="D595">
        <f t="shared" si="37"/>
        <v>0</v>
      </c>
      <c r="E595">
        <v>0.50052415369243242</v>
      </c>
      <c r="F595">
        <v>0.90425025547754123</v>
      </c>
      <c r="G595">
        <v>0.10745980859860679</v>
      </c>
      <c r="I595">
        <v>0.90412229012138301</v>
      </c>
      <c r="J595">
        <v>0.10731591303658736</v>
      </c>
      <c r="K595">
        <f t="shared" si="38"/>
        <v>1</v>
      </c>
      <c r="L595" t="b">
        <f t="shared" si="39"/>
        <v>0</v>
      </c>
    </row>
    <row r="596" spans="1:12" x14ac:dyDescent="0.35">
      <c r="A596" s="13">
        <v>43234</v>
      </c>
      <c r="B596" s="14">
        <v>5540.68</v>
      </c>
      <c r="C596" s="2">
        <f t="shared" si="36"/>
        <v>-2.2735720704292195E-4</v>
      </c>
      <c r="D596">
        <f t="shared" si="37"/>
        <v>0</v>
      </c>
      <c r="E596">
        <v>0.49989144197378887</v>
      </c>
      <c r="F596">
        <v>0.90412229012138301</v>
      </c>
      <c r="G596">
        <v>0.10731591303658736</v>
      </c>
      <c r="I596">
        <v>0.90416747094224825</v>
      </c>
      <c r="J596">
        <v>0.10718810930678987</v>
      </c>
      <c r="K596">
        <f t="shared" si="38"/>
        <v>0</v>
      </c>
      <c r="L596" t="b">
        <f t="shared" si="39"/>
        <v>1</v>
      </c>
    </row>
    <row r="597" spans="1:12" x14ac:dyDescent="0.35">
      <c r="A597" s="13">
        <v>43235</v>
      </c>
      <c r="B597" s="14">
        <v>5553.16</v>
      </c>
      <c r="C597" s="2">
        <f t="shared" si="36"/>
        <v>2.2524311095388772E-3</v>
      </c>
      <c r="D597">
        <f t="shared" si="37"/>
        <v>1</v>
      </c>
      <c r="E597">
        <v>0.49992923215802171</v>
      </c>
      <c r="F597">
        <v>0.90416747094224825</v>
      </c>
      <c r="G597">
        <v>0.10718810930678987</v>
      </c>
      <c r="I597">
        <v>0.90415325910589539</v>
      </c>
      <c r="J597">
        <v>0.10714291227700067</v>
      </c>
      <c r="K597">
        <f t="shared" si="38"/>
        <v>0</v>
      </c>
      <c r="L597" t="b">
        <f t="shared" si="39"/>
        <v>0</v>
      </c>
    </row>
    <row r="598" spans="1:12" x14ac:dyDescent="0.35">
      <c r="A598" s="13">
        <v>43236</v>
      </c>
      <c r="B598" s="14">
        <v>5567.54</v>
      </c>
      <c r="C598" s="2">
        <f t="shared" si="36"/>
        <v>2.5895165995577507E-3</v>
      </c>
      <c r="D598">
        <f t="shared" si="37"/>
        <v>1</v>
      </c>
      <c r="E598">
        <v>0.50050304563409687</v>
      </c>
      <c r="F598">
        <v>0.90415325910589539</v>
      </c>
      <c r="G598">
        <v>0.10714291227700067</v>
      </c>
      <c r="I598">
        <v>0.90429389427343332</v>
      </c>
      <c r="J598">
        <v>0.10712871676231077</v>
      </c>
      <c r="K598">
        <f t="shared" si="38"/>
        <v>1</v>
      </c>
      <c r="L598" t="b">
        <f t="shared" si="39"/>
        <v>1</v>
      </c>
    </row>
    <row r="599" spans="1:12" x14ac:dyDescent="0.35">
      <c r="A599" s="13">
        <v>43237</v>
      </c>
      <c r="B599" s="14">
        <v>5621.92</v>
      </c>
      <c r="C599" s="2">
        <f t="shared" si="36"/>
        <v>9.7673299159053428E-3</v>
      </c>
      <c r="D599">
        <f t="shared" si="37"/>
        <v>1</v>
      </c>
      <c r="E599">
        <v>0.50064574566709086</v>
      </c>
      <c r="F599">
        <v>0.90429389427343332</v>
      </c>
      <c r="G599">
        <v>0.10712871676231077</v>
      </c>
      <c r="I599">
        <v>0.90445552977016486</v>
      </c>
      <c r="J599">
        <v>0.10726931165994764</v>
      </c>
      <c r="K599">
        <f t="shared" si="38"/>
        <v>1</v>
      </c>
      <c r="L599" t="b">
        <f t="shared" si="39"/>
        <v>1</v>
      </c>
    </row>
    <row r="600" spans="1:12" x14ac:dyDescent="0.35">
      <c r="A600" s="13">
        <v>43238</v>
      </c>
      <c r="B600" s="14">
        <v>5614.51</v>
      </c>
      <c r="C600" s="2">
        <f t="shared" si="36"/>
        <v>-1.3180550416939107E-3</v>
      </c>
      <c r="D600">
        <f t="shared" si="37"/>
        <v>0</v>
      </c>
      <c r="E600">
        <v>0.50227795704328426</v>
      </c>
      <c r="F600">
        <v>0.90445552977016486</v>
      </c>
      <c r="G600">
        <v>0.10726931165994764</v>
      </c>
      <c r="I600">
        <v>0.9038423031842856</v>
      </c>
      <c r="J600">
        <v>0.10710673289614049</v>
      </c>
      <c r="K600">
        <f t="shared" si="38"/>
        <v>1</v>
      </c>
      <c r="L600" t="b">
        <f t="shared" si="39"/>
        <v>0</v>
      </c>
    </row>
    <row r="601" spans="1:12" x14ac:dyDescent="0.35">
      <c r="A601" s="13">
        <v>43241</v>
      </c>
      <c r="B601" s="14">
        <v>5637.51</v>
      </c>
      <c r="C601" s="2">
        <f t="shared" si="36"/>
        <v>4.0965284592957563E-3</v>
      </c>
      <c r="D601">
        <f t="shared" si="37"/>
        <v>1</v>
      </c>
      <c r="E601">
        <v>0.4999637082230145</v>
      </c>
      <c r="F601">
        <v>0.9038423031842856</v>
      </c>
      <c r="G601">
        <v>0.10710673289614049</v>
      </c>
      <c r="I601">
        <v>0.90375991876529382</v>
      </c>
      <c r="J601">
        <v>0.10771723532188811</v>
      </c>
      <c r="K601">
        <f t="shared" si="38"/>
        <v>0</v>
      </c>
      <c r="L601" t="b">
        <f t="shared" si="39"/>
        <v>0</v>
      </c>
    </row>
    <row r="602" spans="1:12" x14ac:dyDescent="0.35">
      <c r="A602" s="13">
        <v>43242</v>
      </c>
      <c r="B602" s="14">
        <v>5640.1</v>
      </c>
      <c r="C602" s="2">
        <f t="shared" si="36"/>
        <v>4.5942268838539135E-4</v>
      </c>
      <c r="D602">
        <f t="shared" si="37"/>
        <v>1</v>
      </c>
      <c r="E602">
        <v>0.50089007430542898</v>
      </c>
      <c r="F602">
        <v>0.90375991876529382</v>
      </c>
      <c r="G602">
        <v>0.10771723532188811</v>
      </c>
      <c r="I602">
        <v>0.90401549520725322</v>
      </c>
      <c r="J602">
        <v>0.10763500378823468</v>
      </c>
      <c r="K602">
        <f t="shared" si="38"/>
        <v>1</v>
      </c>
      <c r="L602" t="b">
        <f t="shared" si="39"/>
        <v>1</v>
      </c>
    </row>
    <row r="603" spans="1:12" x14ac:dyDescent="0.35">
      <c r="A603" s="13">
        <v>43243</v>
      </c>
      <c r="B603" s="14">
        <v>5565.85</v>
      </c>
      <c r="C603" s="2">
        <f t="shared" si="36"/>
        <v>-1.3164660201060219E-2</v>
      </c>
      <c r="D603">
        <f t="shared" si="37"/>
        <v>0</v>
      </c>
      <c r="E603">
        <v>0.50021406375826749</v>
      </c>
      <c r="F603">
        <v>0.90401549520725322</v>
      </c>
      <c r="G603">
        <v>0.10763500378823468</v>
      </c>
      <c r="I603">
        <v>0.90398676900127606</v>
      </c>
      <c r="J603">
        <v>0.10737886119169317</v>
      </c>
      <c r="K603">
        <f t="shared" si="38"/>
        <v>1</v>
      </c>
      <c r="L603" t="b">
        <f t="shared" si="39"/>
        <v>0</v>
      </c>
    </row>
    <row r="604" spans="1:12" x14ac:dyDescent="0.35">
      <c r="A604" s="13">
        <v>43244</v>
      </c>
      <c r="B604" s="14">
        <v>5548.45</v>
      </c>
      <c r="C604" s="2">
        <f t="shared" si="36"/>
        <v>-3.1262071381730205E-3</v>
      </c>
      <c r="D604">
        <f t="shared" si="37"/>
        <v>0</v>
      </c>
      <c r="E604">
        <v>0.49703719808936719</v>
      </c>
      <c r="F604">
        <v>0.90398676900127606</v>
      </c>
      <c r="G604">
        <v>0.10737886119169317</v>
      </c>
      <c r="I604">
        <v>0.90480465600949722</v>
      </c>
      <c r="J604">
        <v>0.10735031842322261</v>
      </c>
      <c r="K604">
        <f t="shared" si="38"/>
        <v>0</v>
      </c>
      <c r="L604" t="b">
        <f t="shared" si="39"/>
        <v>1</v>
      </c>
    </row>
    <row r="605" spans="1:12" x14ac:dyDescent="0.35">
      <c r="A605" s="13">
        <v>43245</v>
      </c>
      <c r="B605" s="14">
        <v>5542.55</v>
      </c>
      <c r="C605" s="2">
        <f t="shared" si="36"/>
        <v>-1.0633600374878593E-3</v>
      </c>
      <c r="D605">
        <f t="shared" si="37"/>
        <v>0</v>
      </c>
      <c r="E605">
        <v>0.49893954228038706</v>
      </c>
      <c r="F605">
        <v>0.90480465600949722</v>
      </c>
      <c r="G605">
        <v>0.10735031842322261</v>
      </c>
      <c r="I605">
        <v>0.90499962867727535</v>
      </c>
      <c r="J605">
        <v>0.10817136092179928</v>
      </c>
      <c r="K605">
        <f t="shared" si="38"/>
        <v>0</v>
      </c>
      <c r="L605" t="b">
        <f t="shared" si="39"/>
        <v>1</v>
      </c>
    </row>
    <row r="606" spans="1:12" x14ac:dyDescent="0.35">
      <c r="A606" s="13">
        <v>43248</v>
      </c>
      <c r="B606" s="14">
        <v>5508.93</v>
      </c>
      <c r="C606" s="2">
        <f t="shared" si="36"/>
        <v>-6.0658000378887023E-3</v>
      </c>
      <c r="D606">
        <f t="shared" si="37"/>
        <v>0</v>
      </c>
      <c r="E606">
        <v>0.49967487341589023</v>
      </c>
      <c r="F606">
        <v>0.90499962867727535</v>
      </c>
      <c r="G606">
        <v>0.10817136092179928</v>
      </c>
      <c r="I606">
        <v>0.90506604543570834</v>
      </c>
      <c r="J606">
        <v>0.10836662173374209</v>
      </c>
      <c r="K606">
        <f t="shared" si="38"/>
        <v>0</v>
      </c>
      <c r="L606" t="b">
        <f t="shared" si="39"/>
        <v>1</v>
      </c>
    </row>
    <row r="607" spans="1:12" x14ac:dyDescent="0.35">
      <c r="A607" s="13">
        <v>43249</v>
      </c>
      <c r="B607" s="14">
        <v>5438.06</v>
      </c>
      <c r="C607" s="2">
        <f t="shared" si="36"/>
        <v>-1.286456716640072E-2</v>
      </c>
      <c r="D607">
        <f t="shared" si="37"/>
        <v>0</v>
      </c>
      <c r="E607">
        <v>0.49859870807191076</v>
      </c>
      <c r="F607">
        <v>0.90506604543570834</v>
      </c>
      <c r="G607">
        <v>0.10836662173374209</v>
      </c>
      <c r="I607">
        <v>0.90544409247411273</v>
      </c>
      <c r="J607">
        <v>0.10843289495580989</v>
      </c>
      <c r="K607">
        <f t="shared" si="38"/>
        <v>0</v>
      </c>
      <c r="L607" t="b">
        <f t="shared" si="39"/>
        <v>1</v>
      </c>
    </row>
    <row r="608" spans="1:12" x14ac:dyDescent="0.35">
      <c r="A608" s="13">
        <v>43250</v>
      </c>
      <c r="B608" s="14">
        <v>5427.35</v>
      </c>
      <c r="C608" s="2">
        <f t="shared" si="36"/>
        <v>-1.9694523414600651E-3</v>
      </c>
      <c r="D608">
        <f t="shared" si="37"/>
        <v>0</v>
      </c>
      <c r="E608">
        <v>0.49692356917274066</v>
      </c>
      <c r="F608">
        <v>0.90544409247411273</v>
      </c>
      <c r="G608">
        <v>0.10843289495580989</v>
      </c>
      <c r="I608">
        <v>0.90624315055148508</v>
      </c>
      <c r="J608">
        <v>0.10880966056737741</v>
      </c>
      <c r="K608">
        <f t="shared" si="38"/>
        <v>0</v>
      </c>
      <c r="L608" t="b">
        <f t="shared" si="39"/>
        <v>1</v>
      </c>
    </row>
    <row r="609" spans="1:12" x14ac:dyDescent="0.35">
      <c r="A609" s="13">
        <v>43251</v>
      </c>
      <c r="B609" s="14">
        <v>5398.4</v>
      </c>
      <c r="C609" s="2">
        <f t="shared" si="36"/>
        <v>-5.3340949081965849E-3</v>
      </c>
      <c r="D609">
        <f t="shared" si="37"/>
        <v>0</v>
      </c>
      <c r="E609">
        <v>0.49920385270247519</v>
      </c>
      <c r="F609">
        <v>0.90624315055148508</v>
      </c>
      <c r="G609">
        <v>0.10880966056737741</v>
      </c>
      <c r="I609">
        <v>0.90636604501446871</v>
      </c>
      <c r="J609">
        <v>0.10961241371867236</v>
      </c>
      <c r="K609">
        <f t="shared" si="38"/>
        <v>0</v>
      </c>
      <c r="L609" t="b">
        <f t="shared" si="39"/>
        <v>1</v>
      </c>
    </row>
    <row r="610" spans="1:12" x14ac:dyDescent="0.35">
      <c r="A610" s="13">
        <v>43252</v>
      </c>
      <c r="B610" s="14">
        <v>5465.53</v>
      </c>
      <c r="C610" s="2">
        <f t="shared" si="36"/>
        <v>1.2435165975103857E-2</v>
      </c>
      <c r="D610">
        <f t="shared" si="37"/>
        <v>1</v>
      </c>
      <c r="E610">
        <v>0.49873737295126458</v>
      </c>
      <c r="F610">
        <v>0.90636604501446871</v>
      </c>
      <c r="G610">
        <v>0.10961241371867236</v>
      </c>
      <c r="I610">
        <v>0.90603182434245066</v>
      </c>
      <c r="J610">
        <v>0.10948901289877715</v>
      </c>
      <c r="K610">
        <f t="shared" si="38"/>
        <v>0</v>
      </c>
      <c r="L610" t="b">
        <f t="shared" si="39"/>
        <v>0</v>
      </c>
    </row>
    <row r="611" spans="1:12" x14ac:dyDescent="0.35">
      <c r="A611" s="13">
        <v>43255</v>
      </c>
      <c r="B611" s="14">
        <v>5472.91</v>
      </c>
      <c r="C611" s="2">
        <f t="shared" si="36"/>
        <v>1.3502807595970889E-3</v>
      </c>
      <c r="D611">
        <f t="shared" si="37"/>
        <v>1</v>
      </c>
      <c r="E611">
        <v>0.50267063243469712</v>
      </c>
      <c r="F611">
        <v>0.90603182434245066</v>
      </c>
      <c r="G611">
        <v>0.10948901289877715</v>
      </c>
      <c r="I611">
        <v>0.90680484894186331</v>
      </c>
      <c r="J611">
        <v>0.10915742210313412</v>
      </c>
      <c r="K611">
        <f t="shared" si="38"/>
        <v>1</v>
      </c>
      <c r="L611" t="b">
        <f t="shared" si="39"/>
        <v>1</v>
      </c>
    </row>
    <row r="612" spans="1:12" x14ac:dyDescent="0.35">
      <c r="A612" s="13">
        <v>43256</v>
      </c>
      <c r="B612" s="14">
        <v>5460.95</v>
      </c>
      <c r="C612" s="2">
        <f t="shared" si="36"/>
        <v>-2.1853090951614584E-3</v>
      </c>
      <c r="D612">
        <f t="shared" si="37"/>
        <v>0</v>
      </c>
      <c r="E612">
        <v>0.50064545759183177</v>
      </c>
      <c r="F612">
        <v>0.90680484894186331</v>
      </c>
      <c r="G612">
        <v>0.10915742210313412</v>
      </c>
      <c r="I612">
        <v>0.90672034759158604</v>
      </c>
      <c r="J612">
        <v>0.10837922222999727</v>
      </c>
      <c r="K612">
        <f t="shared" si="38"/>
        <v>1</v>
      </c>
      <c r="L612" t="b">
        <f t="shared" si="39"/>
        <v>0</v>
      </c>
    </row>
    <row r="613" spans="1:12" x14ac:dyDescent="0.35">
      <c r="A613" s="13">
        <v>43257</v>
      </c>
      <c r="B613" s="14">
        <v>5457.56</v>
      </c>
      <c r="C613" s="2">
        <f t="shared" si="36"/>
        <v>-6.2077111125347084E-4</v>
      </c>
      <c r="D613">
        <f t="shared" si="37"/>
        <v>0</v>
      </c>
      <c r="E613">
        <v>0.49954121966779114</v>
      </c>
      <c r="F613">
        <v>0.90672034759158604</v>
      </c>
      <c r="G613">
        <v>0.10837922222999727</v>
      </c>
      <c r="I613">
        <v>0.90685680397304447</v>
      </c>
      <c r="J613">
        <v>0.10829490718879076</v>
      </c>
      <c r="K613">
        <f t="shared" si="38"/>
        <v>0</v>
      </c>
      <c r="L613" t="b">
        <f t="shared" si="39"/>
        <v>1</v>
      </c>
    </row>
    <row r="614" spans="1:12" x14ac:dyDescent="0.35">
      <c r="A614" s="13">
        <v>43258</v>
      </c>
      <c r="B614" s="14">
        <v>5448.36</v>
      </c>
      <c r="C614" s="2">
        <f t="shared" si="36"/>
        <v>-1.6857350171139984E-3</v>
      </c>
      <c r="D614">
        <f t="shared" si="37"/>
        <v>0</v>
      </c>
      <c r="E614">
        <v>0.49980009792275365</v>
      </c>
      <c r="F614">
        <v>0.90685680397304447</v>
      </c>
      <c r="G614">
        <v>0.10829490718879076</v>
      </c>
      <c r="I614">
        <v>0.90689558664961933</v>
      </c>
      <c r="J614">
        <v>0.10843143437943693</v>
      </c>
      <c r="K614">
        <f t="shared" si="38"/>
        <v>0</v>
      </c>
      <c r="L614" t="b">
        <f t="shared" si="39"/>
        <v>1</v>
      </c>
    </row>
    <row r="615" spans="1:12" x14ac:dyDescent="0.35">
      <c r="A615" s="13">
        <v>43259</v>
      </c>
      <c r="B615" s="14">
        <v>5450.22</v>
      </c>
      <c r="C615" s="2">
        <f t="shared" si="36"/>
        <v>3.4138713300890799E-4</v>
      </c>
      <c r="D615">
        <f t="shared" si="37"/>
        <v>1</v>
      </c>
      <c r="E615">
        <v>0.49960097589738633</v>
      </c>
      <c r="F615">
        <v>0.90689558664961933</v>
      </c>
      <c r="G615">
        <v>0.10843143437943693</v>
      </c>
      <c r="I615">
        <v>0.90679014419709125</v>
      </c>
      <c r="J615">
        <v>0.1083926052468837</v>
      </c>
      <c r="K615">
        <f t="shared" si="38"/>
        <v>0</v>
      </c>
      <c r="L615" t="b">
        <f t="shared" si="39"/>
        <v>0</v>
      </c>
    </row>
    <row r="616" spans="1:12" x14ac:dyDescent="0.35">
      <c r="A616" s="13">
        <v>43262</v>
      </c>
      <c r="B616" s="14">
        <v>5473.91</v>
      </c>
      <c r="C616" s="2">
        <f t="shared" si="36"/>
        <v>4.346613531196919E-3</v>
      </c>
      <c r="D616">
        <f t="shared" si="37"/>
        <v>1</v>
      </c>
      <c r="E616">
        <v>0.50003171131928437</v>
      </c>
      <c r="F616">
        <v>0.90679014419709125</v>
      </c>
      <c r="G616">
        <v>0.1083926052468837</v>
      </c>
      <c r="I616">
        <v>0.90681147953958896</v>
      </c>
      <c r="J616">
        <v>0.10828725349084801</v>
      </c>
      <c r="K616">
        <f t="shared" si="38"/>
        <v>1</v>
      </c>
      <c r="L616" t="b">
        <f t="shared" si="39"/>
        <v>1</v>
      </c>
    </row>
    <row r="617" spans="1:12" x14ac:dyDescent="0.35">
      <c r="A617" s="13">
        <v>43263</v>
      </c>
      <c r="B617" s="14">
        <v>5453.37</v>
      </c>
      <c r="C617" s="2">
        <f t="shared" si="36"/>
        <v>-3.7523452157598447E-3</v>
      </c>
      <c r="D617">
        <f t="shared" si="37"/>
        <v>0</v>
      </c>
      <c r="E617">
        <v>0.50099463041858228</v>
      </c>
      <c r="F617">
        <v>0.90681147953958896</v>
      </c>
      <c r="G617">
        <v>0.10828725349084801</v>
      </c>
      <c r="I617">
        <v>0.90653927686178815</v>
      </c>
      <c r="J617">
        <v>0.10826587443538223</v>
      </c>
      <c r="K617">
        <f t="shared" si="38"/>
        <v>1</v>
      </c>
      <c r="L617" t="b">
        <f t="shared" si="39"/>
        <v>0</v>
      </c>
    </row>
    <row r="618" spans="1:12" x14ac:dyDescent="0.35">
      <c r="A618" s="13">
        <v>43264</v>
      </c>
      <c r="B618" s="14">
        <v>5452.73</v>
      </c>
      <c r="C618" s="2">
        <f t="shared" si="36"/>
        <v>-1.1735862411688114E-4</v>
      </c>
      <c r="D618">
        <f t="shared" si="37"/>
        <v>0</v>
      </c>
      <c r="E618">
        <v>0.49926723592369349</v>
      </c>
      <c r="F618">
        <v>0.90653927686178815</v>
      </c>
      <c r="G618">
        <v>0.10826587443538223</v>
      </c>
      <c r="I618">
        <v>0.9067734542368403</v>
      </c>
      <c r="J618">
        <v>0.10799460980257962</v>
      </c>
      <c r="K618">
        <f t="shared" si="38"/>
        <v>0</v>
      </c>
      <c r="L618" t="b">
        <f t="shared" si="39"/>
        <v>1</v>
      </c>
    </row>
    <row r="619" spans="1:12" x14ac:dyDescent="0.35">
      <c r="A619" s="13">
        <v>43265</v>
      </c>
      <c r="B619" s="14">
        <v>5528.46</v>
      </c>
      <c r="C619" s="2">
        <f t="shared" si="36"/>
        <v>1.3888455874397021E-2</v>
      </c>
      <c r="D619">
        <f t="shared" si="37"/>
        <v>1</v>
      </c>
      <c r="E619">
        <v>0.49987208731719157</v>
      </c>
      <c r="F619">
        <v>0.9067734542368403</v>
      </c>
      <c r="G619">
        <v>0.10799460980257962</v>
      </c>
      <c r="I619">
        <v>0.90676611744685609</v>
      </c>
      <c r="J619">
        <v>0.10776002824537928</v>
      </c>
      <c r="K619">
        <f t="shared" si="38"/>
        <v>0</v>
      </c>
      <c r="L619" t="b">
        <f t="shared" si="39"/>
        <v>0</v>
      </c>
    </row>
    <row r="620" spans="1:12" x14ac:dyDescent="0.35">
      <c r="A620" s="13">
        <v>43266</v>
      </c>
      <c r="B620" s="14">
        <v>5501.88</v>
      </c>
      <c r="C620" s="2">
        <f t="shared" si="36"/>
        <v>-4.8078488403642261E-3</v>
      </c>
      <c r="D620">
        <f t="shared" si="37"/>
        <v>0</v>
      </c>
      <c r="E620">
        <v>0.50314519217552389</v>
      </c>
      <c r="F620">
        <v>0.90676611744685609</v>
      </c>
      <c r="G620">
        <v>0.10776002824537928</v>
      </c>
      <c r="I620">
        <v>0.90589266328488183</v>
      </c>
      <c r="J620">
        <v>0.10776740900675445</v>
      </c>
      <c r="K620">
        <f t="shared" si="38"/>
        <v>1</v>
      </c>
      <c r="L620" t="b">
        <f t="shared" si="39"/>
        <v>0</v>
      </c>
    </row>
    <row r="621" spans="1:12" x14ac:dyDescent="0.35">
      <c r="A621" s="13">
        <v>43269</v>
      </c>
      <c r="B621" s="14">
        <v>5450.48</v>
      </c>
      <c r="C621" s="2">
        <f t="shared" si="36"/>
        <v>-9.3422611907203468E-3</v>
      </c>
      <c r="D621">
        <f t="shared" si="37"/>
        <v>0</v>
      </c>
      <c r="E621">
        <v>0.4992853324651938</v>
      </c>
      <c r="F621">
        <v>0.90589266328488183</v>
      </c>
      <c r="G621">
        <v>0.10776740900675445</v>
      </c>
      <c r="I621">
        <v>0.90619272372269544</v>
      </c>
      <c r="J621">
        <v>0.10690062298901626</v>
      </c>
      <c r="K621">
        <f t="shared" si="38"/>
        <v>0</v>
      </c>
      <c r="L621" t="b">
        <f t="shared" si="39"/>
        <v>1</v>
      </c>
    </row>
    <row r="622" spans="1:12" x14ac:dyDescent="0.35">
      <c r="A622" s="13">
        <v>43270</v>
      </c>
      <c r="B622" s="14">
        <v>5390.63</v>
      </c>
      <c r="C622" s="2">
        <f t="shared" si="36"/>
        <v>-1.09806842700092E-2</v>
      </c>
      <c r="D622">
        <f t="shared" si="37"/>
        <v>0</v>
      </c>
      <c r="E622">
        <v>0.49775505229799805</v>
      </c>
      <c r="F622">
        <v>0.90619272372269544</v>
      </c>
      <c r="G622">
        <v>0.10690062298901626</v>
      </c>
      <c r="I622">
        <v>0.90677398171823187</v>
      </c>
      <c r="J622">
        <v>0.10719975833994912</v>
      </c>
      <c r="K622">
        <f t="shared" si="38"/>
        <v>0</v>
      </c>
      <c r="L622" t="b">
        <f t="shared" si="39"/>
        <v>1</v>
      </c>
    </row>
    <row r="623" spans="1:12" x14ac:dyDescent="0.35">
      <c r="A623" s="13">
        <v>43271</v>
      </c>
      <c r="B623" s="14">
        <v>5372.31</v>
      </c>
      <c r="C623" s="2">
        <f t="shared" si="36"/>
        <v>-3.3984896014008781E-3</v>
      </c>
      <c r="D623">
        <f t="shared" si="37"/>
        <v>0</v>
      </c>
      <c r="E623">
        <v>0.497260405681203</v>
      </c>
      <c r="F623">
        <v>0.90677398171823187</v>
      </c>
      <c r="G623">
        <v>0.10719975833994912</v>
      </c>
      <c r="I623">
        <v>0.90745649366692394</v>
      </c>
      <c r="J623">
        <v>0.10778043298040697</v>
      </c>
      <c r="K623">
        <f t="shared" si="38"/>
        <v>0</v>
      </c>
      <c r="L623" t="b">
        <f t="shared" si="39"/>
        <v>1</v>
      </c>
    </row>
    <row r="624" spans="1:12" x14ac:dyDescent="0.35">
      <c r="A624" s="13">
        <v>43272</v>
      </c>
      <c r="B624" s="14">
        <v>5316.01</v>
      </c>
      <c r="C624" s="2">
        <f t="shared" si="36"/>
        <v>-1.0479663310568488E-2</v>
      </c>
      <c r="D624">
        <f t="shared" si="37"/>
        <v>0</v>
      </c>
      <c r="E624">
        <v>0.4989331305284771</v>
      </c>
      <c r="F624">
        <v>0.90745649366692394</v>
      </c>
      <c r="G624">
        <v>0.10778043298040697</v>
      </c>
      <c r="I624">
        <v>0.90766844508392519</v>
      </c>
      <c r="J624">
        <v>0.10846525825976414</v>
      </c>
      <c r="K624">
        <f t="shared" si="38"/>
        <v>0</v>
      </c>
      <c r="L624" t="b">
        <f t="shared" si="39"/>
        <v>1</v>
      </c>
    </row>
    <row r="625" spans="1:12" x14ac:dyDescent="0.35">
      <c r="A625" s="13">
        <v>43273</v>
      </c>
      <c r="B625" s="14">
        <v>5387.38</v>
      </c>
      <c r="C625" s="2">
        <f t="shared" si="36"/>
        <v>1.3425482645818887E-2</v>
      </c>
      <c r="D625">
        <f t="shared" si="37"/>
        <v>1</v>
      </c>
      <c r="E625">
        <v>0.49752985065763239</v>
      </c>
      <c r="F625">
        <v>0.90766844508392519</v>
      </c>
      <c r="G625">
        <v>0.10846525825976414</v>
      </c>
      <c r="I625">
        <v>0.90701024640008721</v>
      </c>
      <c r="J625">
        <v>0.10825180852226891</v>
      </c>
      <c r="K625">
        <f t="shared" si="38"/>
        <v>0</v>
      </c>
      <c r="L625" t="b">
        <f t="shared" si="39"/>
        <v>0</v>
      </c>
    </row>
    <row r="626" spans="1:12" x14ac:dyDescent="0.35">
      <c r="A626" s="13">
        <v>43276</v>
      </c>
      <c r="B626" s="14">
        <v>5283.86</v>
      </c>
      <c r="C626" s="2">
        <f t="shared" si="36"/>
        <v>-1.9215277184828294E-2</v>
      </c>
      <c r="D626">
        <f t="shared" si="37"/>
        <v>0</v>
      </c>
      <c r="E626">
        <v>0.50276062390184173</v>
      </c>
      <c r="F626">
        <v>0.90701024640008721</v>
      </c>
      <c r="G626">
        <v>0.10825180852226891</v>
      </c>
      <c r="I626">
        <v>0.90616654661646567</v>
      </c>
      <c r="J626">
        <v>0.10891038370357213</v>
      </c>
      <c r="K626">
        <f t="shared" si="38"/>
        <v>1</v>
      </c>
      <c r="L626" t="b">
        <f t="shared" si="39"/>
        <v>0</v>
      </c>
    </row>
    <row r="627" spans="1:12" x14ac:dyDescent="0.35">
      <c r="A627" s="13">
        <v>43277</v>
      </c>
      <c r="B627" s="14">
        <v>5281.29</v>
      </c>
      <c r="C627" s="2">
        <f t="shared" si="36"/>
        <v>-4.8638684598001358E-4</v>
      </c>
      <c r="D627">
        <f t="shared" si="37"/>
        <v>0</v>
      </c>
      <c r="E627">
        <v>0.49601256780912084</v>
      </c>
      <c r="F627">
        <v>0.90616654661646567</v>
      </c>
      <c r="G627">
        <v>0.10891038370357213</v>
      </c>
      <c r="I627">
        <v>0.90735784821889853</v>
      </c>
      <c r="J627">
        <v>0.10807803562784271</v>
      </c>
      <c r="K627">
        <f t="shared" si="38"/>
        <v>0</v>
      </c>
      <c r="L627" t="b">
        <f t="shared" si="39"/>
        <v>1</v>
      </c>
    </row>
    <row r="628" spans="1:12" x14ac:dyDescent="0.35">
      <c r="A628" s="13">
        <v>43278</v>
      </c>
      <c r="B628" s="14">
        <v>5327.2</v>
      </c>
      <c r="C628" s="2">
        <f t="shared" si="36"/>
        <v>8.6929519113700948E-3</v>
      </c>
      <c r="D628">
        <f t="shared" si="37"/>
        <v>1</v>
      </c>
      <c r="E628">
        <v>0.49937048124909506</v>
      </c>
      <c r="F628">
        <v>0.90735784821889853</v>
      </c>
      <c r="G628">
        <v>0.10807803562784271</v>
      </c>
      <c r="I628">
        <v>0.90732741081556856</v>
      </c>
      <c r="J628">
        <v>0.10687557066275043</v>
      </c>
      <c r="K628">
        <f t="shared" si="38"/>
        <v>0</v>
      </c>
      <c r="L628" t="b">
        <f t="shared" si="39"/>
        <v>0</v>
      </c>
    </row>
    <row r="629" spans="1:12" x14ac:dyDescent="0.35">
      <c r="A629" s="13">
        <v>43279</v>
      </c>
      <c r="B629" s="14">
        <v>5275.64</v>
      </c>
      <c r="C629" s="2">
        <f t="shared" si="36"/>
        <v>-9.6786304249886213E-3</v>
      </c>
      <c r="D629">
        <f t="shared" si="37"/>
        <v>0</v>
      </c>
      <c r="E629">
        <v>0.50195883264804386</v>
      </c>
      <c r="F629">
        <v>0.90732741081556856</v>
      </c>
      <c r="G629">
        <v>0.10687557066275043</v>
      </c>
      <c r="I629">
        <v>0.90678198118779418</v>
      </c>
      <c r="J629">
        <v>0.10690608846603084</v>
      </c>
      <c r="K629">
        <f t="shared" si="38"/>
        <v>1</v>
      </c>
      <c r="L629" t="b">
        <f t="shared" si="39"/>
        <v>0</v>
      </c>
    </row>
    <row r="630" spans="1:12" x14ac:dyDescent="0.35">
      <c r="A630" s="13">
        <v>43280</v>
      </c>
      <c r="B630" s="14">
        <v>5323.53</v>
      </c>
      <c r="C630" s="2">
        <f t="shared" si="36"/>
        <v>9.077571631119552E-3</v>
      </c>
      <c r="D630">
        <f t="shared" si="37"/>
        <v>1</v>
      </c>
      <c r="E630">
        <v>0.49803824052006351</v>
      </c>
      <c r="F630">
        <v>0.90678198118779418</v>
      </c>
      <c r="G630">
        <v>0.10690608846603084</v>
      </c>
      <c r="I630">
        <v>0.90617470274169776</v>
      </c>
      <c r="J630">
        <v>0.10745152124907198</v>
      </c>
      <c r="K630">
        <f t="shared" si="38"/>
        <v>0</v>
      </c>
      <c r="L630" t="b">
        <f t="shared" si="39"/>
        <v>0</v>
      </c>
    </row>
    <row r="631" spans="1:12" x14ac:dyDescent="0.35">
      <c r="A631" s="13">
        <v>43283</v>
      </c>
      <c r="B631" s="14">
        <v>5276.76</v>
      </c>
      <c r="C631" s="2">
        <f t="shared" si="36"/>
        <v>-8.7855238911022093E-3</v>
      </c>
      <c r="D631">
        <f t="shared" si="37"/>
        <v>0</v>
      </c>
      <c r="E631">
        <v>0.50179646282261037</v>
      </c>
      <c r="F631">
        <v>0.90617470274169776</v>
      </c>
      <c r="G631">
        <v>0.10745152124907198</v>
      </c>
      <c r="I631">
        <v>0.90560532342503619</v>
      </c>
      <c r="J631">
        <v>0.10805860122613409</v>
      </c>
      <c r="K631">
        <f t="shared" si="38"/>
        <v>1</v>
      </c>
      <c r="L631" t="b">
        <f t="shared" si="39"/>
        <v>0</v>
      </c>
    </row>
    <row r="632" spans="1:12" x14ac:dyDescent="0.35">
      <c r="A632" s="13">
        <v>43284</v>
      </c>
      <c r="B632" s="14">
        <v>5316.77</v>
      </c>
      <c r="C632" s="2">
        <f t="shared" si="36"/>
        <v>7.5823042927858353E-3</v>
      </c>
      <c r="D632">
        <f t="shared" si="37"/>
        <v>1</v>
      </c>
      <c r="E632">
        <v>0.49825618019247681</v>
      </c>
      <c r="F632">
        <v>0.90560532342503619</v>
      </c>
      <c r="G632">
        <v>0.10805860122613409</v>
      </c>
      <c r="I632">
        <v>0.90505431983780504</v>
      </c>
      <c r="J632">
        <v>0.10862792123414866</v>
      </c>
      <c r="K632">
        <f t="shared" si="38"/>
        <v>0</v>
      </c>
      <c r="L632" t="b">
        <f t="shared" si="39"/>
        <v>0</v>
      </c>
    </row>
    <row r="633" spans="1:12" x14ac:dyDescent="0.35">
      <c r="A633" s="13">
        <v>43285</v>
      </c>
      <c r="B633" s="14">
        <v>5320.5</v>
      </c>
      <c r="C633" s="2">
        <f t="shared" si="36"/>
        <v>7.0155376290492732E-4</v>
      </c>
      <c r="D633">
        <f t="shared" si="37"/>
        <v>1</v>
      </c>
      <c r="E633">
        <v>0.50147700671807793</v>
      </c>
      <c r="F633">
        <v>0.90505431983780504</v>
      </c>
      <c r="G633">
        <v>0.10862792123414866</v>
      </c>
      <c r="I633">
        <v>0.90552680984373068</v>
      </c>
      <c r="J633">
        <v>0.10808045280303907</v>
      </c>
      <c r="K633">
        <f t="shared" si="38"/>
        <v>1</v>
      </c>
      <c r="L633" t="b">
        <f t="shared" si="39"/>
        <v>1</v>
      </c>
    </row>
    <row r="634" spans="1:12" x14ac:dyDescent="0.35">
      <c r="A634" s="13">
        <v>43286</v>
      </c>
      <c r="B634" s="14">
        <v>5366.32</v>
      </c>
      <c r="C634" s="2">
        <f t="shared" si="36"/>
        <v>8.6119725589699492E-3</v>
      </c>
      <c r="D634">
        <f t="shared" si="37"/>
        <v>1</v>
      </c>
      <c r="E634">
        <v>0.50036369359138544</v>
      </c>
      <c r="F634">
        <v>0.90552680984373068</v>
      </c>
      <c r="G634">
        <v>0.10808045280303907</v>
      </c>
      <c r="I634">
        <v>0.905570625036904</v>
      </c>
      <c r="J634">
        <v>0.10855400186635208</v>
      </c>
      <c r="K634">
        <f t="shared" si="38"/>
        <v>1</v>
      </c>
      <c r="L634" t="b">
        <f t="shared" si="39"/>
        <v>1</v>
      </c>
    </row>
    <row r="635" spans="1:12" x14ac:dyDescent="0.35">
      <c r="A635" s="13">
        <v>43287</v>
      </c>
      <c r="B635" s="14">
        <v>5375.77</v>
      </c>
      <c r="C635" s="2">
        <f t="shared" si="36"/>
        <v>1.7609833181773116E-3</v>
      </c>
      <c r="D635">
        <f t="shared" si="37"/>
        <v>1</v>
      </c>
      <c r="E635">
        <v>0.5019687162863683</v>
      </c>
      <c r="F635">
        <v>0.905570625036904</v>
      </c>
      <c r="G635">
        <v>0.10855400186635208</v>
      </c>
      <c r="I635">
        <v>0.90610674569370175</v>
      </c>
      <c r="J635">
        <v>0.10859767565439217</v>
      </c>
      <c r="K635">
        <f t="shared" si="38"/>
        <v>1</v>
      </c>
      <c r="L635" t="b">
        <f t="shared" si="39"/>
        <v>1</v>
      </c>
    </row>
    <row r="636" spans="1:12" x14ac:dyDescent="0.35">
      <c r="A636" s="13">
        <v>43290</v>
      </c>
      <c r="B636" s="14">
        <v>5398.11</v>
      </c>
      <c r="C636" s="2">
        <f t="shared" si="36"/>
        <v>4.1556837439100658E-3</v>
      </c>
      <c r="D636">
        <f t="shared" si="37"/>
        <v>1</v>
      </c>
      <c r="E636">
        <v>0.50063271942885712</v>
      </c>
      <c r="F636">
        <v>0.90610674569370175</v>
      </c>
      <c r="G636">
        <v>0.10859767565439217</v>
      </c>
      <c r="I636">
        <v>0.90621666769902065</v>
      </c>
      <c r="J636">
        <v>0.10913524195820755</v>
      </c>
      <c r="K636">
        <f t="shared" si="38"/>
        <v>1</v>
      </c>
      <c r="L636" t="b">
        <f t="shared" si="39"/>
        <v>1</v>
      </c>
    </row>
    <row r="637" spans="1:12" x14ac:dyDescent="0.35">
      <c r="A637" s="13">
        <v>43291</v>
      </c>
      <c r="B637" s="14">
        <v>5434.36</v>
      </c>
      <c r="C637" s="2">
        <f t="shared" si="36"/>
        <v>6.715313322625871E-3</v>
      </c>
      <c r="D637">
        <f t="shared" si="37"/>
        <v>1</v>
      </c>
      <c r="E637">
        <v>0.50098953251182954</v>
      </c>
      <c r="F637">
        <v>0.90621666769902065</v>
      </c>
      <c r="G637">
        <v>0.10913524195820755</v>
      </c>
      <c r="I637">
        <v>0.90647588289472159</v>
      </c>
      <c r="J637">
        <v>0.10924508516658847</v>
      </c>
      <c r="K637">
        <f t="shared" si="38"/>
        <v>1</v>
      </c>
      <c r="L637" t="b">
        <f t="shared" si="39"/>
        <v>1</v>
      </c>
    </row>
    <row r="638" spans="1:12" x14ac:dyDescent="0.35">
      <c r="A638" s="13">
        <v>43292</v>
      </c>
      <c r="B638" s="14">
        <v>5353.93</v>
      </c>
      <c r="C638" s="2">
        <f t="shared" si="36"/>
        <v>-1.4800270869062659E-2</v>
      </c>
      <c r="D638">
        <f t="shared" si="37"/>
        <v>0</v>
      </c>
      <c r="E638">
        <v>0.50163530856842464</v>
      </c>
      <c r="F638">
        <v>0.90647588289472159</v>
      </c>
      <c r="G638">
        <v>0.10924508516658847</v>
      </c>
      <c r="I638">
        <v>0.90605480761514412</v>
      </c>
      <c r="J638">
        <v>0.10898450824184445</v>
      </c>
      <c r="K638">
        <f t="shared" si="38"/>
        <v>1</v>
      </c>
      <c r="L638" t="b">
        <f t="shared" si="39"/>
        <v>0</v>
      </c>
    </row>
    <row r="639" spans="1:12" x14ac:dyDescent="0.35">
      <c r="A639" s="13">
        <v>43293</v>
      </c>
      <c r="B639" s="14">
        <v>5405.9</v>
      </c>
      <c r="C639" s="2">
        <f t="shared" si="36"/>
        <v>9.7068882110897814E-3</v>
      </c>
      <c r="D639">
        <f t="shared" si="37"/>
        <v>1</v>
      </c>
      <c r="E639">
        <v>0.49683054458879677</v>
      </c>
      <c r="F639">
        <v>0.90605480761514412</v>
      </c>
      <c r="G639">
        <v>0.10898450824184445</v>
      </c>
      <c r="I639">
        <v>0.90512396449044985</v>
      </c>
      <c r="J639">
        <v>0.109406858838792</v>
      </c>
      <c r="K639">
        <f t="shared" si="38"/>
        <v>0</v>
      </c>
      <c r="L639" t="b">
        <f t="shared" si="39"/>
        <v>0</v>
      </c>
    </row>
    <row r="640" spans="1:12" x14ac:dyDescent="0.35">
      <c r="A640" s="13">
        <v>43294</v>
      </c>
      <c r="B640" s="14">
        <v>5429.2</v>
      </c>
      <c r="C640" s="2">
        <f t="shared" si="36"/>
        <v>4.3101056253354031E-3</v>
      </c>
      <c r="D640">
        <f t="shared" si="37"/>
        <v>1</v>
      </c>
      <c r="E640">
        <v>0.50179166383016305</v>
      </c>
      <c r="F640">
        <v>0.90512396449044985</v>
      </c>
      <c r="G640">
        <v>0.109406858838792</v>
      </c>
      <c r="I640">
        <v>0.9057284633065712</v>
      </c>
      <c r="J640">
        <v>0.10848516838310064</v>
      </c>
      <c r="K640">
        <f t="shared" si="38"/>
        <v>1</v>
      </c>
      <c r="L640" t="b">
        <f t="shared" si="39"/>
        <v>1</v>
      </c>
    </row>
    <row r="641" spans="1:12" x14ac:dyDescent="0.35">
      <c r="A641" s="13">
        <v>43297</v>
      </c>
      <c r="B641" s="14">
        <v>5409.43</v>
      </c>
      <c r="C641" s="2">
        <f t="shared" si="36"/>
        <v>-3.6414204671036954E-3</v>
      </c>
      <c r="D641">
        <f t="shared" si="37"/>
        <v>0</v>
      </c>
      <c r="E641">
        <v>0.50123920714939352</v>
      </c>
      <c r="F641">
        <v>0.9057284633065712</v>
      </c>
      <c r="G641">
        <v>0.10848516838310064</v>
      </c>
      <c r="I641">
        <v>0.90545841572456209</v>
      </c>
      <c r="J641">
        <v>0.10787698800004256</v>
      </c>
      <c r="K641">
        <f t="shared" si="38"/>
        <v>1</v>
      </c>
      <c r="L641" t="b">
        <f t="shared" si="39"/>
        <v>0</v>
      </c>
    </row>
    <row r="642" spans="1:12" x14ac:dyDescent="0.35">
      <c r="A642" s="13">
        <v>43298</v>
      </c>
      <c r="B642" s="14">
        <v>5422.54</v>
      </c>
      <c r="C642" s="2">
        <f t="shared" si="36"/>
        <v>2.4235455491612434E-3</v>
      </c>
      <c r="D642">
        <f t="shared" si="37"/>
        <v>1</v>
      </c>
      <c r="E642">
        <v>0.49929195207471305</v>
      </c>
      <c r="F642">
        <v>0.90545841572456209</v>
      </c>
      <c r="G642">
        <v>0.10787698800004256</v>
      </c>
      <c r="I642">
        <v>0.90523050511487857</v>
      </c>
      <c r="J642">
        <v>0.10814675053083095</v>
      </c>
      <c r="K642">
        <f t="shared" si="38"/>
        <v>0</v>
      </c>
      <c r="L642" t="b">
        <f t="shared" si="39"/>
        <v>0</v>
      </c>
    </row>
    <row r="643" spans="1:12" x14ac:dyDescent="0.35">
      <c r="A643" s="13">
        <v>43299</v>
      </c>
      <c r="B643" s="14">
        <v>5447.44</v>
      </c>
      <c r="C643" s="2">
        <f t="shared" si="36"/>
        <v>4.591943996724801E-3</v>
      </c>
      <c r="D643">
        <f t="shared" si="37"/>
        <v>1</v>
      </c>
      <c r="E643">
        <v>0.50045001477118856</v>
      </c>
      <c r="F643">
        <v>0.90523050511487857</v>
      </c>
      <c r="G643">
        <v>0.10814675053083095</v>
      </c>
      <c r="I643">
        <v>0.90538184026019952</v>
      </c>
      <c r="J643">
        <v>0.10791936677245484</v>
      </c>
      <c r="K643">
        <f t="shared" si="38"/>
        <v>1</v>
      </c>
      <c r="L643" t="b">
        <f t="shared" si="39"/>
        <v>1</v>
      </c>
    </row>
    <row r="644" spans="1:12" x14ac:dyDescent="0.35">
      <c r="A644" s="13">
        <v>43300</v>
      </c>
      <c r="B644" s="14">
        <v>5417.07</v>
      </c>
      <c r="C644" s="2">
        <f t="shared" ref="C644:C707" si="40">(B644/B643)-1</f>
        <v>-5.575095824827736E-3</v>
      </c>
      <c r="D644">
        <f t="shared" si="37"/>
        <v>0</v>
      </c>
      <c r="E644">
        <v>0.50110475075401906</v>
      </c>
      <c r="F644">
        <v>0.90538184026019952</v>
      </c>
      <c r="G644">
        <v>0.10791936677245484</v>
      </c>
      <c r="I644">
        <v>0.90509421104538812</v>
      </c>
      <c r="J644">
        <v>0.10776756124001323</v>
      </c>
      <c r="K644">
        <f t="shared" si="38"/>
        <v>1</v>
      </c>
      <c r="L644" t="b">
        <f t="shared" si="39"/>
        <v>0</v>
      </c>
    </row>
    <row r="645" spans="1:12" x14ac:dyDescent="0.35">
      <c r="A645" s="13">
        <v>43301</v>
      </c>
      <c r="B645" s="14">
        <v>5398.32</v>
      </c>
      <c r="C645" s="2">
        <f t="shared" si="40"/>
        <v>-3.4612807292503378E-3</v>
      </c>
      <c r="D645">
        <f t="shared" si="37"/>
        <v>0</v>
      </c>
      <c r="E645">
        <v>0.49886222087607629</v>
      </c>
      <c r="F645">
        <v>0.90509421104538812</v>
      </c>
      <c r="G645">
        <v>0.10776756124001323</v>
      </c>
      <c r="I645">
        <v>0.90544185983079217</v>
      </c>
      <c r="J645">
        <v>0.10748121930020373</v>
      </c>
      <c r="K645">
        <f t="shared" si="38"/>
        <v>0</v>
      </c>
      <c r="L645" t="b">
        <f t="shared" si="39"/>
        <v>1</v>
      </c>
    </row>
    <row r="646" spans="1:12" x14ac:dyDescent="0.35">
      <c r="A646" s="13">
        <v>43304</v>
      </c>
      <c r="B646" s="14">
        <v>5378.25</v>
      </c>
      <c r="C646" s="2">
        <f t="shared" si="40"/>
        <v>-3.7178233228114532E-3</v>
      </c>
      <c r="D646">
        <f t="shared" ref="D646:D709" si="41">IF(C646&gt;=0,1,0)</f>
        <v>0</v>
      </c>
      <c r="E646">
        <v>0.49906669944447324</v>
      </c>
      <c r="F646">
        <v>0.90544185983079217</v>
      </c>
      <c r="G646">
        <v>0.10748121930020373</v>
      </c>
      <c r="I646">
        <v>0.9056577853221367</v>
      </c>
      <c r="J646">
        <v>0.1078290111724711</v>
      </c>
      <c r="K646">
        <f t="shared" ref="K646:K709" si="42">IF(E646&gt;=0.5,1,0)</f>
        <v>0</v>
      </c>
      <c r="L646" t="b">
        <f t="shared" ref="L646:L709" si="43">IF(K646=D646,TRUE,FALSE)</f>
        <v>1</v>
      </c>
    </row>
    <row r="647" spans="1:12" x14ac:dyDescent="0.35">
      <c r="A647" s="13">
        <v>43305</v>
      </c>
      <c r="B647" s="14">
        <v>5434.19</v>
      </c>
      <c r="C647" s="2">
        <f t="shared" si="40"/>
        <v>1.0401152791335466E-2</v>
      </c>
      <c r="D647">
        <f t="shared" si="41"/>
        <v>1</v>
      </c>
      <c r="E647">
        <v>0.49906492556133436</v>
      </c>
      <c r="F647">
        <v>0.9056577853221367</v>
      </c>
      <c r="G647">
        <v>0.1078290111724711</v>
      </c>
      <c r="I647">
        <v>0.90542498762346912</v>
      </c>
      <c r="J647">
        <v>0.10761227731552103</v>
      </c>
      <c r="K647">
        <f t="shared" si="42"/>
        <v>0</v>
      </c>
      <c r="L647" t="b">
        <f t="shared" si="43"/>
        <v>0</v>
      </c>
    </row>
    <row r="648" spans="1:12" x14ac:dyDescent="0.35">
      <c r="A648" s="13">
        <v>43306</v>
      </c>
      <c r="B648" s="14">
        <v>5426.41</v>
      </c>
      <c r="C648" s="2">
        <f t="shared" si="40"/>
        <v>-1.431676109962976E-3</v>
      </c>
      <c r="D648">
        <f t="shared" si="41"/>
        <v>0</v>
      </c>
      <c r="E648">
        <v>0.50225432977520201</v>
      </c>
      <c r="F648">
        <v>0.90542498762346912</v>
      </c>
      <c r="G648">
        <v>0.10761227731552103</v>
      </c>
      <c r="I648">
        <v>0.90477199789470864</v>
      </c>
      <c r="J648">
        <v>0.10784568417837997</v>
      </c>
      <c r="K648">
        <f t="shared" si="42"/>
        <v>1</v>
      </c>
      <c r="L648" t="b">
        <f t="shared" si="43"/>
        <v>0</v>
      </c>
    </row>
    <row r="649" spans="1:12" x14ac:dyDescent="0.35">
      <c r="A649" s="13">
        <v>43307</v>
      </c>
      <c r="B649" s="14">
        <v>5480.55</v>
      </c>
      <c r="C649" s="2">
        <f t="shared" si="40"/>
        <v>9.9771303679596635E-3</v>
      </c>
      <c r="D649">
        <f t="shared" si="41"/>
        <v>1</v>
      </c>
      <c r="E649">
        <v>0.49995659474627807</v>
      </c>
      <c r="F649">
        <v>0.90477199789470864</v>
      </c>
      <c r="G649">
        <v>0.10784568417837997</v>
      </c>
      <c r="I649">
        <v>0.90468251037072722</v>
      </c>
      <c r="J649">
        <v>0.10849581265602352</v>
      </c>
      <c r="K649">
        <f t="shared" si="42"/>
        <v>0</v>
      </c>
      <c r="L649" t="b">
        <f t="shared" si="43"/>
        <v>0</v>
      </c>
    </row>
    <row r="650" spans="1:12" x14ac:dyDescent="0.35">
      <c r="A650" s="13">
        <v>43308</v>
      </c>
      <c r="B650" s="14">
        <v>5511.76</v>
      </c>
      <c r="C650" s="2">
        <f t="shared" si="40"/>
        <v>5.6946839277078887E-3</v>
      </c>
      <c r="D650">
        <f t="shared" si="41"/>
        <v>1</v>
      </c>
      <c r="E650">
        <v>0.50221768657846544</v>
      </c>
      <c r="F650">
        <v>0.90468251037072722</v>
      </c>
      <c r="G650">
        <v>0.10849581265602352</v>
      </c>
      <c r="I650">
        <v>0.90530330303740536</v>
      </c>
      <c r="J650">
        <v>0.10840673152774866</v>
      </c>
      <c r="K650">
        <f t="shared" si="42"/>
        <v>1</v>
      </c>
      <c r="L650" t="b">
        <f t="shared" si="43"/>
        <v>1</v>
      </c>
    </row>
    <row r="651" spans="1:12" x14ac:dyDescent="0.35">
      <c r="A651" s="13">
        <v>43311</v>
      </c>
      <c r="B651" s="14">
        <v>5491.22</v>
      </c>
      <c r="C651" s="2">
        <f t="shared" si="40"/>
        <v>-3.7265773546018011E-3</v>
      </c>
      <c r="D651">
        <f t="shared" si="41"/>
        <v>0</v>
      </c>
      <c r="E651">
        <v>0.5015592460110998</v>
      </c>
      <c r="F651">
        <v>0.90530330303740536</v>
      </c>
      <c r="G651">
        <v>0.10840673152774866</v>
      </c>
      <c r="I651">
        <v>0.90494627883736523</v>
      </c>
      <c r="J651">
        <v>0.10778122236279121</v>
      </c>
      <c r="K651">
        <f t="shared" si="42"/>
        <v>1</v>
      </c>
      <c r="L651" t="b">
        <f t="shared" si="43"/>
        <v>0</v>
      </c>
    </row>
    <row r="652" spans="1:12" x14ac:dyDescent="0.35">
      <c r="A652" s="13">
        <v>43312</v>
      </c>
      <c r="B652" s="14">
        <v>5511.3</v>
      </c>
      <c r="C652" s="2">
        <f t="shared" si="40"/>
        <v>3.6567465881898187E-3</v>
      </c>
      <c r="D652">
        <f t="shared" si="41"/>
        <v>1</v>
      </c>
      <c r="E652">
        <v>0.49931035735854518</v>
      </c>
      <c r="F652">
        <v>0.90494627883736523</v>
      </c>
      <c r="G652">
        <v>0.10778122236279121</v>
      </c>
      <c r="I652">
        <v>0.90471304694557897</v>
      </c>
      <c r="J652">
        <v>0.10813763034233945</v>
      </c>
      <c r="K652">
        <f t="shared" si="42"/>
        <v>0</v>
      </c>
      <c r="L652" t="b">
        <f t="shared" si="43"/>
        <v>0</v>
      </c>
    </row>
    <row r="653" spans="1:12" x14ac:dyDescent="0.35">
      <c r="A653" s="13">
        <v>43313</v>
      </c>
      <c r="B653" s="14">
        <v>5498.37</v>
      </c>
      <c r="C653" s="2">
        <f t="shared" si="40"/>
        <v>-2.3460889445321431E-3</v>
      </c>
      <c r="D653">
        <f t="shared" si="41"/>
        <v>0</v>
      </c>
      <c r="E653">
        <v>0.50072633026491697</v>
      </c>
      <c r="F653">
        <v>0.90471304694557897</v>
      </c>
      <c r="G653">
        <v>0.10813763034233945</v>
      </c>
      <c r="I653">
        <v>0.90448416876608728</v>
      </c>
      <c r="J653">
        <v>0.1083708792755335</v>
      </c>
      <c r="K653">
        <f t="shared" si="42"/>
        <v>1</v>
      </c>
      <c r="L653" t="b">
        <f t="shared" si="43"/>
        <v>0</v>
      </c>
    </row>
    <row r="654" spans="1:12" x14ac:dyDescent="0.35">
      <c r="A654" s="13">
        <v>43314</v>
      </c>
      <c r="B654" s="14">
        <v>5460.98</v>
      </c>
      <c r="C654" s="2">
        <f t="shared" si="40"/>
        <v>-6.800197149336995E-3</v>
      </c>
      <c r="D654">
        <f t="shared" si="41"/>
        <v>0</v>
      </c>
      <c r="E654">
        <v>0.49956857124062048</v>
      </c>
      <c r="F654">
        <v>0.90448416876608728</v>
      </c>
      <c r="G654">
        <v>0.1083708792755335</v>
      </c>
      <c r="I654">
        <v>0.9046306726947646</v>
      </c>
      <c r="J654">
        <v>0.10814252998698858</v>
      </c>
      <c r="K654">
        <f t="shared" si="42"/>
        <v>0</v>
      </c>
      <c r="L654" t="b">
        <f t="shared" si="43"/>
        <v>1</v>
      </c>
    </row>
    <row r="655" spans="1:12" x14ac:dyDescent="0.35">
      <c r="A655" s="13">
        <v>43315</v>
      </c>
      <c r="B655" s="14">
        <v>5478.98</v>
      </c>
      <c r="C655" s="2">
        <f t="shared" si="40"/>
        <v>3.296111686913239E-3</v>
      </c>
      <c r="D655">
        <f t="shared" si="41"/>
        <v>1</v>
      </c>
      <c r="E655">
        <v>0.49839866074616795</v>
      </c>
      <c r="F655">
        <v>0.9046306726947646</v>
      </c>
      <c r="G655">
        <v>0.10814252998698858</v>
      </c>
      <c r="I655">
        <v>0.90420430356847914</v>
      </c>
      <c r="J655">
        <v>0.10799543132624378</v>
      </c>
      <c r="K655">
        <f t="shared" si="42"/>
        <v>0</v>
      </c>
      <c r="L655" t="b">
        <f t="shared" si="43"/>
        <v>0</v>
      </c>
    </row>
    <row r="656" spans="1:12" x14ac:dyDescent="0.35">
      <c r="A656" s="13">
        <v>43318</v>
      </c>
      <c r="B656" s="14">
        <v>5477.18</v>
      </c>
      <c r="C656" s="2">
        <f t="shared" si="40"/>
        <v>-3.2852830271312694E-4</v>
      </c>
      <c r="D656">
        <f t="shared" si="41"/>
        <v>0</v>
      </c>
      <c r="E656">
        <v>0.50056149180099463</v>
      </c>
      <c r="F656">
        <v>0.90420430356847914</v>
      </c>
      <c r="G656">
        <v>0.10799543132624378</v>
      </c>
      <c r="I656">
        <v>0.90399806550567163</v>
      </c>
      <c r="J656">
        <v>0.1084209203933638</v>
      </c>
      <c r="K656">
        <f t="shared" si="42"/>
        <v>1</v>
      </c>
      <c r="L656" t="b">
        <f t="shared" si="43"/>
        <v>0</v>
      </c>
    </row>
    <row r="657" spans="1:12" x14ac:dyDescent="0.35">
      <c r="A657" s="13">
        <v>43319</v>
      </c>
      <c r="B657" s="14">
        <v>5521.31</v>
      </c>
      <c r="C657" s="2">
        <f t="shared" si="40"/>
        <v>8.0570658623597691E-3</v>
      </c>
      <c r="D657">
        <f t="shared" si="41"/>
        <v>1</v>
      </c>
      <c r="E657">
        <v>0.50001509462816984</v>
      </c>
      <c r="F657">
        <v>0.90399806550567163</v>
      </c>
      <c r="G657">
        <v>0.1084209203933638</v>
      </c>
      <c r="I657">
        <v>0.9039775331066473</v>
      </c>
      <c r="J657">
        <v>0.1086269211544106</v>
      </c>
      <c r="K657">
        <f t="shared" si="42"/>
        <v>1</v>
      </c>
      <c r="L657" t="b">
        <f t="shared" si="43"/>
        <v>1</v>
      </c>
    </row>
    <row r="658" spans="1:12" x14ac:dyDescent="0.35">
      <c r="A658" s="13">
        <v>43320</v>
      </c>
      <c r="B658" s="14">
        <v>5501.9</v>
      </c>
      <c r="C658" s="2">
        <f t="shared" si="40"/>
        <v>-3.5154700605473099E-3</v>
      </c>
      <c r="D658">
        <f t="shared" si="41"/>
        <v>0</v>
      </c>
      <c r="E658">
        <v>0.50181192194447799</v>
      </c>
      <c r="F658">
        <v>0.9039775331066473</v>
      </c>
      <c r="G658">
        <v>0.1086269211544106</v>
      </c>
      <c r="I658">
        <v>0.90347214828036859</v>
      </c>
      <c r="J658">
        <v>0.10864752831116352</v>
      </c>
      <c r="K658">
        <f t="shared" si="42"/>
        <v>1</v>
      </c>
      <c r="L658" t="b">
        <f t="shared" si="43"/>
        <v>0</v>
      </c>
    </row>
    <row r="659" spans="1:12" x14ac:dyDescent="0.35">
      <c r="A659" s="13">
        <v>43321</v>
      </c>
      <c r="B659" s="14">
        <v>5502.25</v>
      </c>
      <c r="C659" s="2">
        <f t="shared" si="40"/>
        <v>6.3614387757038315E-5</v>
      </c>
      <c r="D659">
        <f t="shared" si="41"/>
        <v>1</v>
      </c>
      <c r="E659">
        <v>0.49942481300461866</v>
      </c>
      <c r="F659">
        <v>0.90347214828036859</v>
      </c>
      <c r="G659">
        <v>0.10864752831116352</v>
      </c>
      <c r="I659">
        <v>0.90325217893610077</v>
      </c>
      <c r="J659">
        <v>0.10915167355033244</v>
      </c>
      <c r="K659">
        <f t="shared" si="42"/>
        <v>0</v>
      </c>
      <c r="L659" t="b">
        <f t="shared" si="43"/>
        <v>0</v>
      </c>
    </row>
    <row r="660" spans="1:12" x14ac:dyDescent="0.35">
      <c r="A660" s="13">
        <v>43322</v>
      </c>
      <c r="B660" s="14">
        <v>5414.68</v>
      </c>
      <c r="C660" s="2">
        <f t="shared" si="40"/>
        <v>-1.5915307374255949E-2</v>
      </c>
      <c r="D660">
        <f t="shared" si="41"/>
        <v>0</v>
      </c>
      <c r="E660">
        <v>0.49991843509920564</v>
      </c>
      <c r="F660">
        <v>0.90325217893610077</v>
      </c>
      <c r="G660">
        <v>0.10915167355033244</v>
      </c>
      <c r="I660">
        <v>0.90324820368555936</v>
      </c>
      <c r="J660">
        <v>0.10937135458089979</v>
      </c>
      <c r="K660">
        <f t="shared" si="42"/>
        <v>0</v>
      </c>
      <c r="L660" t="b">
        <f t="shared" si="43"/>
        <v>1</v>
      </c>
    </row>
    <row r="661" spans="1:12" x14ac:dyDescent="0.35">
      <c r="A661" s="13">
        <v>43325</v>
      </c>
      <c r="B661" s="14">
        <v>5412.32</v>
      </c>
      <c r="C661" s="2">
        <f t="shared" si="40"/>
        <v>-4.3585216485564349E-4</v>
      </c>
      <c r="D661">
        <f t="shared" si="41"/>
        <v>0</v>
      </c>
      <c r="E661">
        <v>0.49640793299828756</v>
      </c>
      <c r="F661">
        <v>0.90324820368555936</v>
      </c>
      <c r="G661">
        <v>0.10937135458089979</v>
      </c>
      <c r="I661">
        <v>0.90423571332038322</v>
      </c>
      <c r="J661">
        <v>0.1093674074487869</v>
      </c>
      <c r="K661">
        <f t="shared" si="42"/>
        <v>0</v>
      </c>
      <c r="L661" t="b">
        <f t="shared" si="43"/>
        <v>1</v>
      </c>
    </row>
    <row r="662" spans="1:12" x14ac:dyDescent="0.35">
      <c r="A662" s="13">
        <v>43326</v>
      </c>
      <c r="B662" s="14">
        <v>5403.41</v>
      </c>
      <c r="C662" s="2">
        <f t="shared" si="40"/>
        <v>-1.646244124515861E-3</v>
      </c>
      <c r="D662">
        <f t="shared" si="41"/>
        <v>0</v>
      </c>
      <c r="E662">
        <v>0.49946631795280289</v>
      </c>
      <c r="F662">
        <v>0.90423571332038322</v>
      </c>
      <c r="G662">
        <v>0.1093674074487869</v>
      </c>
      <c r="I662">
        <v>0.90426292497387584</v>
      </c>
      <c r="J662">
        <v>0.11036105131342416</v>
      </c>
      <c r="K662">
        <f t="shared" si="42"/>
        <v>0</v>
      </c>
      <c r="L662" t="b">
        <f t="shared" si="43"/>
        <v>1</v>
      </c>
    </row>
    <row r="663" spans="1:12" x14ac:dyDescent="0.35">
      <c r="A663" s="13">
        <v>43327</v>
      </c>
      <c r="B663" s="14">
        <v>5305.22</v>
      </c>
      <c r="C663" s="2">
        <f t="shared" si="40"/>
        <v>-1.8171858141432851E-2</v>
      </c>
      <c r="D663">
        <f t="shared" si="41"/>
        <v>0</v>
      </c>
      <c r="E663">
        <v>0.49961581541800981</v>
      </c>
      <c r="F663">
        <v>0.90426292497387584</v>
      </c>
      <c r="G663">
        <v>0.11036105131342416</v>
      </c>
      <c r="I663">
        <v>0.90436573611325788</v>
      </c>
      <c r="J663">
        <v>0.11038827112669708</v>
      </c>
      <c r="K663">
        <f t="shared" si="42"/>
        <v>0</v>
      </c>
      <c r="L663" t="b">
        <f t="shared" si="43"/>
        <v>1</v>
      </c>
    </row>
    <row r="664" spans="1:12" x14ac:dyDescent="0.35">
      <c r="A664" s="13">
        <v>43328</v>
      </c>
      <c r="B664" s="14">
        <v>5349.02</v>
      </c>
      <c r="C664" s="2">
        <f t="shared" si="40"/>
        <v>8.2560195430161354E-3</v>
      </c>
      <c r="D664">
        <f t="shared" si="41"/>
        <v>1</v>
      </c>
      <c r="E664">
        <v>0.49584616258954939</v>
      </c>
      <c r="F664">
        <v>0.90436573611325788</v>
      </c>
      <c r="G664">
        <v>0.11038827112669708</v>
      </c>
      <c r="I664">
        <v>0.90322063864857216</v>
      </c>
      <c r="J664">
        <v>0.11028453325032996</v>
      </c>
      <c r="K664">
        <f t="shared" si="42"/>
        <v>0</v>
      </c>
      <c r="L664" t="b">
        <f t="shared" si="43"/>
        <v>0</v>
      </c>
    </row>
    <row r="665" spans="1:12" x14ac:dyDescent="0.35">
      <c r="A665" s="13">
        <v>43329</v>
      </c>
      <c r="B665" s="14">
        <v>5344.93</v>
      </c>
      <c r="C665" s="2">
        <f t="shared" si="40"/>
        <v>-7.6462604364913034E-4</v>
      </c>
      <c r="D665">
        <f t="shared" si="41"/>
        <v>0</v>
      </c>
      <c r="E665">
        <v>0.50136322970982183</v>
      </c>
      <c r="F665">
        <v>0.90322063864857216</v>
      </c>
      <c r="G665">
        <v>0.11028453325032996</v>
      </c>
      <c r="I665">
        <v>0.90270323441693778</v>
      </c>
      <c r="J665">
        <v>0.11142336247064</v>
      </c>
      <c r="K665">
        <f t="shared" si="42"/>
        <v>1</v>
      </c>
      <c r="L665" t="b">
        <f t="shared" si="43"/>
        <v>0</v>
      </c>
    </row>
    <row r="666" spans="1:12" x14ac:dyDescent="0.35">
      <c r="A666" s="13">
        <v>43332</v>
      </c>
      <c r="B666" s="14">
        <v>5379.65</v>
      </c>
      <c r="C666" s="2">
        <f t="shared" si="40"/>
        <v>6.4958755306430138E-3</v>
      </c>
      <c r="D666">
        <f t="shared" si="41"/>
        <v>1</v>
      </c>
      <c r="E666">
        <v>0.50005742076359372</v>
      </c>
      <c r="F666">
        <v>0.90270323441693778</v>
      </c>
      <c r="G666">
        <v>0.11142336247064</v>
      </c>
      <c r="I666">
        <v>0.90265545077801634</v>
      </c>
      <c r="J666">
        <v>0.11193930442690567</v>
      </c>
      <c r="K666">
        <f t="shared" si="42"/>
        <v>1</v>
      </c>
      <c r="L666" t="b">
        <f t="shared" si="43"/>
        <v>1</v>
      </c>
    </row>
    <row r="667" spans="1:12" x14ac:dyDescent="0.35">
      <c r="A667" s="13">
        <v>43333</v>
      </c>
      <c r="B667" s="14">
        <v>5408.6</v>
      </c>
      <c r="C667" s="2">
        <f t="shared" si="40"/>
        <v>5.3813909826849748E-3</v>
      </c>
      <c r="D667">
        <f t="shared" si="41"/>
        <v>1</v>
      </c>
      <c r="E667">
        <v>0.5014444824183325</v>
      </c>
      <c r="F667">
        <v>0.90265545077801634</v>
      </c>
      <c r="G667">
        <v>0.11193930442690567</v>
      </c>
      <c r="I667">
        <v>0.90306026672276229</v>
      </c>
      <c r="J667">
        <v>0.1118916537579886</v>
      </c>
      <c r="K667">
        <f t="shared" si="42"/>
        <v>1</v>
      </c>
      <c r="L667" t="b">
        <f t="shared" si="43"/>
        <v>1</v>
      </c>
    </row>
    <row r="668" spans="1:12" x14ac:dyDescent="0.35">
      <c r="A668" s="13">
        <v>43334</v>
      </c>
      <c r="B668" s="14">
        <v>5420.61</v>
      </c>
      <c r="C668" s="2">
        <f t="shared" si="40"/>
        <v>2.2205376622415063E-3</v>
      </c>
      <c r="D668">
        <f t="shared" si="41"/>
        <v>1</v>
      </c>
      <c r="E668">
        <v>0.5013966350256075</v>
      </c>
      <c r="F668">
        <v>0.90306026672276229</v>
      </c>
      <c r="G668">
        <v>0.1118916537579886</v>
      </c>
      <c r="I668">
        <v>0.90339566156239759</v>
      </c>
      <c r="J668">
        <v>0.11229650877389452</v>
      </c>
      <c r="K668">
        <f t="shared" si="42"/>
        <v>1</v>
      </c>
      <c r="L668" t="b">
        <f t="shared" si="43"/>
        <v>1</v>
      </c>
    </row>
    <row r="669" spans="1:12" x14ac:dyDescent="0.35">
      <c r="A669" s="13">
        <v>43335</v>
      </c>
      <c r="B669" s="14">
        <v>5419.33</v>
      </c>
      <c r="C669" s="2">
        <f t="shared" si="40"/>
        <v>-2.3613578545578218E-4</v>
      </c>
      <c r="D669">
        <f t="shared" si="41"/>
        <v>0</v>
      </c>
      <c r="E669">
        <v>0.50065258350697639</v>
      </c>
      <c r="F669">
        <v>0.90339566156239759</v>
      </c>
      <c r="G669">
        <v>0.11229650877389452</v>
      </c>
      <c r="I669">
        <v>0.90325669705944667</v>
      </c>
      <c r="J669">
        <v>0.11195973343528634</v>
      </c>
      <c r="K669">
        <f t="shared" si="42"/>
        <v>1</v>
      </c>
      <c r="L669" t="b">
        <f t="shared" si="43"/>
        <v>0</v>
      </c>
    </row>
    <row r="670" spans="1:12" x14ac:dyDescent="0.35">
      <c r="A670" s="13">
        <v>43336</v>
      </c>
      <c r="B670" s="14">
        <v>5432.5</v>
      </c>
      <c r="C670" s="2">
        <f t="shared" si="40"/>
        <v>2.4301897097980252E-3</v>
      </c>
      <c r="D670">
        <f t="shared" si="41"/>
        <v>1</v>
      </c>
      <c r="E670">
        <v>0.50000882989377893</v>
      </c>
      <c r="F670">
        <v>0.90325669705944667</v>
      </c>
      <c r="G670">
        <v>0.11195973343528634</v>
      </c>
      <c r="I670">
        <v>0.90324193883349202</v>
      </c>
      <c r="J670">
        <v>0.11209851458824419</v>
      </c>
      <c r="K670">
        <f t="shared" si="42"/>
        <v>1</v>
      </c>
      <c r="L670" t="b">
        <f t="shared" si="43"/>
        <v>1</v>
      </c>
    </row>
    <row r="671" spans="1:12" x14ac:dyDescent="0.35">
      <c r="A671" s="13">
        <v>43339</v>
      </c>
      <c r="B671" s="14">
        <v>5479.1</v>
      </c>
      <c r="C671" s="2">
        <f t="shared" si="40"/>
        <v>8.5780027611597198E-3</v>
      </c>
      <c r="D671">
        <f t="shared" si="41"/>
        <v>1</v>
      </c>
      <c r="E671">
        <v>0.50054214448614165</v>
      </c>
      <c r="F671">
        <v>0.90324193883349202</v>
      </c>
      <c r="G671">
        <v>0.11209851458824419</v>
      </c>
      <c r="I671">
        <v>0.90339366082273331</v>
      </c>
      <c r="J671">
        <v>0.11208377212144995</v>
      </c>
      <c r="K671">
        <f t="shared" si="42"/>
        <v>1</v>
      </c>
      <c r="L671" t="b">
        <f t="shared" si="43"/>
        <v>1</v>
      </c>
    </row>
    <row r="672" spans="1:12" x14ac:dyDescent="0.35">
      <c r="A672" s="13">
        <v>43340</v>
      </c>
      <c r="B672" s="14">
        <v>5484.99</v>
      </c>
      <c r="C672" s="2">
        <f t="shared" si="40"/>
        <v>1.0749940683687509E-3</v>
      </c>
      <c r="D672">
        <f t="shared" si="41"/>
        <v>1</v>
      </c>
      <c r="E672">
        <v>0.50200541378302344</v>
      </c>
      <c r="F672">
        <v>0.90339366082273331</v>
      </c>
      <c r="G672">
        <v>0.11208377212144995</v>
      </c>
      <c r="I672">
        <v>0.90392762709977115</v>
      </c>
      <c r="J672">
        <v>0.11223504735275577</v>
      </c>
      <c r="K672">
        <f t="shared" si="42"/>
        <v>1</v>
      </c>
      <c r="L672" t="b">
        <f t="shared" si="43"/>
        <v>1</v>
      </c>
    </row>
    <row r="673" spans="1:12" x14ac:dyDescent="0.35">
      <c r="A673" s="13">
        <v>43341</v>
      </c>
      <c r="B673" s="14">
        <v>5501.33</v>
      </c>
      <c r="C673" s="2">
        <f t="shared" si="40"/>
        <v>2.9790391595974075E-3</v>
      </c>
      <c r="D673">
        <f t="shared" si="41"/>
        <v>1</v>
      </c>
      <c r="E673">
        <v>0.50048361719504952</v>
      </c>
      <c r="F673">
        <v>0.90392762709977115</v>
      </c>
      <c r="G673">
        <v>0.11223504735275577</v>
      </c>
      <c r="I673">
        <v>0.90399474918054656</v>
      </c>
      <c r="J673">
        <v>0.11277065346554127</v>
      </c>
      <c r="K673">
        <f t="shared" si="42"/>
        <v>1</v>
      </c>
      <c r="L673" t="b">
        <f t="shared" si="43"/>
        <v>1</v>
      </c>
    </row>
    <row r="674" spans="1:12" x14ac:dyDescent="0.35">
      <c r="A674" s="13">
        <v>43342</v>
      </c>
      <c r="B674" s="14">
        <v>5478.06</v>
      </c>
      <c r="C674" s="2">
        <f t="shared" si="40"/>
        <v>-4.2298862275121918E-3</v>
      </c>
      <c r="D674">
        <f t="shared" si="41"/>
        <v>0</v>
      </c>
      <c r="E674">
        <v>0.50070356542100247</v>
      </c>
      <c r="F674">
        <v>0.90399474918054656</v>
      </c>
      <c r="G674">
        <v>0.11277065346554127</v>
      </c>
      <c r="I674">
        <v>0.90380829760863224</v>
      </c>
      <c r="J674">
        <v>0.11270337192840531</v>
      </c>
      <c r="K674">
        <f t="shared" si="42"/>
        <v>1</v>
      </c>
      <c r="L674" t="b">
        <f t="shared" si="43"/>
        <v>0</v>
      </c>
    </row>
    <row r="675" spans="1:12" x14ac:dyDescent="0.35">
      <c r="A675" s="13">
        <v>43343</v>
      </c>
      <c r="B675" s="14">
        <v>5406.85</v>
      </c>
      <c r="C675" s="2">
        <f t="shared" si="40"/>
        <v>-1.2999127428323209E-2</v>
      </c>
      <c r="D675">
        <f t="shared" si="41"/>
        <v>0</v>
      </c>
      <c r="E675">
        <v>0.49912818625551519</v>
      </c>
      <c r="F675">
        <v>0.90380829760863224</v>
      </c>
      <c r="G675">
        <v>0.11270337192840531</v>
      </c>
      <c r="I675">
        <v>0.9040722037363933</v>
      </c>
      <c r="J675">
        <v>0.11251750719191558</v>
      </c>
      <c r="K675">
        <f t="shared" si="42"/>
        <v>0</v>
      </c>
      <c r="L675" t="b">
        <f t="shared" si="43"/>
        <v>1</v>
      </c>
    </row>
    <row r="676" spans="1:12" x14ac:dyDescent="0.35">
      <c r="A676" s="13">
        <v>43346</v>
      </c>
      <c r="B676" s="14">
        <v>5413.8</v>
      </c>
      <c r="C676" s="2">
        <f t="shared" si="40"/>
        <v>1.2854064751195438E-3</v>
      </c>
      <c r="D676">
        <f t="shared" si="41"/>
        <v>1</v>
      </c>
      <c r="E676">
        <v>0.49694301658276951</v>
      </c>
      <c r="F676">
        <v>0.9040722037363933</v>
      </c>
      <c r="G676">
        <v>0.11251750719191558</v>
      </c>
      <c r="I676">
        <v>0.90325482156287018</v>
      </c>
      <c r="J676">
        <v>0.1122515329088367</v>
      </c>
      <c r="K676">
        <f t="shared" si="42"/>
        <v>0</v>
      </c>
      <c r="L676" t="b">
        <f t="shared" si="43"/>
        <v>0</v>
      </c>
    </row>
    <row r="677" spans="1:12" x14ac:dyDescent="0.35">
      <c r="A677" s="13">
        <v>43347</v>
      </c>
      <c r="B677" s="14">
        <v>5342.7</v>
      </c>
      <c r="C677" s="2">
        <f t="shared" si="40"/>
        <v>-1.3133104289039244E-2</v>
      </c>
      <c r="D677">
        <f t="shared" si="41"/>
        <v>0</v>
      </c>
      <c r="E677">
        <v>0.49992546940455529</v>
      </c>
      <c r="F677">
        <v>0.90325482156287018</v>
      </c>
      <c r="G677">
        <v>0.1122515329088367</v>
      </c>
      <c r="I677">
        <v>0.90317449563522378</v>
      </c>
      <c r="J677">
        <v>0.11306385725096924</v>
      </c>
      <c r="K677">
        <f t="shared" si="42"/>
        <v>0</v>
      </c>
      <c r="L677" t="b">
        <f t="shared" si="43"/>
        <v>1</v>
      </c>
    </row>
    <row r="678" spans="1:12" x14ac:dyDescent="0.35">
      <c r="A678" s="13">
        <v>43348</v>
      </c>
      <c r="B678" s="14">
        <v>5260.22</v>
      </c>
      <c r="C678" s="2">
        <f t="shared" si="40"/>
        <v>-1.5437887210586365E-2</v>
      </c>
      <c r="D678">
        <f t="shared" si="41"/>
        <v>0</v>
      </c>
      <c r="E678">
        <v>0.49707099554781609</v>
      </c>
      <c r="F678">
        <v>0.90317449563522378</v>
      </c>
      <c r="G678">
        <v>0.11306385725096924</v>
      </c>
      <c r="I678">
        <v>0.90399047828573154</v>
      </c>
      <c r="J678">
        <v>0.11298399270718248</v>
      </c>
      <c r="K678">
        <f t="shared" si="42"/>
        <v>0</v>
      </c>
      <c r="L678" t="b">
        <f t="shared" si="43"/>
        <v>1</v>
      </c>
    </row>
    <row r="679" spans="1:12" x14ac:dyDescent="0.35">
      <c r="A679" s="13">
        <v>43349</v>
      </c>
      <c r="B679" s="14">
        <v>5243.84</v>
      </c>
      <c r="C679" s="2">
        <f t="shared" si="40"/>
        <v>-3.1139382003034788E-3</v>
      </c>
      <c r="D679">
        <f t="shared" si="41"/>
        <v>0</v>
      </c>
      <c r="E679">
        <v>0.49614019327388931</v>
      </c>
      <c r="F679">
        <v>0.90399047828573154</v>
      </c>
      <c r="G679">
        <v>0.11298399270718248</v>
      </c>
      <c r="I679">
        <v>0.90494784077382273</v>
      </c>
      <c r="J679">
        <v>0.11379842678271417</v>
      </c>
      <c r="K679">
        <f t="shared" si="42"/>
        <v>0</v>
      </c>
      <c r="L679" t="b">
        <f t="shared" si="43"/>
        <v>1</v>
      </c>
    </row>
    <row r="680" spans="1:12" x14ac:dyDescent="0.35">
      <c r="A680" s="13">
        <v>43350</v>
      </c>
      <c r="B680" s="14">
        <v>5252.22</v>
      </c>
      <c r="C680" s="2">
        <f t="shared" si="40"/>
        <v>1.5980655397571653E-3</v>
      </c>
      <c r="D680">
        <f t="shared" si="41"/>
        <v>1</v>
      </c>
      <c r="E680">
        <v>0.49885631226261035</v>
      </c>
      <c r="F680">
        <v>0.90494784077382273</v>
      </c>
      <c r="G680">
        <v>0.11379842678271417</v>
      </c>
      <c r="I680">
        <v>0.90475277548529076</v>
      </c>
      <c r="J680">
        <v>0.11283135687658571</v>
      </c>
      <c r="K680">
        <f t="shared" si="42"/>
        <v>0</v>
      </c>
      <c r="L680" t="b">
        <f t="shared" si="43"/>
        <v>0</v>
      </c>
    </row>
    <row r="681" spans="1:12" x14ac:dyDescent="0.35">
      <c r="A681" s="13">
        <v>43353</v>
      </c>
      <c r="B681" s="14">
        <v>5269.63</v>
      </c>
      <c r="C681" s="2">
        <f t="shared" si="40"/>
        <v>3.3147887940718768E-3</v>
      </c>
      <c r="D681">
        <f t="shared" si="41"/>
        <v>1</v>
      </c>
      <c r="E681">
        <v>0.50027362606271752</v>
      </c>
      <c r="F681">
        <v>0.90475277548529076</v>
      </c>
      <c r="G681">
        <v>0.11283135687658571</v>
      </c>
      <c r="I681">
        <v>0.90485259989258193</v>
      </c>
      <c r="J681">
        <v>0.11263684230415211</v>
      </c>
      <c r="K681">
        <f t="shared" si="42"/>
        <v>1</v>
      </c>
      <c r="L681" t="b">
        <f t="shared" si="43"/>
        <v>1</v>
      </c>
    </row>
    <row r="682" spans="1:12" x14ac:dyDescent="0.35">
      <c r="A682" s="13">
        <v>43354</v>
      </c>
      <c r="B682" s="14">
        <v>5283.79</v>
      </c>
      <c r="C682" s="2">
        <f t="shared" si="40"/>
        <v>2.6870956784441624E-3</v>
      </c>
      <c r="D682">
        <f t="shared" si="41"/>
        <v>1</v>
      </c>
      <c r="E682">
        <v>0.50079484840908672</v>
      </c>
      <c r="F682">
        <v>0.90485259989258193</v>
      </c>
      <c r="G682">
        <v>0.11263684230415211</v>
      </c>
      <c r="I682">
        <v>0.90505944432516117</v>
      </c>
      <c r="J682">
        <v>0.11273656237089864</v>
      </c>
      <c r="K682">
        <f t="shared" si="42"/>
        <v>1</v>
      </c>
      <c r="L682" t="b">
        <f t="shared" si="43"/>
        <v>1</v>
      </c>
    </row>
    <row r="683" spans="1:12" x14ac:dyDescent="0.35">
      <c r="A683" s="13">
        <v>43355</v>
      </c>
      <c r="B683" s="14">
        <v>5332.13</v>
      </c>
      <c r="C683" s="2">
        <f t="shared" si="40"/>
        <v>9.1487360398501139E-3</v>
      </c>
      <c r="D683">
        <f t="shared" si="41"/>
        <v>1</v>
      </c>
      <c r="E683">
        <v>0.50070141934368118</v>
      </c>
      <c r="F683">
        <v>0.90505944432516117</v>
      </c>
      <c r="G683">
        <v>0.11273656237089864</v>
      </c>
      <c r="I683">
        <v>0.90522715187741121</v>
      </c>
      <c r="J683">
        <v>0.11294344563126756</v>
      </c>
      <c r="K683">
        <f t="shared" si="42"/>
        <v>1</v>
      </c>
      <c r="L683" t="b">
        <f t="shared" si="43"/>
        <v>1</v>
      </c>
    </row>
    <row r="684" spans="1:12" x14ac:dyDescent="0.35">
      <c r="A684" s="13">
        <v>43356</v>
      </c>
      <c r="B684" s="14">
        <v>5328.12</v>
      </c>
      <c r="C684" s="2">
        <f t="shared" si="40"/>
        <v>-7.5204468008094327E-4</v>
      </c>
      <c r="D684">
        <f t="shared" si="41"/>
        <v>0</v>
      </c>
      <c r="E684">
        <v>0.5021462803456691</v>
      </c>
      <c r="F684">
        <v>0.90522715187741121</v>
      </c>
      <c r="G684">
        <v>0.11294344563126756</v>
      </c>
      <c r="I684">
        <v>0.90465291198706044</v>
      </c>
      <c r="J684">
        <v>0.11277478435160763</v>
      </c>
      <c r="K684">
        <f t="shared" si="42"/>
        <v>1</v>
      </c>
      <c r="L684" t="b">
        <f t="shared" si="43"/>
        <v>0</v>
      </c>
    </row>
    <row r="685" spans="1:12" x14ac:dyDescent="0.35">
      <c r="A685" s="13">
        <v>43357</v>
      </c>
      <c r="B685" s="14">
        <v>5352.57</v>
      </c>
      <c r="C685" s="2">
        <f t="shared" si="40"/>
        <v>4.588860611247414E-3</v>
      </c>
      <c r="D685">
        <f t="shared" si="41"/>
        <v>1</v>
      </c>
      <c r="E685">
        <v>0.50008785183014703</v>
      </c>
      <c r="F685">
        <v>0.90465291198706044</v>
      </c>
      <c r="G685">
        <v>0.11277478435160763</v>
      </c>
      <c r="I685">
        <v>0.90460591745456886</v>
      </c>
      <c r="J685">
        <v>0.11334647986979843</v>
      </c>
      <c r="K685">
        <f t="shared" si="42"/>
        <v>1</v>
      </c>
      <c r="L685" t="b">
        <f t="shared" si="43"/>
        <v>1</v>
      </c>
    </row>
    <row r="686" spans="1:12" x14ac:dyDescent="0.35">
      <c r="A686" s="13">
        <v>43360</v>
      </c>
      <c r="B686" s="14">
        <v>5348.87</v>
      </c>
      <c r="C686" s="2">
        <f t="shared" si="40"/>
        <v>-6.9125672340575317E-4</v>
      </c>
      <c r="D686">
        <f t="shared" si="41"/>
        <v>0</v>
      </c>
      <c r="E686">
        <v>0.50101646581123871</v>
      </c>
      <c r="F686">
        <v>0.90460591745456886</v>
      </c>
      <c r="G686">
        <v>0.11334647986979843</v>
      </c>
      <c r="I686">
        <v>0.90431853180159094</v>
      </c>
      <c r="J686">
        <v>0.11339357802111816</v>
      </c>
      <c r="K686">
        <f t="shared" si="42"/>
        <v>1</v>
      </c>
      <c r="L686" t="b">
        <f t="shared" si="43"/>
        <v>0</v>
      </c>
    </row>
    <row r="687" spans="1:12" x14ac:dyDescent="0.35">
      <c r="A687" s="13">
        <v>43361</v>
      </c>
      <c r="B687" s="14">
        <v>5363.79</v>
      </c>
      <c r="C687" s="2">
        <f t="shared" si="40"/>
        <v>2.7893742042712777E-3</v>
      </c>
      <c r="D687">
        <f t="shared" si="41"/>
        <v>1</v>
      </c>
      <c r="E687">
        <v>0.49997380776465922</v>
      </c>
      <c r="F687">
        <v>0.90431853180159094</v>
      </c>
      <c r="G687">
        <v>0.11339357802111816</v>
      </c>
      <c r="I687">
        <v>0.90427532599330185</v>
      </c>
      <c r="J687">
        <v>0.11368039683259869</v>
      </c>
      <c r="K687">
        <f t="shared" si="42"/>
        <v>0</v>
      </c>
      <c r="L687" t="b">
        <f t="shared" si="43"/>
        <v>0</v>
      </c>
    </row>
    <row r="688" spans="1:12" x14ac:dyDescent="0.35">
      <c r="A688" s="13">
        <v>43362</v>
      </c>
      <c r="B688" s="14">
        <v>5393.74</v>
      </c>
      <c r="C688" s="2">
        <f t="shared" si="40"/>
        <v>5.583738364104418E-3</v>
      </c>
      <c r="D688">
        <f t="shared" si="41"/>
        <v>1</v>
      </c>
      <c r="E688">
        <v>0.50061094467826384</v>
      </c>
      <c r="F688">
        <v>0.90427532599330185</v>
      </c>
      <c r="G688">
        <v>0.11368039683259869</v>
      </c>
      <c r="I688">
        <v>0.90444944860193532</v>
      </c>
      <c r="J688">
        <v>0.11363724614176256</v>
      </c>
      <c r="K688">
        <f t="shared" si="42"/>
        <v>1</v>
      </c>
      <c r="L688" t="b">
        <f t="shared" si="43"/>
        <v>1</v>
      </c>
    </row>
    <row r="689" spans="1:12" x14ac:dyDescent="0.35">
      <c r="A689" s="13">
        <v>43363</v>
      </c>
      <c r="B689" s="14">
        <v>5451.59</v>
      </c>
      <c r="C689" s="2">
        <f t="shared" si="40"/>
        <v>1.0725396478139526E-2</v>
      </c>
      <c r="D689">
        <f t="shared" si="41"/>
        <v>1</v>
      </c>
      <c r="E689">
        <v>0.50134179325084627</v>
      </c>
      <c r="F689">
        <v>0.90444944860193532</v>
      </c>
      <c r="G689">
        <v>0.11363724614176256</v>
      </c>
      <c r="I689">
        <v>0.90479749321537661</v>
      </c>
      <c r="J689">
        <v>0.1138111129319599</v>
      </c>
      <c r="K689">
        <f t="shared" si="42"/>
        <v>1</v>
      </c>
      <c r="L689" t="b">
        <f t="shared" si="43"/>
        <v>1</v>
      </c>
    </row>
    <row r="690" spans="1:12" x14ac:dyDescent="0.35">
      <c r="A690" s="13">
        <v>43364</v>
      </c>
      <c r="B690" s="14">
        <v>5494.17</v>
      </c>
      <c r="C690" s="2">
        <f t="shared" si="40"/>
        <v>7.8105653579965129E-3</v>
      </c>
      <c r="D690">
        <f t="shared" si="41"/>
        <v>1</v>
      </c>
      <c r="E690">
        <v>0.50258492780133357</v>
      </c>
      <c r="F690">
        <v>0.90479749321537661</v>
      </c>
      <c r="G690">
        <v>0.1138111129319599</v>
      </c>
      <c r="I690">
        <v>0.90546434712456603</v>
      </c>
      <c r="J690">
        <v>0.11415828310544332</v>
      </c>
      <c r="K690">
        <f t="shared" si="42"/>
        <v>1</v>
      </c>
      <c r="L690" t="b">
        <f t="shared" si="43"/>
        <v>1</v>
      </c>
    </row>
    <row r="691" spans="1:12" x14ac:dyDescent="0.35">
      <c r="A691" s="13">
        <v>43367</v>
      </c>
      <c r="B691" s="14">
        <v>5476.17</v>
      </c>
      <c r="C691" s="2">
        <f t="shared" si="40"/>
        <v>-3.2762000447746908E-3</v>
      </c>
      <c r="D691">
        <f t="shared" si="41"/>
        <v>0</v>
      </c>
      <c r="E691">
        <v>0.50207413343009666</v>
      </c>
      <c r="F691">
        <v>0.90546434712456603</v>
      </c>
      <c r="G691">
        <v>0.11415828310544332</v>
      </c>
      <c r="I691">
        <v>0.90497417020551896</v>
      </c>
      <c r="J691">
        <v>0.11348517667073055</v>
      </c>
      <c r="K691">
        <f t="shared" si="42"/>
        <v>1</v>
      </c>
      <c r="L691" t="b">
        <f t="shared" si="43"/>
        <v>0</v>
      </c>
    </row>
    <row r="692" spans="1:12" x14ac:dyDescent="0.35">
      <c r="A692" s="13">
        <v>43368</v>
      </c>
      <c r="B692" s="14">
        <v>5479.1</v>
      </c>
      <c r="C692" s="2">
        <f t="shared" si="40"/>
        <v>5.3504547886573661E-4</v>
      </c>
      <c r="D692">
        <f t="shared" si="41"/>
        <v>1</v>
      </c>
      <c r="E692">
        <v>0.4994803769302209</v>
      </c>
      <c r="F692">
        <v>0.90497417020551896</v>
      </c>
      <c r="G692">
        <v>0.11348517667073055</v>
      </c>
      <c r="I692">
        <v>0.90476919512545995</v>
      </c>
      <c r="J692">
        <v>0.11397384379657187</v>
      </c>
      <c r="K692">
        <f t="shared" si="42"/>
        <v>0</v>
      </c>
      <c r="L692" t="b">
        <f t="shared" si="43"/>
        <v>0</v>
      </c>
    </row>
    <row r="693" spans="1:12" x14ac:dyDescent="0.35">
      <c r="A693" s="13">
        <v>43369</v>
      </c>
      <c r="B693" s="14">
        <v>5512.73</v>
      </c>
      <c r="C693" s="2">
        <f t="shared" si="40"/>
        <v>6.1378693581060073E-3</v>
      </c>
      <c r="D693">
        <f t="shared" si="41"/>
        <v>1</v>
      </c>
      <c r="E693">
        <v>0.50002767288875161</v>
      </c>
      <c r="F693">
        <v>0.90476919512545995</v>
      </c>
      <c r="G693">
        <v>0.11397384379657187</v>
      </c>
      <c r="I693">
        <v>0.90480263361700486</v>
      </c>
      <c r="J693">
        <v>0.11376909262714055</v>
      </c>
      <c r="K693">
        <f t="shared" si="42"/>
        <v>1</v>
      </c>
      <c r="L693" t="b">
        <f t="shared" si="43"/>
        <v>1</v>
      </c>
    </row>
    <row r="694" spans="1:12" x14ac:dyDescent="0.35">
      <c r="A694" s="13">
        <v>43370</v>
      </c>
      <c r="B694" s="14">
        <v>5540.41</v>
      </c>
      <c r="C694" s="2">
        <f t="shared" si="40"/>
        <v>5.0211056953632927E-3</v>
      </c>
      <c r="D694">
        <f t="shared" si="41"/>
        <v>1</v>
      </c>
      <c r="E694">
        <v>0.5014036043126493</v>
      </c>
      <c r="F694">
        <v>0.90480263361700486</v>
      </c>
      <c r="G694">
        <v>0.11376909262714055</v>
      </c>
      <c r="I694">
        <v>0.90518517054482328</v>
      </c>
      <c r="J694">
        <v>0.11380243883276778</v>
      </c>
      <c r="K694">
        <f t="shared" si="42"/>
        <v>1</v>
      </c>
      <c r="L694" t="b">
        <f t="shared" si="43"/>
        <v>1</v>
      </c>
    </row>
    <row r="695" spans="1:12" x14ac:dyDescent="0.35">
      <c r="A695" s="13">
        <v>43371</v>
      </c>
      <c r="B695" s="14">
        <v>5493.49</v>
      </c>
      <c r="C695" s="2">
        <f t="shared" si="40"/>
        <v>-8.4686873354138381E-3</v>
      </c>
      <c r="D695">
        <f t="shared" si="41"/>
        <v>0</v>
      </c>
      <c r="E695">
        <v>0.50131088072582586</v>
      </c>
      <c r="F695">
        <v>0.90518517054482328</v>
      </c>
      <c r="G695">
        <v>0.11380243883276778</v>
      </c>
      <c r="I695">
        <v>0.90487053084276103</v>
      </c>
      <c r="J695">
        <v>0.1134178188898108</v>
      </c>
      <c r="K695">
        <f t="shared" si="42"/>
        <v>1</v>
      </c>
      <c r="L695" t="b">
        <f t="shared" si="43"/>
        <v>0</v>
      </c>
    </row>
    <row r="696" spans="1:12" x14ac:dyDescent="0.35">
      <c r="A696" s="13">
        <v>43374</v>
      </c>
      <c r="B696" s="14">
        <v>5506.82</v>
      </c>
      <c r="C696" s="2">
        <f t="shared" si="40"/>
        <v>2.4265084672949744E-3</v>
      </c>
      <c r="D696">
        <f t="shared" si="41"/>
        <v>1</v>
      </c>
      <c r="E696">
        <v>0.49822661174915317</v>
      </c>
      <c r="F696">
        <v>0.90487053084276103</v>
      </c>
      <c r="G696">
        <v>0.1134178188898108</v>
      </c>
      <c r="I696">
        <v>0.90433936728239173</v>
      </c>
      <c r="J696">
        <v>0.11373274708027388</v>
      </c>
      <c r="K696">
        <f t="shared" si="42"/>
        <v>0</v>
      </c>
      <c r="L696" t="b">
        <f t="shared" si="43"/>
        <v>0</v>
      </c>
    </row>
    <row r="697" spans="1:12" x14ac:dyDescent="0.35">
      <c r="A697" s="13">
        <v>43375</v>
      </c>
      <c r="B697" s="14">
        <v>5467.89</v>
      </c>
      <c r="C697" s="2">
        <f t="shared" si="40"/>
        <v>-7.069415742660845E-3</v>
      </c>
      <c r="D697">
        <f t="shared" si="41"/>
        <v>0</v>
      </c>
      <c r="E697">
        <v>0.50030780497541605</v>
      </c>
      <c r="F697">
        <v>0.90433936728239173</v>
      </c>
      <c r="G697">
        <v>0.11373274708027388</v>
      </c>
      <c r="I697">
        <v>0.90418761719927299</v>
      </c>
      <c r="J697">
        <v>0.11426236567603677</v>
      </c>
      <c r="K697">
        <f t="shared" si="42"/>
        <v>1</v>
      </c>
      <c r="L697" t="b">
        <f t="shared" si="43"/>
        <v>0</v>
      </c>
    </row>
    <row r="698" spans="1:12" x14ac:dyDescent="0.35">
      <c r="A698" s="13">
        <v>43376</v>
      </c>
      <c r="B698" s="14">
        <v>5491.4</v>
      </c>
      <c r="C698" s="2">
        <f t="shared" si="40"/>
        <v>4.299647578864807E-3</v>
      </c>
      <c r="D698">
        <f t="shared" si="41"/>
        <v>1</v>
      </c>
      <c r="E698">
        <v>0.49847129986891625</v>
      </c>
      <c r="F698">
        <v>0.90418761719927299</v>
      </c>
      <c r="G698">
        <v>0.11426236567603677</v>
      </c>
      <c r="I698">
        <v>0.90374443198105969</v>
      </c>
      <c r="J698">
        <v>0.11441448470874339</v>
      </c>
      <c r="K698">
        <f t="shared" si="42"/>
        <v>0</v>
      </c>
      <c r="L698" t="b">
        <f t="shared" si="43"/>
        <v>0</v>
      </c>
    </row>
    <row r="699" spans="1:12" x14ac:dyDescent="0.35">
      <c r="A699" s="13">
        <v>43377</v>
      </c>
      <c r="B699" s="14">
        <v>5410.85</v>
      </c>
      <c r="C699" s="2">
        <f t="shared" si="40"/>
        <v>-1.4668390574352541E-2</v>
      </c>
      <c r="D699">
        <f t="shared" si="41"/>
        <v>0</v>
      </c>
      <c r="E699">
        <v>0.50076923414297581</v>
      </c>
      <c r="F699">
        <v>0.90374443198105969</v>
      </c>
      <c r="G699">
        <v>0.11441448470874339</v>
      </c>
      <c r="I699">
        <v>0.9034752912149423</v>
      </c>
      <c r="J699">
        <v>0.11485700189976508</v>
      </c>
      <c r="K699">
        <f t="shared" si="42"/>
        <v>1</v>
      </c>
      <c r="L699" t="b">
        <f t="shared" si="43"/>
        <v>0</v>
      </c>
    </row>
    <row r="700" spans="1:12" x14ac:dyDescent="0.35">
      <c r="A700" s="13">
        <v>43378</v>
      </c>
      <c r="B700" s="14">
        <v>5359.36</v>
      </c>
      <c r="C700" s="2">
        <f t="shared" si="40"/>
        <v>-9.5160649435857003E-3</v>
      </c>
      <c r="D700">
        <f t="shared" si="41"/>
        <v>0</v>
      </c>
      <c r="E700">
        <v>0.49681037231432784</v>
      </c>
      <c r="F700">
        <v>0.9034752912149423</v>
      </c>
      <c r="G700">
        <v>0.11485700189976508</v>
      </c>
      <c r="I700">
        <v>0.90438618021770967</v>
      </c>
      <c r="J700">
        <v>0.11458999907655069</v>
      </c>
      <c r="K700">
        <f t="shared" si="42"/>
        <v>0</v>
      </c>
      <c r="L700" t="b">
        <f t="shared" si="43"/>
        <v>1</v>
      </c>
    </row>
    <row r="701" spans="1:12" x14ac:dyDescent="0.35">
      <c r="A701" s="13">
        <v>43381</v>
      </c>
      <c r="B701" s="14">
        <v>5300.25</v>
      </c>
      <c r="C701" s="2">
        <f t="shared" si="40"/>
        <v>-1.1029302006209663E-2</v>
      </c>
      <c r="D701">
        <f t="shared" si="41"/>
        <v>0</v>
      </c>
      <c r="E701">
        <v>0.49742826055728651</v>
      </c>
      <c r="F701">
        <v>0.90438618021770967</v>
      </c>
      <c r="G701">
        <v>0.11458999907655069</v>
      </c>
      <c r="I701">
        <v>0.90497785951822751</v>
      </c>
      <c r="J701">
        <v>0.11550203394875964</v>
      </c>
      <c r="K701">
        <f t="shared" si="42"/>
        <v>0</v>
      </c>
      <c r="L701" t="b">
        <f t="shared" si="43"/>
        <v>1</v>
      </c>
    </row>
    <row r="702" spans="1:12" x14ac:dyDescent="0.35">
      <c r="A702" s="13">
        <v>43382</v>
      </c>
      <c r="B702" s="14">
        <v>5318.55</v>
      </c>
      <c r="C702" s="2">
        <f t="shared" si="40"/>
        <v>3.4526673270129926E-3</v>
      </c>
      <c r="D702">
        <f t="shared" si="41"/>
        <v>1</v>
      </c>
      <c r="E702">
        <v>0.49722992859685772</v>
      </c>
      <c r="F702">
        <v>0.90497785951822751</v>
      </c>
      <c r="G702">
        <v>0.11550203394875964</v>
      </c>
      <c r="I702">
        <v>0.9042847304235696</v>
      </c>
      <c r="J702">
        <v>0.1149040032233937</v>
      </c>
      <c r="K702">
        <f t="shared" si="42"/>
        <v>0</v>
      </c>
      <c r="L702" t="b">
        <f t="shared" si="43"/>
        <v>0</v>
      </c>
    </row>
    <row r="703" spans="1:12" x14ac:dyDescent="0.35">
      <c r="A703" s="13">
        <v>43383</v>
      </c>
      <c r="B703" s="14">
        <v>5206.22</v>
      </c>
      <c r="C703" s="2">
        <f t="shared" si="40"/>
        <v>-2.112041815908472E-2</v>
      </c>
      <c r="D703">
        <f t="shared" si="41"/>
        <v>0</v>
      </c>
      <c r="E703">
        <v>0.50046372071448808</v>
      </c>
      <c r="F703">
        <v>0.9042847304235696</v>
      </c>
      <c r="G703">
        <v>0.1149040032233937</v>
      </c>
      <c r="I703">
        <v>0.90406873876724614</v>
      </c>
      <c r="J703">
        <v>0.115593973319781</v>
      </c>
      <c r="K703">
        <f t="shared" si="42"/>
        <v>1</v>
      </c>
      <c r="L703" t="b">
        <f t="shared" si="43"/>
        <v>0</v>
      </c>
    </row>
    <row r="704" spans="1:12" x14ac:dyDescent="0.35">
      <c r="A704" s="13">
        <v>43384</v>
      </c>
      <c r="B704" s="14">
        <v>5106.37</v>
      </c>
      <c r="C704" s="2">
        <f t="shared" si="40"/>
        <v>-1.9178982063762229E-2</v>
      </c>
      <c r="D704">
        <f t="shared" si="41"/>
        <v>0</v>
      </c>
      <c r="E704">
        <v>0.49532633555569777</v>
      </c>
      <c r="F704">
        <v>0.90406873876724614</v>
      </c>
      <c r="G704">
        <v>0.115593973319781</v>
      </c>
      <c r="I704">
        <v>0.90537631192777024</v>
      </c>
      <c r="J704">
        <v>0.1153802173659445</v>
      </c>
      <c r="K704">
        <f t="shared" si="42"/>
        <v>0</v>
      </c>
      <c r="L704" t="b">
        <f t="shared" si="43"/>
        <v>1</v>
      </c>
    </row>
    <row r="705" spans="1:12" x14ac:dyDescent="0.35">
      <c r="A705" s="13">
        <v>43385</v>
      </c>
      <c r="B705" s="14">
        <v>5095.9799999999996</v>
      </c>
      <c r="C705" s="2">
        <f t="shared" si="40"/>
        <v>-2.0347135048969234E-3</v>
      </c>
      <c r="D705">
        <f t="shared" si="41"/>
        <v>0</v>
      </c>
      <c r="E705">
        <v>0.49504989311511943</v>
      </c>
      <c r="F705">
        <v>0.90537631192777024</v>
      </c>
      <c r="G705">
        <v>0.1153802173659445</v>
      </c>
      <c r="I705">
        <v>0.90656301473019441</v>
      </c>
      <c r="J705">
        <v>0.11668704685952395</v>
      </c>
      <c r="K705">
        <f t="shared" si="42"/>
        <v>0</v>
      </c>
      <c r="L705" t="b">
        <f t="shared" si="43"/>
        <v>1</v>
      </c>
    </row>
    <row r="706" spans="1:12" x14ac:dyDescent="0.35">
      <c r="A706" s="13">
        <v>43388</v>
      </c>
      <c r="B706" s="14">
        <v>5095.07</v>
      </c>
      <c r="C706" s="2">
        <f t="shared" si="40"/>
        <v>-1.7857212940397549E-4</v>
      </c>
      <c r="D706">
        <f t="shared" si="41"/>
        <v>0</v>
      </c>
      <c r="E706">
        <v>0.49897936772060453</v>
      </c>
      <c r="F706">
        <v>0.90656301473019441</v>
      </c>
      <c r="G706">
        <v>0.11668704685952395</v>
      </c>
      <c r="I706">
        <v>0.90668992420866146</v>
      </c>
      <c r="J706">
        <v>0.11788328141804229</v>
      </c>
      <c r="K706">
        <f t="shared" si="42"/>
        <v>0</v>
      </c>
      <c r="L706" t="b">
        <f t="shared" si="43"/>
        <v>1</v>
      </c>
    </row>
    <row r="707" spans="1:12" x14ac:dyDescent="0.35">
      <c r="A707" s="13">
        <v>43389</v>
      </c>
      <c r="B707" s="14">
        <v>5173.05</v>
      </c>
      <c r="C707" s="2">
        <f t="shared" si="40"/>
        <v>1.5304990902970994E-2</v>
      </c>
      <c r="D707">
        <f t="shared" si="41"/>
        <v>1</v>
      </c>
      <c r="E707">
        <v>0.49989955793755664</v>
      </c>
      <c r="F707">
        <v>0.90668992420866146</v>
      </c>
      <c r="G707">
        <v>0.11788328141804229</v>
      </c>
      <c r="I707">
        <v>0.90667876120900504</v>
      </c>
      <c r="J707">
        <v>0.1177560862827665</v>
      </c>
      <c r="K707">
        <f t="shared" si="42"/>
        <v>0</v>
      </c>
      <c r="L707" t="b">
        <f t="shared" si="43"/>
        <v>0</v>
      </c>
    </row>
    <row r="708" spans="1:12" x14ac:dyDescent="0.35">
      <c r="A708" s="13">
        <v>43390</v>
      </c>
      <c r="B708" s="14">
        <v>5144.95</v>
      </c>
      <c r="C708" s="2">
        <f t="shared" ref="C708:C735" si="44">(B708/B707)-1</f>
        <v>-5.431998530847415E-3</v>
      </c>
      <c r="D708">
        <f t="shared" si="41"/>
        <v>0</v>
      </c>
      <c r="E708">
        <v>0.50346386514341401</v>
      </c>
      <c r="F708">
        <v>0.90667876120900504</v>
      </c>
      <c r="G708">
        <v>0.1177560862827665</v>
      </c>
      <c r="I708">
        <v>0.90571561870125317</v>
      </c>
      <c r="J708">
        <v>0.11776732382022204</v>
      </c>
      <c r="K708">
        <f t="shared" si="42"/>
        <v>1</v>
      </c>
      <c r="L708" t="b">
        <f t="shared" si="43"/>
        <v>0</v>
      </c>
    </row>
    <row r="709" spans="1:12" x14ac:dyDescent="0.35">
      <c r="A709" s="13">
        <v>43391</v>
      </c>
      <c r="B709" s="14">
        <v>5116.79</v>
      </c>
      <c r="C709" s="2">
        <f t="shared" si="44"/>
        <v>-5.4733282150457585E-3</v>
      </c>
      <c r="D709">
        <f t="shared" si="41"/>
        <v>0</v>
      </c>
      <c r="E709">
        <v>0.49922064610856209</v>
      </c>
      <c r="F709">
        <v>0.90571561870125317</v>
      </c>
      <c r="G709">
        <v>0.11776732382022204</v>
      </c>
      <c r="I709">
        <v>0.90605458860472887</v>
      </c>
      <c r="J709">
        <v>0.11681225520972531</v>
      </c>
      <c r="K709">
        <f t="shared" si="42"/>
        <v>0</v>
      </c>
      <c r="L709" t="b">
        <f t="shared" si="43"/>
        <v>1</v>
      </c>
    </row>
    <row r="710" spans="1:12" x14ac:dyDescent="0.35">
      <c r="A710" s="13">
        <v>43392</v>
      </c>
      <c r="B710" s="14">
        <v>5084.66</v>
      </c>
      <c r="C710" s="2">
        <f t="shared" si="44"/>
        <v>-6.2793274689796341E-3</v>
      </c>
      <c r="D710">
        <f t="shared" ref="D710:D735" si="45">IF(C710&gt;=0,1,0)</f>
        <v>0</v>
      </c>
      <c r="E710">
        <v>0.49860158911052277</v>
      </c>
      <c r="F710">
        <v>0.90605458860472887</v>
      </c>
      <c r="G710">
        <v>0.11681225520972531</v>
      </c>
      <c r="I710">
        <v>0.90639571220458504</v>
      </c>
      <c r="J710">
        <v>0.11715080294895321</v>
      </c>
      <c r="K710">
        <f t="shared" ref="K710:K735" si="46">IF(E710&gt;=0.5,1,0)</f>
        <v>0</v>
      </c>
      <c r="L710" t="b">
        <f t="shared" ref="L710:L735" si="47">IF(K710=D710,TRUE,FALSE)</f>
        <v>1</v>
      </c>
    </row>
    <row r="711" spans="1:12" x14ac:dyDescent="0.35">
      <c r="A711" s="13">
        <v>43395</v>
      </c>
      <c r="B711" s="14">
        <v>5053.3100000000004</v>
      </c>
      <c r="C711" s="2">
        <f t="shared" si="44"/>
        <v>-6.1656039931872186E-3</v>
      </c>
      <c r="D711">
        <f t="shared" si="45"/>
        <v>0</v>
      </c>
      <c r="E711">
        <v>0.49841681521882875</v>
      </c>
      <c r="F711">
        <v>0.90639571220458504</v>
      </c>
      <c r="G711">
        <v>0.11715080294895321</v>
      </c>
      <c r="I711">
        <v>0.90678692358215163</v>
      </c>
      <c r="J711">
        <v>0.11749179938232289</v>
      </c>
      <c r="K711">
        <f t="shared" si="46"/>
        <v>0</v>
      </c>
      <c r="L711" t="b">
        <f t="shared" si="47"/>
        <v>1</v>
      </c>
    </row>
    <row r="712" spans="1:12" x14ac:dyDescent="0.35">
      <c r="A712" s="13">
        <v>43396</v>
      </c>
      <c r="B712" s="14">
        <v>4967.6899999999996</v>
      </c>
      <c r="C712" s="2">
        <f t="shared" si="44"/>
        <v>-1.694335000227587E-2</v>
      </c>
      <c r="D712">
        <f t="shared" si="45"/>
        <v>0</v>
      </c>
      <c r="E712">
        <v>0.49841784064064404</v>
      </c>
      <c r="F712">
        <v>0.90678692358215163</v>
      </c>
      <c r="G712">
        <v>0.11749179938232289</v>
      </c>
      <c r="I712">
        <v>0.9071710506144488</v>
      </c>
      <c r="J712">
        <v>0.11788301156983062</v>
      </c>
      <c r="K712">
        <f t="shared" si="46"/>
        <v>0</v>
      </c>
      <c r="L712" t="b">
        <f t="shared" si="47"/>
        <v>1</v>
      </c>
    </row>
    <row r="713" spans="1:12" x14ac:dyDescent="0.35">
      <c r="A713" s="13">
        <v>43397</v>
      </c>
      <c r="B713" s="14">
        <v>4953.09</v>
      </c>
      <c r="C713" s="2">
        <f t="shared" si="44"/>
        <v>-2.9389917647839603E-3</v>
      </c>
      <c r="D713">
        <f t="shared" si="45"/>
        <v>0</v>
      </c>
      <c r="E713">
        <v>0.49597575275062145</v>
      </c>
      <c r="F713">
        <v>0.9071710506144488</v>
      </c>
      <c r="G713">
        <v>0.11788301156983062</v>
      </c>
      <c r="I713">
        <v>0.90822141891544317</v>
      </c>
      <c r="J713">
        <v>0.11826523556863004</v>
      </c>
      <c r="K713">
        <f t="shared" si="46"/>
        <v>0</v>
      </c>
      <c r="L713" t="b">
        <f t="shared" si="47"/>
        <v>1</v>
      </c>
    </row>
    <row r="714" spans="1:12" x14ac:dyDescent="0.35">
      <c r="A714" s="13">
        <v>43398</v>
      </c>
      <c r="B714" s="14">
        <v>5032.3</v>
      </c>
      <c r="C714" s="2">
        <f t="shared" si="44"/>
        <v>1.5992037293891315E-2</v>
      </c>
      <c r="D714">
        <f t="shared" si="45"/>
        <v>1</v>
      </c>
      <c r="E714">
        <v>0.49883173598846603</v>
      </c>
      <c r="F714">
        <v>0.90822141891544317</v>
      </c>
      <c r="G714">
        <v>0.11826523556863004</v>
      </c>
      <c r="I714">
        <v>0.90803730374551261</v>
      </c>
      <c r="J714">
        <v>0.11720380769998437</v>
      </c>
      <c r="K714">
        <f t="shared" si="46"/>
        <v>0</v>
      </c>
      <c r="L714" t="b">
        <f t="shared" si="47"/>
        <v>0</v>
      </c>
    </row>
    <row r="715" spans="1:12" x14ac:dyDescent="0.35">
      <c r="A715" s="13">
        <v>43402</v>
      </c>
      <c r="B715" s="14">
        <v>4989.3500000000004</v>
      </c>
      <c r="C715" s="2">
        <f t="shared" si="44"/>
        <v>-8.5348647735628003E-3</v>
      </c>
      <c r="D715">
        <f t="shared" si="45"/>
        <v>0</v>
      </c>
      <c r="E715">
        <v>0.50354416698996407</v>
      </c>
      <c r="F715">
        <v>0.90803730374551261</v>
      </c>
      <c r="G715">
        <v>0.11720380769998437</v>
      </c>
      <c r="I715">
        <v>0.90703076718375542</v>
      </c>
      <c r="J715">
        <v>0.11738878742530608</v>
      </c>
      <c r="K715">
        <f t="shared" si="46"/>
        <v>1</v>
      </c>
      <c r="L715" t="b">
        <f t="shared" si="47"/>
        <v>0</v>
      </c>
    </row>
    <row r="716" spans="1:12" x14ac:dyDescent="0.35">
      <c r="A716" s="13">
        <v>43403</v>
      </c>
      <c r="B716" s="14">
        <v>4978.53</v>
      </c>
      <c r="C716" s="2">
        <f t="shared" si="44"/>
        <v>-2.1686191588083936E-3</v>
      </c>
      <c r="D716">
        <f t="shared" si="45"/>
        <v>0</v>
      </c>
      <c r="E716">
        <v>0.49853397943183608</v>
      </c>
      <c r="F716">
        <v>0.90703076718375542</v>
      </c>
      <c r="G716">
        <v>0.11738878742530608</v>
      </c>
      <c r="I716">
        <v>0.90756262762381823</v>
      </c>
      <c r="J716">
        <v>0.11639222424378085</v>
      </c>
      <c r="K716">
        <f t="shared" si="46"/>
        <v>0</v>
      </c>
      <c r="L716" t="b">
        <f t="shared" si="47"/>
        <v>1</v>
      </c>
    </row>
    <row r="717" spans="1:12" x14ac:dyDescent="0.35">
      <c r="A717" s="13">
        <v>43404</v>
      </c>
      <c r="B717" s="14">
        <v>5093.4399999999996</v>
      </c>
      <c r="C717" s="2">
        <f t="shared" si="44"/>
        <v>2.3081110287574758E-2</v>
      </c>
      <c r="D717">
        <f t="shared" si="45"/>
        <v>1</v>
      </c>
      <c r="E717">
        <v>0.49925961314197259</v>
      </c>
      <c r="F717">
        <v>0.90756262762381823</v>
      </c>
      <c r="G717">
        <v>0.11639222424378085</v>
      </c>
      <c r="I717">
        <v>0.90742688852188658</v>
      </c>
      <c r="J717">
        <v>0.11585800647909594</v>
      </c>
      <c r="K717">
        <f t="shared" si="46"/>
        <v>0</v>
      </c>
      <c r="L717" t="b">
        <f t="shared" si="47"/>
        <v>0</v>
      </c>
    </row>
    <row r="718" spans="1:12" x14ac:dyDescent="0.35">
      <c r="A718" s="13">
        <v>43405</v>
      </c>
      <c r="B718" s="14">
        <v>5085.78</v>
      </c>
      <c r="C718" s="2">
        <f t="shared" si="44"/>
        <v>-1.5038952063830546E-3</v>
      </c>
      <c r="D718">
        <f t="shared" si="45"/>
        <v>0</v>
      </c>
      <c r="E718">
        <v>0.50517310745432464</v>
      </c>
      <c r="F718">
        <v>0.90742688852188658</v>
      </c>
      <c r="G718">
        <v>0.11585800647909594</v>
      </c>
      <c r="I718">
        <v>0.90596955001223434</v>
      </c>
      <c r="J718">
        <v>0.11599493283027769</v>
      </c>
      <c r="K718">
        <f t="shared" si="46"/>
        <v>1</v>
      </c>
      <c r="L718" t="b">
        <f t="shared" si="47"/>
        <v>0</v>
      </c>
    </row>
    <row r="719" spans="1:12" x14ac:dyDescent="0.35">
      <c r="A719" s="13">
        <v>43409</v>
      </c>
      <c r="B719" s="14">
        <v>5101.3900000000003</v>
      </c>
      <c r="C719" s="2">
        <f t="shared" si="44"/>
        <v>3.0693423624301719E-3</v>
      </c>
      <c r="D719">
        <f t="shared" si="45"/>
        <v>1</v>
      </c>
      <c r="E719">
        <v>0.50032870209616287</v>
      </c>
      <c r="F719">
        <v>0.90596955001223434</v>
      </c>
      <c r="G719">
        <v>0.11599493283027769</v>
      </c>
      <c r="I719">
        <v>0.90587561839411912</v>
      </c>
      <c r="J719">
        <v>0.11743655324904427</v>
      </c>
      <c r="K719">
        <f t="shared" si="46"/>
        <v>1</v>
      </c>
      <c r="L719" t="b">
        <f t="shared" si="47"/>
        <v>1</v>
      </c>
    </row>
    <row r="720" spans="1:12" x14ac:dyDescent="0.35">
      <c r="A720" s="13">
        <v>43410</v>
      </c>
      <c r="B720" s="14">
        <v>5075.1899999999996</v>
      </c>
      <c r="C720" s="2">
        <f t="shared" si="44"/>
        <v>-5.1358551296805111E-3</v>
      </c>
      <c r="D720">
        <f t="shared" si="45"/>
        <v>0</v>
      </c>
      <c r="E720">
        <v>0.50065095716749908</v>
      </c>
      <c r="F720">
        <v>0.90587561839411912</v>
      </c>
      <c r="G720">
        <v>0.11743655324904427</v>
      </c>
      <c r="I720">
        <v>0.90568353507074406</v>
      </c>
      <c r="J720">
        <v>0.11753066891133916</v>
      </c>
      <c r="K720">
        <f t="shared" si="46"/>
        <v>1</v>
      </c>
      <c r="L720" t="b">
        <f t="shared" si="47"/>
        <v>0</v>
      </c>
    </row>
    <row r="721" spans="1:12" x14ac:dyDescent="0.35">
      <c r="A721" s="13">
        <v>43411</v>
      </c>
      <c r="B721" s="14">
        <v>5137.9399999999996</v>
      </c>
      <c r="C721" s="2">
        <f t="shared" si="44"/>
        <v>1.2364069128446342E-2</v>
      </c>
      <c r="D721">
        <f t="shared" si="45"/>
        <v>1</v>
      </c>
      <c r="E721">
        <v>0.49892732225356745</v>
      </c>
      <c r="F721">
        <v>0.90568353507074406</v>
      </c>
      <c r="G721">
        <v>0.11753066891133916</v>
      </c>
      <c r="I721">
        <v>0.90536185696599714</v>
      </c>
      <c r="J721">
        <v>0.11772291347607776</v>
      </c>
      <c r="K721">
        <f t="shared" si="46"/>
        <v>0</v>
      </c>
      <c r="L721" t="b">
        <f t="shared" si="47"/>
        <v>0</v>
      </c>
    </row>
    <row r="722" spans="1:12" x14ac:dyDescent="0.35">
      <c r="A722" s="13">
        <v>43412</v>
      </c>
      <c r="B722" s="14">
        <v>5131.45</v>
      </c>
      <c r="C722" s="2">
        <f t="shared" si="44"/>
        <v>-1.2631521582578964E-3</v>
      </c>
      <c r="D722">
        <f t="shared" si="45"/>
        <v>0</v>
      </c>
      <c r="E722">
        <v>0.50264731245134953</v>
      </c>
      <c r="F722">
        <v>0.90536185696599714</v>
      </c>
      <c r="G722">
        <v>0.11772291347607776</v>
      </c>
      <c r="I722">
        <v>0.90458503297855852</v>
      </c>
      <c r="J722">
        <v>0.11804559490233786</v>
      </c>
      <c r="K722">
        <f t="shared" si="46"/>
        <v>1</v>
      </c>
      <c r="L722" t="b">
        <f t="shared" si="47"/>
        <v>0</v>
      </c>
    </row>
    <row r="723" spans="1:12" x14ac:dyDescent="0.35">
      <c r="A723" s="13">
        <v>43413</v>
      </c>
      <c r="B723" s="14">
        <v>5106.75</v>
      </c>
      <c r="C723" s="2">
        <f t="shared" si="44"/>
        <v>-4.813454286800023E-3</v>
      </c>
      <c r="D723">
        <f t="shared" si="45"/>
        <v>0</v>
      </c>
      <c r="E723">
        <v>0.50007922383907366</v>
      </c>
      <c r="F723">
        <v>0.90458503297855852</v>
      </c>
      <c r="G723">
        <v>0.11804559490233786</v>
      </c>
      <c r="I723">
        <v>0.90466399249543772</v>
      </c>
      <c r="J723">
        <v>0.11727271816008568</v>
      </c>
      <c r="K723">
        <f t="shared" si="46"/>
        <v>1</v>
      </c>
      <c r="L723" t="b">
        <f t="shared" si="47"/>
        <v>0</v>
      </c>
    </row>
    <row r="724" spans="1:12" x14ac:dyDescent="0.35">
      <c r="A724" s="13">
        <v>43416</v>
      </c>
      <c r="B724" s="14">
        <v>5059.09</v>
      </c>
      <c r="C724" s="2">
        <f t="shared" si="44"/>
        <v>-9.3327458755568804E-3</v>
      </c>
      <c r="D724">
        <f t="shared" si="45"/>
        <v>0</v>
      </c>
      <c r="E724">
        <v>0.49887432888688293</v>
      </c>
      <c r="F724">
        <v>0.90466399249543772</v>
      </c>
      <c r="G724">
        <v>0.11727271816008568</v>
      </c>
      <c r="I724">
        <v>0.9049641545711653</v>
      </c>
      <c r="J724">
        <v>0.11735148703399444</v>
      </c>
      <c r="K724">
        <f t="shared" si="46"/>
        <v>0</v>
      </c>
      <c r="L724" t="b">
        <f t="shared" si="47"/>
        <v>1</v>
      </c>
    </row>
    <row r="725" spans="1:12" x14ac:dyDescent="0.35">
      <c r="A725" s="13">
        <v>43417</v>
      </c>
      <c r="B725" s="14">
        <v>5101.8500000000004</v>
      </c>
      <c r="C725" s="2">
        <f t="shared" si="44"/>
        <v>8.4521129294004016E-3</v>
      </c>
      <c r="D725">
        <f t="shared" si="45"/>
        <v>1</v>
      </c>
      <c r="E725">
        <v>0.49774734861658271</v>
      </c>
      <c r="F725">
        <v>0.9049641545711653</v>
      </c>
      <c r="G725">
        <v>0.11735148703399444</v>
      </c>
      <c r="I725">
        <v>0.90437824191903127</v>
      </c>
      <c r="J725">
        <v>0.11704929689566745</v>
      </c>
      <c r="K725">
        <f t="shared" si="46"/>
        <v>0</v>
      </c>
      <c r="L725" t="b">
        <f t="shared" si="47"/>
        <v>0</v>
      </c>
    </row>
    <row r="726" spans="1:12" x14ac:dyDescent="0.35">
      <c r="A726" s="13">
        <v>43418</v>
      </c>
      <c r="B726" s="14">
        <v>5068.8500000000004</v>
      </c>
      <c r="C726" s="2">
        <f t="shared" si="44"/>
        <v>-6.4682419122474855E-3</v>
      </c>
      <c r="D726">
        <f t="shared" si="45"/>
        <v>0</v>
      </c>
      <c r="E726">
        <v>0.50163787306374452</v>
      </c>
      <c r="F726">
        <v>0.90437824191903127</v>
      </c>
      <c r="G726">
        <v>0.11704929689566745</v>
      </c>
      <c r="I726">
        <v>0.90384826011196895</v>
      </c>
      <c r="J726">
        <v>0.11763449796494992</v>
      </c>
      <c r="K726">
        <f t="shared" si="46"/>
        <v>1</v>
      </c>
      <c r="L726" t="b">
        <f t="shared" si="47"/>
        <v>0</v>
      </c>
    </row>
    <row r="727" spans="1:12" x14ac:dyDescent="0.35">
      <c r="A727" s="13">
        <v>43420</v>
      </c>
      <c r="B727" s="14">
        <v>5025.2</v>
      </c>
      <c r="C727" s="2">
        <f t="shared" si="44"/>
        <v>-8.6114207364590412E-3</v>
      </c>
      <c r="D727">
        <f t="shared" si="45"/>
        <v>0</v>
      </c>
      <c r="E727">
        <v>0.49878699009546706</v>
      </c>
      <c r="F727">
        <v>0.90384826011196895</v>
      </c>
      <c r="G727">
        <v>0.11763449796494992</v>
      </c>
      <c r="I727">
        <v>0.90425154210273717</v>
      </c>
      <c r="J727">
        <v>0.11710752557050187</v>
      </c>
      <c r="K727">
        <f t="shared" si="46"/>
        <v>0</v>
      </c>
      <c r="L727" t="b">
        <f t="shared" si="47"/>
        <v>1</v>
      </c>
    </row>
    <row r="728" spans="1:12" x14ac:dyDescent="0.35">
      <c r="A728" s="13">
        <v>43423</v>
      </c>
      <c r="B728" s="14">
        <v>4985.45</v>
      </c>
      <c r="C728" s="2">
        <f t="shared" si="44"/>
        <v>-7.9101329300326206E-3</v>
      </c>
      <c r="D728">
        <f t="shared" si="45"/>
        <v>0</v>
      </c>
      <c r="E728">
        <v>0.49786392042413991</v>
      </c>
      <c r="F728">
        <v>0.90425154210273717</v>
      </c>
      <c r="G728">
        <v>0.11710752557050187</v>
      </c>
      <c r="I728">
        <v>0.90478744678261247</v>
      </c>
      <c r="J728">
        <v>0.11751005625822721</v>
      </c>
      <c r="K728">
        <f t="shared" si="46"/>
        <v>0</v>
      </c>
      <c r="L728" t="b">
        <f t="shared" si="47"/>
        <v>1</v>
      </c>
    </row>
    <row r="729" spans="1:12" x14ac:dyDescent="0.35">
      <c r="A729" s="13">
        <v>43424</v>
      </c>
      <c r="B729" s="14">
        <v>4924.8900000000003</v>
      </c>
      <c r="C729" s="2">
        <f t="shared" si="44"/>
        <v>-1.2147348784964151E-2</v>
      </c>
      <c r="D729">
        <f t="shared" si="45"/>
        <v>0</v>
      </c>
      <c r="E729">
        <v>0.49795778197845797</v>
      </c>
      <c r="F729">
        <v>0.90478744678261247</v>
      </c>
      <c r="G729">
        <v>0.11751005625822721</v>
      </c>
      <c r="I729">
        <v>0.90527980259981577</v>
      </c>
      <c r="J729">
        <v>0.11804606281228686</v>
      </c>
      <c r="K729">
        <f t="shared" si="46"/>
        <v>0</v>
      </c>
      <c r="L729" t="b">
        <f t="shared" si="47"/>
        <v>1</v>
      </c>
    </row>
    <row r="730" spans="1:12" x14ac:dyDescent="0.35">
      <c r="A730" s="13">
        <v>43425</v>
      </c>
      <c r="B730" s="14">
        <v>4975.5</v>
      </c>
      <c r="C730" s="2">
        <f t="shared" si="44"/>
        <v>1.0276371655001393E-2</v>
      </c>
      <c r="D730">
        <f t="shared" si="45"/>
        <v>1</v>
      </c>
      <c r="E730">
        <v>0.49701740798797828</v>
      </c>
      <c r="F730">
        <v>0.90527980259981577</v>
      </c>
      <c r="G730">
        <v>0.11804606281228686</v>
      </c>
      <c r="I730">
        <v>0.90451609165398861</v>
      </c>
      <c r="J730">
        <v>0.11754874811353615</v>
      </c>
      <c r="K730">
        <f t="shared" si="46"/>
        <v>0</v>
      </c>
      <c r="L730" t="b">
        <f t="shared" si="47"/>
        <v>0</v>
      </c>
    </row>
    <row r="731" spans="1:12" x14ac:dyDescent="0.35">
      <c r="A731" s="13">
        <v>43426</v>
      </c>
      <c r="B731" s="14">
        <v>4938.1400000000003</v>
      </c>
      <c r="C731" s="2">
        <f t="shared" si="44"/>
        <v>-7.5087930861219565E-3</v>
      </c>
      <c r="D731">
        <f t="shared" si="45"/>
        <v>0</v>
      </c>
      <c r="E731">
        <v>0.50196679932647914</v>
      </c>
      <c r="F731">
        <v>0.90451609165398861</v>
      </c>
      <c r="G731">
        <v>0.11754874811353615</v>
      </c>
      <c r="I731">
        <v>0.90387130195755805</v>
      </c>
      <c r="J731">
        <v>0.11831093204366688</v>
      </c>
      <c r="K731">
        <f t="shared" si="46"/>
        <v>1</v>
      </c>
      <c r="L731" t="b">
        <f t="shared" si="47"/>
        <v>0</v>
      </c>
    </row>
    <row r="732" spans="1:12" x14ac:dyDescent="0.35">
      <c r="A732" s="13">
        <v>43427</v>
      </c>
      <c r="B732" s="14">
        <v>4946.95</v>
      </c>
      <c r="C732" s="2">
        <f t="shared" si="44"/>
        <v>1.7840725455331441E-3</v>
      </c>
      <c r="D732">
        <f t="shared" si="45"/>
        <v>1</v>
      </c>
      <c r="E732">
        <v>0.49860720973386158</v>
      </c>
      <c r="F732">
        <v>0.90387130195755805</v>
      </c>
      <c r="G732">
        <v>0.11831093204366688</v>
      </c>
      <c r="I732">
        <v>0.90340069876958973</v>
      </c>
      <c r="J732">
        <v>0.11895498937833081</v>
      </c>
      <c r="K732">
        <f t="shared" si="46"/>
        <v>0</v>
      </c>
      <c r="L732" t="b">
        <f t="shared" si="47"/>
        <v>0</v>
      </c>
    </row>
    <row r="733" spans="1:12" x14ac:dyDescent="0.35">
      <c r="A733" s="13">
        <v>43430</v>
      </c>
      <c r="B733" s="14">
        <v>4994.9799999999996</v>
      </c>
      <c r="C733" s="2">
        <f t="shared" si="44"/>
        <v>9.7090126239398611E-3</v>
      </c>
      <c r="D733">
        <f t="shared" si="45"/>
        <v>1</v>
      </c>
      <c r="E733">
        <v>0.50017963098789331</v>
      </c>
      <c r="F733">
        <v>0.90340069876958973</v>
      </c>
      <c r="G733">
        <v>0.11895498937833081</v>
      </c>
      <c r="I733">
        <v>0.90351216322995964</v>
      </c>
      <c r="J733">
        <v>0.11848585847248852</v>
      </c>
      <c r="K733">
        <f t="shared" si="46"/>
        <v>1</v>
      </c>
      <c r="L733" t="b">
        <f t="shared" si="47"/>
        <v>1</v>
      </c>
    </row>
    <row r="734" spans="1:12" x14ac:dyDescent="0.35">
      <c r="A734" s="13">
        <v>43431</v>
      </c>
      <c r="B734" s="14">
        <v>4983.1499999999996</v>
      </c>
      <c r="C734" s="2">
        <f t="shared" si="44"/>
        <v>-2.3683778513627907E-3</v>
      </c>
      <c r="D734">
        <f t="shared" si="45"/>
        <v>0</v>
      </c>
      <c r="E734">
        <v>0.50224588448695828</v>
      </c>
      <c r="F734">
        <v>0.90351216322995964</v>
      </c>
      <c r="G734">
        <v>0.11848585847248852</v>
      </c>
      <c r="I734">
        <v>0.9029026365739099</v>
      </c>
      <c r="J734">
        <v>0.11837385534560539</v>
      </c>
      <c r="K734">
        <f t="shared" si="46"/>
        <v>1</v>
      </c>
      <c r="L734" t="b">
        <f t="shared" si="47"/>
        <v>0</v>
      </c>
    </row>
    <row r="735" spans="1:12" x14ac:dyDescent="0.35">
      <c r="A735" s="15">
        <v>43432</v>
      </c>
      <c r="B735" s="16">
        <v>4983.24</v>
      </c>
      <c r="C735" s="2">
        <f t="shared" si="44"/>
        <v>1.8060865115465674E-5</v>
      </c>
      <c r="D735">
        <f t="shared" si="45"/>
        <v>1</v>
      </c>
      <c r="E735">
        <v>0.49975271968253482</v>
      </c>
      <c r="F735">
        <v>0.9029026365739099</v>
      </c>
      <c r="G735">
        <v>0.11837385534560539</v>
      </c>
      <c r="I735">
        <v>0.90275453978776943</v>
      </c>
      <c r="J735">
        <v>0.11898096859207312</v>
      </c>
      <c r="K735">
        <f t="shared" si="46"/>
        <v>0</v>
      </c>
      <c r="L735" t="b">
        <f t="shared" si="47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7C785-74C7-4780-BA64-F2DAB5669AC8}">
  <sheetPr codeName="Feuil3"/>
  <dimension ref="A1:L735"/>
  <sheetViews>
    <sheetView workbookViewId="0">
      <selection activeCell="J8" sqref="J8"/>
    </sheetView>
  </sheetViews>
  <sheetFormatPr baseColWidth="10" defaultRowHeight="14.5" x14ac:dyDescent="0.35"/>
  <cols>
    <col min="3" max="3" width="12.7265625" customWidth="1"/>
    <col min="9" max="9" width="17.453125" customWidth="1"/>
    <col min="10" max="10" width="18.08984375" customWidth="1"/>
  </cols>
  <sheetData>
    <row r="1" spans="1:12" x14ac:dyDescent="0.35">
      <c r="A1" s="5" t="s">
        <v>0</v>
      </c>
      <c r="B1" s="5" t="s">
        <v>1</v>
      </c>
      <c r="C1" s="5" t="s">
        <v>2</v>
      </c>
      <c r="D1" s="5" t="s">
        <v>31</v>
      </c>
      <c r="E1" s="5" t="s">
        <v>32</v>
      </c>
      <c r="F1" s="5" t="s">
        <v>33</v>
      </c>
      <c r="G1" s="5" t="s">
        <v>34</v>
      </c>
      <c r="H1" s="5" t="s">
        <v>36</v>
      </c>
    </row>
    <row r="2" spans="1:12" x14ac:dyDescent="0.35">
      <c r="A2" s="11">
        <v>42373</v>
      </c>
      <c r="B2" s="12">
        <v>4522.45</v>
      </c>
      <c r="C2" s="8"/>
      <c r="D2" s="8"/>
      <c r="E2" s="8"/>
      <c r="F2" s="8"/>
      <c r="G2" s="8"/>
      <c r="H2" s="8"/>
    </row>
    <row r="3" spans="1:12" x14ac:dyDescent="0.35">
      <c r="A3" s="13">
        <v>42374</v>
      </c>
      <c r="B3" s="14">
        <v>4537.63</v>
      </c>
      <c r="C3" s="2">
        <f>(B3/B2)-1</f>
        <v>3.356587690300783E-3</v>
      </c>
      <c r="D3" s="8"/>
      <c r="E3" s="8"/>
      <c r="F3" s="8"/>
      <c r="G3" s="8"/>
      <c r="H3" s="8"/>
      <c r="I3" s="22"/>
      <c r="J3" s="22"/>
      <c r="K3" s="22"/>
    </row>
    <row r="4" spans="1:12" x14ac:dyDescent="0.35">
      <c r="A4" s="13">
        <v>42375</v>
      </c>
      <c r="B4" s="14">
        <v>4480.47</v>
      </c>
      <c r="C4" s="2">
        <f t="shared" ref="C4:C67" si="0">(B4/B3)-1</f>
        <v>-1.2596884276593667E-2</v>
      </c>
      <c r="D4" s="8"/>
      <c r="E4" s="8"/>
      <c r="F4" s="8"/>
      <c r="G4" s="8"/>
      <c r="H4" s="8"/>
      <c r="I4" s="9"/>
      <c r="J4" s="9"/>
      <c r="K4" s="28"/>
    </row>
    <row r="5" spans="1:12" x14ac:dyDescent="0.35">
      <c r="A5" s="13">
        <v>42376</v>
      </c>
      <c r="B5" s="14">
        <v>4403.58</v>
      </c>
      <c r="C5" s="2">
        <f t="shared" si="0"/>
        <v>-1.7161146040482467E-2</v>
      </c>
      <c r="D5">
        <f>IF(C5&gt;=0,1,0)</f>
        <v>0</v>
      </c>
      <c r="E5" s="8"/>
      <c r="F5" s="8"/>
      <c r="G5" s="8"/>
      <c r="H5" s="8"/>
      <c r="K5" s="24"/>
    </row>
    <row r="6" spans="1:12" x14ac:dyDescent="0.35">
      <c r="A6" s="13">
        <v>42377</v>
      </c>
      <c r="B6" s="14">
        <v>4333.76</v>
      </c>
      <c r="C6" s="2">
        <f t="shared" si="0"/>
        <v>-1.58552813846915E-2</v>
      </c>
      <c r="D6">
        <f t="shared" ref="D6:D69" si="1">IF(C6&gt;=0,1,0)</f>
        <v>0</v>
      </c>
      <c r="E6" s="8"/>
      <c r="F6" s="8"/>
      <c r="G6" s="8"/>
      <c r="H6" s="8"/>
      <c r="K6" s="24"/>
    </row>
    <row r="7" spans="1:12" x14ac:dyDescent="0.35">
      <c r="A7" s="13">
        <v>42380</v>
      </c>
      <c r="B7" s="14">
        <v>4312.74</v>
      </c>
      <c r="C7" s="2">
        <f t="shared" si="0"/>
        <v>-4.8502916635901894E-3</v>
      </c>
      <c r="D7">
        <f t="shared" si="1"/>
        <v>0</v>
      </c>
      <c r="E7" s="8"/>
      <c r="F7" s="8"/>
      <c r="G7" s="8"/>
      <c r="H7" s="8"/>
      <c r="J7" s="21" t="s">
        <v>35</v>
      </c>
      <c r="K7" s="24"/>
    </row>
    <row r="8" spans="1:12" x14ac:dyDescent="0.35">
      <c r="A8" s="13">
        <v>42381</v>
      </c>
      <c r="B8" s="14">
        <v>4378.75</v>
      </c>
      <c r="C8" s="2">
        <f t="shared" si="0"/>
        <v>1.5305814864795986E-2</v>
      </c>
      <c r="D8">
        <f t="shared" si="1"/>
        <v>1</v>
      </c>
      <c r="F8">
        <f>IF(E8&gt;=0.5,1,0)</f>
        <v>0</v>
      </c>
      <c r="G8" t="b">
        <f>IF(D8=F8,TRUE,FALSE)</f>
        <v>0</v>
      </c>
      <c r="J8" s="10">
        <v>0.55020920502092052</v>
      </c>
      <c r="K8" s="24"/>
    </row>
    <row r="9" spans="1:12" x14ac:dyDescent="0.35">
      <c r="A9" s="13">
        <v>42382</v>
      </c>
      <c r="B9" s="14">
        <v>4391.9399999999996</v>
      </c>
      <c r="C9" s="2">
        <f t="shared" si="0"/>
        <v>3.0122751926919822E-3</v>
      </c>
      <c r="D9">
        <f t="shared" si="1"/>
        <v>1</v>
      </c>
      <c r="F9">
        <f t="shared" ref="F9:F72" si="2">IF(E9&gt;=0.5,1,0)</f>
        <v>0</v>
      </c>
      <c r="G9" t="b">
        <f t="shared" ref="G9:G72" si="3">IF(D9=F9,TRUE,FALSE)</f>
        <v>0</v>
      </c>
      <c r="K9" s="24"/>
    </row>
    <row r="10" spans="1:12" x14ac:dyDescent="0.35">
      <c r="A10" s="13">
        <v>42383</v>
      </c>
      <c r="B10" s="14">
        <v>4312.8900000000003</v>
      </c>
      <c r="C10" s="2">
        <f t="shared" si="0"/>
        <v>-1.7998879766116804E-2</v>
      </c>
      <c r="D10">
        <f t="shared" si="1"/>
        <v>0</v>
      </c>
      <c r="F10">
        <f t="shared" si="2"/>
        <v>0</v>
      </c>
      <c r="G10" t="b">
        <f t="shared" si="3"/>
        <v>1</v>
      </c>
      <c r="K10" s="24"/>
    </row>
    <row r="11" spans="1:12" x14ac:dyDescent="0.35">
      <c r="A11" s="13">
        <v>42384</v>
      </c>
      <c r="B11" s="14">
        <v>4210.16</v>
      </c>
      <c r="C11" s="2">
        <f t="shared" si="0"/>
        <v>-2.3819295182580746E-2</v>
      </c>
      <c r="D11">
        <f t="shared" si="1"/>
        <v>0</v>
      </c>
      <c r="F11">
        <f t="shared" si="2"/>
        <v>0</v>
      </c>
      <c r="G11" t="b">
        <f t="shared" si="3"/>
        <v>1</v>
      </c>
      <c r="K11" s="24"/>
    </row>
    <row r="12" spans="1:12" x14ac:dyDescent="0.35">
      <c r="A12" s="13">
        <v>42387</v>
      </c>
      <c r="B12" s="14">
        <v>4189.57</v>
      </c>
      <c r="C12" s="2">
        <f t="shared" si="0"/>
        <v>-4.8905504778916642E-3</v>
      </c>
      <c r="D12">
        <f t="shared" si="1"/>
        <v>0</v>
      </c>
      <c r="E12">
        <v>0.99390557182276795</v>
      </c>
      <c r="F12">
        <f t="shared" si="2"/>
        <v>1</v>
      </c>
      <c r="G12" t="b">
        <f t="shared" si="3"/>
        <v>0</v>
      </c>
      <c r="H12">
        <v>0.50898921161621014</v>
      </c>
      <c r="K12" s="29"/>
      <c r="L12" s="23"/>
    </row>
    <row r="13" spans="1:12" x14ac:dyDescent="0.35">
      <c r="A13" s="13">
        <v>42388</v>
      </c>
      <c r="B13" s="14">
        <v>4272.26</v>
      </c>
      <c r="C13" s="2">
        <f t="shared" si="0"/>
        <v>1.9737109058925117E-2</v>
      </c>
      <c r="D13">
        <f t="shared" si="1"/>
        <v>1</v>
      </c>
      <c r="E13">
        <v>0.99374252893029036</v>
      </c>
      <c r="F13">
        <f>IF(E13&gt;=0.5,1,0)</f>
        <v>1</v>
      </c>
      <c r="G13" t="b">
        <f t="shared" si="3"/>
        <v>1</v>
      </c>
      <c r="H13">
        <v>0.50898921163782795</v>
      </c>
      <c r="K13" s="29"/>
      <c r="L13" s="23"/>
    </row>
    <row r="14" spans="1:12" x14ac:dyDescent="0.35">
      <c r="A14" s="13">
        <v>42389</v>
      </c>
      <c r="B14" s="14">
        <v>4124.95</v>
      </c>
      <c r="C14" s="2">
        <f t="shared" si="0"/>
        <v>-3.4480579365488095E-2</v>
      </c>
      <c r="D14">
        <f t="shared" si="1"/>
        <v>0</v>
      </c>
      <c r="E14">
        <v>0.99374359691324876</v>
      </c>
      <c r="F14">
        <f t="shared" si="2"/>
        <v>1</v>
      </c>
      <c r="G14" t="b">
        <f t="shared" si="3"/>
        <v>0</v>
      </c>
      <c r="H14">
        <v>0.50898920826429472</v>
      </c>
    </row>
    <row r="15" spans="1:12" x14ac:dyDescent="0.35">
      <c r="A15" s="13">
        <v>42390</v>
      </c>
      <c r="B15" s="14">
        <v>4206.3999999999996</v>
      </c>
      <c r="C15" s="2">
        <f t="shared" si="0"/>
        <v>1.974569388719849E-2</v>
      </c>
      <c r="D15">
        <f t="shared" si="1"/>
        <v>1</v>
      </c>
      <c r="E15">
        <v>0.99357180465805695</v>
      </c>
      <c r="F15">
        <f t="shared" si="2"/>
        <v>1</v>
      </c>
      <c r="G15" t="b">
        <f t="shared" si="3"/>
        <v>1</v>
      </c>
      <c r="H15">
        <v>0.50898920828617267</v>
      </c>
    </row>
    <row r="16" spans="1:12" x14ac:dyDescent="0.35">
      <c r="A16" s="13">
        <v>42391</v>
      </c>
      <c r="B16" s="14">
        <v>4336.6899999999996</v>
      </c>
      <c r="C16" s="2">
        <f t="shared" si="0"/>
        <v>3.0974229745150295E-2</v>
      </c>
      <c r="D16">
        <f t="shared" si="1"/>
        <v>1</v>
      </c>
      <c r="E16">
        <v>0.99357296178467169</v>
      </c>
      <c r="F16">
        <f t="shared" si="2"/>
        <v>1</v>
      </c>
      <c r="G16" t="b">
        <f t="shared" si="3"/>
        <v>1</v>
      </c>
      <c r="H16">
        <v>0.50898920830803496</v>
      </c>
    </row>
    <row r="17" spans="1:8" x14ac:dyDescent="0.35">
      <c r="A17" s="13">
        <v>42394</v>
      </c>
      <c r="B17" s="14">
        <v>4311.33</v>
      </c>
      <c r="C17" s="2">
        <f t="shared" si="0"/>
        <v>-5.8477779135699404E-3</v>
      </c>
      <c r="D17">
        <f t="shared" si="1"/>
        <v>0</v>
      </c>
      <c r="E17">
        <v>0.99357411851874733</v>
      </c>
      <c r="F17">
        <f t="shared" si="2"/>
        <v>1</v>
      </c>
      <c r="G17" t="b">
        <f t="shared" si="3"/>
        <v>0</v>
      </c>
      <c r="H17">
        <v>0.50898920497993339</v>
      </c>
    </row>
    <row r="18" spans="1:8" x14ac:dyDescent="0.35">
      <c r="A18" s="13">
        <v>42395</v>
      </c>
      <c r="B18" s="14">
        <v>4356.8100000000004</v>
      </c>
      <c r="C18" s="2">
        <f t="shared" si="0"/>
        <v>1.0548948932232127E-2</v>
      </c>
      <c r="D18">
        <f t="shared" si="1"/>
        <v>1</v>
      </c>
      <c r="E18">
        <v>0.99339292840461668</v>
      </c>
      <c r="F18">
        <f t="shared" si="2"/>
        <v>1</v>
      </c>
      <c r="G18" t="b">
        <f t="shared" si="3"/>
        <v>1</v>
      </c>
      <c r="H18">
        <v>0.50898920500290223</v>
      </c>
    </row>
    <row r="19" spans="1:8" x14ac:dyDescent="0.35">
      <c r="A19" s="13">
        <v>42396</v>
      </c>
      <c r="B19" s="14">
        <v>4380.3599999999997</v>
      </c>
      <c r="C19" s="2">
        <f t="shared" si="0"/>
        <v>5.405330964627586E-3</v>
      </c>
      <c r="D19">
        <f t="shared" si="1"/>
        <v>1</v>
      </c>
      <c r="E19">
        <v>0.99339418414387559</v>
      </c>
      <c r="F19">
        <f t="shared" si="2"/>
        <v>1</v>
      </c>
      <c r="G19" t="b">
        <f t="shared" si="3"/>
        <v>1</v>
      </c>
      <c r="H19">
        <v>0.50898920502594591</v>
      </c>
    </row>
    <row r="20" spans="1:8" x14ac:dyDescent="0.35">
      <c r="A20" s="13">
        <v>42397</v>
      </c>
      <c r="B20" s="14">
        <v>4322.16</v>
      </c>
      <c r="C20" s="2">
        <f t="shared" si="0"/>
        <v>-1.3286579185272429E-2</v>
      </c>
      <c r="D20">
        <f t="shared" si="1"/>
        <v>0</v>
      </c>
      <c r="E20">
        <v>0.99339543937683905</v>
      </c>
      <c r="F20">
        <f t="shared" si="2"/>
        <v>1</v>
      </c>
      <c r="G20" t="b">
        <f t="shared" si="3"/>
        <v>0</v>
      </c>
      <c r="H20">
        <v>0.50898920165148243</v>
      </c>
    </row>
    <row r="21" spans="1:8" x14ac:dyDescent="0.35">
      <c r="A21" s="13">
        <v>42398</v>
      </c>
      <c r="B21" s="14">
        <v>4417.0200000000004</v>
      </c>
      <c r="C21" s="2">
        <f t="shared" si="0"/>
        <v>2.1947359653506693E-2</v>
      </c>
      <c r="D21">
        <f t="shared" si="1"/>
        <v>1</v>
      </c>
      <c r="E21">
        <v>0.99320407239015118</v>
      </c>
      <c r="F21">
        <f t="shared" si="2"/>
        <v>1</v>
      </c>
      <c r="G21" t="b">
        <f t="shared" si="3"/>
        <v>1</v>
      </c>
      <c r="H21">
        <v>0.50898920167546013</v>
      </c>
    </row>
    <row r="22" spans="1:8" x14ac:dyDescent="0.35">
      <c r="A22" s="13">
        <v>42401</v>
      </c>
      <c r="B22" s="14">
        <v>4392.33</v>
      </c>
      <c r="C22" s="2">
        <f t="shared" si="0"/>
        <v>-5.5897414999254158E-3</v>
      </c>
      <c r="D22">
        <f t="shared" si="1"/>
        <v>0</v>
      </c>
      <c r="E22">
        <v>0.99320543854967591</v>
      </c>
      <c r="F22">
        <f t="shared" si="2"/>
        <v>1</v>
      </c>
      <c r="G22" t="b">
        <f t="shared" si="3"/>
        <v>0</v>
      </c>
      <c r="H22">
        <v>0.50898919824476607</v>
      </c>
    </row>
    <row r="23" spans="1:8" x14ac:dyDescent="0.35">
      <c r="A23" s="13">
        <v>42402</v>
      </c>
      <c r="B23" s="14">
        <v>4283.99</v>
      </c>
      <c r="C23" s="2">
        <f t="shared" si="0"/>
        <v>-2.4665724114536047E-2</v>
      </c>
      <c r="D23">
        <f t="shared" si="1"/>
        <v>0</v>
      </c>
      <c r="E23">
        <v>0.99300294671541889</v>
      </c>
      <c r="F23">
        <f t="shared" si="2"/>
        <v>1</v>
      </c>
      <c r="G23" t="b">
        <f t="shared" si="3"/>
        <v>0</v>
      </c>
      <c r="H23">
        <v>0.50898919472251158</v>
      </c>
    </row>
    <row r="24" spans="1:8" x14ac:dyDescent="0.35">
      <c r="A24" s="13">
        <v>42404</v>
      </c>
      <c r="B24" s="14">
        <v>4228.53</v>
      </c>
      <c r="C24" s="2">
        <f t="shared" si="0"/>
        <v>-1.294587522379842E-2</v>
      </c>
      <c r="D24">
        <f t="shared" si="1"/>
        <v>0</v>
      </c>
      <c r="E24">
        <v>0.99278825594201203</v>
      </c>
      <c r="F24">
        <f t="shared" si="2"/>
        <v>1</v>
      </c>
      <c r="G24" t="b">
        <f t="shared" si="3"/>
        <v>0</v>
      </c>
      <c r="H24">
        <v>0.50898919111232266</v>
      </c>
    </row>
    <row r="25" spans="1:8" x14ac:dyDescent="0.35">
      <c r="A25" s="13">
        <v>42405</v>
      </c>
      <c r="B25" s="14">
        <v>4200.67</v>
      </c>
      <c r="C25" s="2">
        <f t="shared" si="0"/>
        <v>-6.5885780637714442E-3</v>
      </c>
      <c r="D25">
        <f t="shared" si="1"/>
        <v>0</v>
      </c>
      <c r="E25">
        <v>0.99256024403419385</v>
      </c>
      <c r="F25">
        <f t="shared" si="2"/>
        <v>1</v>
      </c>
      <c r="G25" t="b">
        <f t="shared" si="3"/>
        <v>0</v>
      </c>
      <c r="H25">
        <v>0.50898918730080356</v>
      </c>
    </row>
    <row r="26" spans="1:8" x14ac:dyDescent="0.35">
      <c r="A26" s="13">
        <v>42408</v>
      </c>
      <c r="B26" s="14">
        <v>4066.31</v>
      </c>
      <c r="C26" s="2">
        <f t="shared" si="0"/>
        <v>-3.1985373761804659E-2</v>
      </c>
      <c r="D26">
        <f t="shared" si="1"/>
        <v>0</v>
      </c>
      <c r="E26">
        <v>0.99231764974785786</v>
      </c>
      <c r="F26">
        <f t="shared" si="2"/>
        <v>1</v>
      </c>
      <c r="G26" t="b">
        <f t="shared" si="3"/>
        <v>0</v>
      </c>
      <c r="H26">
        <v>0.50898918324303966</v>
      </c>
    </row>
    <row r="27" spans="1:8" x14ac:dyDescent="0.35">
      <c r="A27" s="13">
        <v>42409</v>
      </c>
      <c r="B27" s="14">
        <v>3997.54</v>
      </c>
      <c r="C27" s="2">
        <f t="shared" si="0"/>
        <v>-1.6912139015471062E-2</v>
      </c>
      <c r="D27">
        <f t="shared" si="1"/>
        <v>0</v>
      </c>
      <c r="E27">
        <v>0.99205904874734507</v>
      </c>
      <c r="F27">
        <f t="shared" si="2"/>
        <v>1</v>
      </c>
      <c r="G27" t="b">
        <f t="shared" si="3"/>
        <v>0</v>
      </c>
      <c r="H27">
        <v>0.50898917899943774</v>
      </c>
    </row>
    <row r="28" spans="1:8" x14ac:dyDescent="0.35">
      <c r="A28" s="13">
        <v>42410</v>
      </c>
      <c r="B28" s="14">
        <v>4061.2</v>
      </c>
      <c r="C28" s="2">
        <f t="shared" si="0"/>
        <v>1.5924793748155031E-2</v>
      </c>
      <c r="D28">
        <f t="shared" si="1"/>
        <v>1</v>
      </c>
      <c r="E28">
        <v>0.99178282661706163</v>
      </c>
      <c r="F28">
        <f t="shared" si="2"/>
        <v>1</v>
      </c>
      <c r="G28" t="b">
        <f t="shared" si="3"/>
        <v>1</v>
      </c>
      <c r="H28">
        <v>0.50898917903614449</v>
      </c>
    </row>
    <row r="29" spans="1:8" x14ac:dyDescent="0.35">
      <c r="A29" s="13">
        <v>42411</v>
      </c>
      <c r="B29" s="14">
        <v>3896.71</v>
      </c>
      <c r="C29" s="2">
        <f t="shared" si="0"/>
        <v>-4.0502807052102741E-2</v>
      </c>
      <c r="D29">
        <f t="shared" si="1"/>
        <v>0</v>
      </c>
      <c r="E29">
        <v>0.99178523347577707</v>
      </c>
      <c r="F29">
        <f t="shared" si="2"/>
        <v>1</v>
      </c>
      <c r="G29" t="b">
        <f t="shared" si="3"/>
        <v>0</v>
      </c>
      <c r="H29">
        <v>0.50898917456214954</v>
      </c>
    </row>
    <row r="30" spans="1:8" x14ac:dyDescent="0.35">
      <c r="A30" s="13">
        <v>42412</v>
      </c>
      <c r="B30" s="14">
        <v>3995.06</v>
      </c>
      <c r="C30" s="2">
        <f t="shared" si="0"/>
        <v>2.5239240282186826E-2</v>
      </c>
      <c r="D30">
        <f t="shared" si="1"/>
        <v>1</v>
      </c>
      <c r="E30">
        <v>0.99148972680939196</v>
      </c>
      <c r="F30">
        <f t="shared" si="2"/>
        <v>1</v>
      </c>
      <c r="G30" t="b">
        <f t="shared" si="3"/>
        <v>1</v>
      </c>
      <c r="H30">
        <v>0.50898917460188953</v>
      </c>
    </row>
    <row r="31" spans="1:8" x14ac:dyDescent="0.35">
      <c r="A31" s="13">
        <v>42415</v>
      </c>
      <c r="B31" s="14">
        <v>4115.25</v>
      </c>
      <c r="C31" s="2">
        <f t="shared" si="0"/>
        <v>3.0084654548367284E-2</v>
      </c>
      <c r="D31">
        <f t="shared" si="1"/>
        <v>1</v>
      </c>
      <c r="E31">
        <v>0.99149239860157568</v>
      </c>
      <c r="F31">
        <f t="shared" si="2"/>
        <v>1</v>
      </c>
      <c r="G31" t="b">
        <f t="shared" si="3"/>
        <v>1</v>
      </c>
      <c r="H31">
        <v>0.50898917464269999</v>
      </c>
    </row>
    <row r="32" spans="1:8" x14ac:dyDescent="0.35">
      <c r="A32" s="13">
        <v>42416</v>
      </c>
      <c r="B32" s="14">
        <v>4110.66</v>
      </c>
      <c r="C32" s="2">
        <f t="shared" si="0"/>
        <v>-1.1153635866594236E-3</v>
      </c>
      <c r="D32">
        <f t="shared" si="1"/>
        <v>0</v>
      </c>
      <c r="E32">
        <v>0.99149506871843529</v>
      </c>
      <c r="F32">
        <f t="shared" si="2"/>
        <v>1</v>
      </c>
      <c r="G32" t="b">
        <f t="shared" si="3"/>
        <v>0</v>
      </c>
      <c r="H32">
        <v>0.50898917001574351</v>
      </c>
    </row>
    <row r="33" spans="1:8" x14ac:dyDescent="0.35">
      <c r="A33" s="13">
        <v>42417</v>
      </c>
      <c r="B33" s="14">
        <v>4233.47</v>
      </c>
      <c r="C33" s="2">
        <f t="shared" si="0"/>
        <v>2.9875980986021844E-2</v>
      </c>
      <c r="D33">
        <f t="shared" si="1"/>
        <v>1</v>
      </c>
      <c r="E33">
        <v>0.99117842349164054</v>
      </c>
      <c r="F33">
        <f t="shared" si="2"/>
        <v>1</v>
      </c>
      <c r="G33" t="b">
        <f t="shared" si="3"/>
        <v>1</v>
      </c>
      <c r="H33">
        <v>0.50898917005779032</v>
      </c>
    </row>
    <row r="34" spans="1:8" x14ac:dyDescent="0.35">
      <c r="A34" s="13">
        <v>42418</v>
      </c>
      <c r="B34" s="14">
        <v>4239.76</v>
      </c>
      <c r="C34" s="2">
        <f t="shared" si="0"/>
        <v>1.485778805566218E-3</v>
      </c>
      <c r="D34">
        <f t="shared" si="1"/>
        <v>1</v>
      </c>
      <c r="E34">
        <v>0.99118139800000304</v>
      </c>
      <c r="F34">
        <f t="shared" si="2"/>
        <v>1</v>
      </c>
      <c r="G34" t="b">
        <f t="shared" si="3"/>
        <v>1</v>
      </c>
      <c r="H34">
        <v>0.50898917009927791</v>
      </c>
    </row>
    <row r="35" spans="1:8" x14ac:dyDescent="0.35">
      <c r="A35" s="13">
        <v>42419</v>
      </c>
      <c r="B35" s="14">
        <v>4223.04</v>
      </c>
      <c r="C35" s="2">
        <f t="shared" si="0"/>
        <v>-3.9436194501576427E-3</v>
      </c>
      <c r="D35">
        <f t="shared" si="1"/>
        <v>0</v>
      </c>
      <c r="E35">
        <v>0.9911843691360277</v>
      </c>
      <c r="F35">
        <f t="shared" si="2"/>
        <v>1</v>
      </c>
      <c r="G35" t="b">
        <f t="shared" si="3"/>
        <v>0</v>
      </c>
      <c r="H35">
        <v>0.50898916554849283</v>
      </c>
    </row>
    <row r="36" spans="1:8" x14ac:dyDescent="0.35">
      <c r="A36" s="13">
        <v>42422</v>
      </c>
      <c r="B36" s="14">
        <v>4298.7</v>
      </c>
      <c r="C36" s="2">
        <f t="shared" si="0"/>
        <v>1.7916003637190148E-2</v>
      </c>
      <c r="D36">
        <f t="shared" si="1"/>
        <v>1</v>
      </c>
      <c r="E36">
        <v>0.99084428693650994</v>
      </c>
      <c r="F36">
        <f t="shared" si="2"/>
        <v>1</v>
      </c>
      <c r="G36" t="b">
        <f t="shared" si="3"/>
        <v>1</v>
      </c>
      <c r="H36">
        <v>0.50898916559250673</v>
      </c>
    </row>
    <row r="37" spans="1:8" x14ac:dyDescent="0.35">
      <c r="A37" s="13">
        <v>42423</v>
      </c>
      <c r="B37" s="14">
        <v>4238.42</v>
      </c>
      <c r="C37" s="2">
        <f t="shared" si="0"/>
        <v>-1.4022844115662791E-2</v>
      </c>
      <c r="D37">
        <f t="shared" si="1"/>
        <v>0</v>
      </c>
      <c r="E37">
        <v>0.99084760973589348</v>
      </c>
      <c r="F37">
        <f t="shared" si="2"/>
        <v>1</v>
      </c>
      <c r="G37" t="b">
        <f t="shared" si="3"/>
        <v>0</v>
      </c>
      <c r="H37">
        <v>0.50898916099754254</v>
      </c>
    </row>
    <row r="38" spans="1:8" x14ac:dyDescent="0.35">
      <c r="A38" s="13">
        <v>42424</v>
      </c>
      <c r="B38" s="14">
        <v>4155.34</v>
      </c>
      <c r="C38" s="2">
        <f t="shared" si="0"/>
        <v>-1.9601644008852337E-2</v>
      </c>
      <c r="D38">
        <f t="shared" si="1"/>
        <v>0</v>
      </c>
      <c r="E38">
        <v>0.99048118957210884</v>
      </c>
      <c r="F38">
        <f t="shared" si="2"/>
        <v>1</v>
      </c>
      <c r="G38" t="b">
        <f t="shared" si="3"/>
        <v>0</v>
      </c>
      <c r="H38">
        <v>0.50898915620493823</v>
      </c>
    </row>
    <row r="39" spans="1:8" x14ac:dyDescent="0.35">
      <c r="A39" s="13">
        <v>42425</v>
      </c>
      <c r="B39" s="14">
        <v>4248.45</v>
      </c>
      <c r="C39" s="2">
        <f t="shared" si="0"/>
        <v>2.2407312037041383E-2</v>
      </c>
      <c r="D39">
        <f t="shared" si="1"/>
        <v>1</v>
      </c>
      <c r="E39">
        <v>0.99008500965439405</v>
      </c>
      <c r="F39">
        <f t="shared" si="2"/>
        <v>1</v>
      </c>
      <c r="G39" t="b">
        <f t="shared" si="3"/>
        <v>1</v>
      </c>
      <c r="H39">
        <v>0.5089891562543466</v>
      </c>
    </row>
    <row r="40" spans="1:8" x14ac:dyDescent="0.35">
      <c r="A40" s="13">
        <v>42426</v>
      </c>
      <c r="B40" s="14">
        <v>4314.57</v>
      </c>
      <c r="C40" s="2">
        <f t="shared" si="0"/>
        <v>1.5563323094304859E-2</v>
      </c>
      <c r="D40">
        <f t="shared" si="1"/>
        <v>1</v>
      </c>
      <c r="E40">
        <v>0.99008922162300583</v>
      </c>
      <c r="F40">
        <f t="shared" si="2"/>
        <v>1</v>
      </c>
      <c r="G40" t="b">
        <f t="shared" si="3"/>
        <v>1</v>
      </c>
      <c r="H40">
        <v>0.50898915630391484</v>
      </c>
    </row>
    <row r="41" spans="1:8" x14ac:dyDescent="0.35">
      <c r="A41" s="13">
        <v>42429</v>
      </c>
      <c r="B41" s="14">
        <v>4353.55</v>
      </c>
      <c r="C41" s="2">
        <f t="shared" si="0"/>
        <v>9.0345040177817193E-3</v>
      </c>
      <c r="D41">
        <f t="shared" si="1"/>
        <v>1</v>
      </c>
      <c r="E41">
        <v>0.99009342829938374</v>
      </c>
      <c r="F41">
        <f t="shared" si="2"/>
        <v>1</v>
      </c>
      <c r="G41" t="b">
        <f t="shared" si="3"/>
        <v>1</v>
      </c>
      <c r="H41">
        <v>0.50898915635405106</v>
      </c>
    </row>
    <row r="42" spans="1:8" x14ac:dyDescent="0.35">
      <c r="A42" s="13">
        <v>42430</v>
      </c>
      <c r="B42" s="14">
        <v>4406.84</v>
      </c>
      <c r="C42" s="2">
        <f t="shared" si="0"/>
        <v>1.2240585269492676E-2</v>
      </c>
      <c r="D42">
        <f t="shared" si="1"/>
        <v>1</v>
      </c>
      <c r="E42">
        <v>0.99009763002106899</v>
      </c>
      <c r="F42">
        <f t="shared" si="2"/>
        <v>1</v>
      </c>
      <c r="G42" t="b">
        <f t="shared" si="3"/>
        <v>1</v>
      </c>
      <c r="H42">
        <v>0.50898915640366427</v>
      </c>
    </row>
    <row r="43" spans="1:8" x14ac:dyDescent="0.35">
      <c r="A43" s="13">
        <v>42431</v>
      </c>
      <c r="B43" s="14">
        <v>4424.8900000000003</v>
      </c>
      <c r="C43" s="2">
        <f t="shared" si="0"/>
        <v>4.0959054560638641E-3</v>
      </c>
      <c r="D43">
        <f t="shared" si="1"/>
        <v>1</v>
      </c>
      <c r="E43">
        <v>0.99010182595584173</v>
      </c>
      <c r="F43">
        <f t="shared" si="2"/>
        <v>1</v>
      </c>
      <c r="G43" t="b">
        <f t="shared" si="3"/>
        <v>1</v>
      </c>
      <c r="H43">
        <v>0.50898915645363119</v>
      </c>
    </row>
    <row r="44" spans="1:8" x14ac:dyDescent="0.35">
      <c r="A44" s="13">
        <v>42432</v>
      </c>
      <c r="B44" s="14">
        <v>4416.08</v>
      </c>
      <c r="C44" s="2">
        <f t="shared" si="0"/>
        <v>-1.9910099460100916E-3</v>
      </c>
      <c r="D44">
        <f t="shared" si="1"/>
        <v>0</v>
      </c>
      <c r="E44">
        <v>0.99010601683725863</v>
      </c>
      <c r="F44">
        <f t="shared" si="2"/>
        <v>1</v>
      </c>
      <c r="G44" t="b">
        <f t="shared" si="3"/>
        <v>0</v>
      </c>
      <c r="H44">
        <v>0.50898915139958989</v>
      </c>
    </row>
    <row r="45" spans="1:8" x14ac:dyDescent="0.35">
      <c r="A45" s="13">
        <v>42433</v>
      </c>
      <c r="B45" s="14">
        <v>4456.62</v>
      </c>
      <c r="C45" s="2">
        <f t="shared" si="0"/>
        <v>9.1800873172587227E-3</v>
      </c>
      <c r="D45">
        <f t="shared" si="1"/>
        <v>1</v>
      </c>
      <c r="E45">
        <v>0.98967817592233642</v>
      </c>
      <c r="F45">
        <f t="shared" si="2"/>
        <v>1</v>
      </c>
      <c r="G45" t="b">
        <f t="shared" si="3"/>
        <v>1</v>
      </c>
      <c r="H45">
        <v>0.50898915145489954</v>
      </c>
    </row>
    <row r="46" spans="1:8" x14ac:dyDescent="0.35">
      <c r="A46" s="13">
        <v>42436</v>
      </c>
      <c r="B46" s="14">
        <v>4442.29</v>
      </c>
      <c r="C46" s="2">
        <f t="shared" si="0"/>
        <v>-3.2154412985625491E-3</v>
      </c>
      <c r="D46">
        <f t="shared" si="1"/>
        <v>0</v>
      </c>
      <c r="E46">
        <v>0.98968292371625599</v>
      </c>
      <c r="F46">
        <f t="shared" si="2"/>
        <v>1</v>
      </c>
      <c r="G46" t="b">
        <f t="shared" si="3"/>
        <v>0</v>
      </c>
      <c r="H46">
        <v>0.50898914615167579</v>
      </c>
    </row>
    <row r="47" spans="1:8" x14ac:dyDescent="0.35">
      <c r="A47" s="13">
        <v>42437</v>
      </c>
      <c r="B47" s="14">
        <v>4404.0200000000004</v>
      </c>
      <c r="C47" s="2">
        <f t="shared" si="0"/>
        <v>-8.6149260854198051E-3</v>
      </c>
      <c r="D47">
        <f t="shared" si="1"/>
        <v>0</v>
      </c>
      <c r="E47">
        <v>0.98921793593362639</v>
      </c>
      <c r="F47">
        <f t="shared" si="2"/>
        <v>1</v>
      </c>
      <c r="G47" t="b">
        <f t="shared" si="3"/>
        <v>0</v>
      </c>
      <c r="H47">
        <v>0.50898914068980694</v>
      </c>
    </row>
    <row r="48" spans="1:8" x14ac:dyDescent="0.35">
      <c r="A48" s="13">
        <v>42438</v>
      </c>
      <c r="B48" s="14">
        <v>4425.6499999999996</v>
      </c>
      <c r="C48" s="2">
        <f t="shared" si="0"/>
        <v>4.9114218373211838E-3</v>
      </c>
      <c r="D48">
        <f t="shared" si="1"/>
        <v>1</v>
      </c>
      <c r="E48">
        <v>0.98871036226887465</v>
      </c>
      <c r="F48">
        <f t="shared" si="2"/>
        <v>1</v>
      </c>
      <c r="G48" t="b">
        <f t="shared" si="3"/>
        <v>1</v>
      </c>
      <c r="H48">
        <v>0.50898914075427026</v>
      </c>
    </row>
    <row r="49" spans="1:8" x14ac:dyDescent="0.35">
      <c r="A49" s="13">
        <v>42439</v>
      </c>
      <c r="B49" s="14">
        <v>4350.3500000000004</v>
      </c>
      <c r="C49" s="2">
        <f t="shared" si="0"/>
        <v>-1.7014449854823477E-2</v>
      </c>
      <c r="D49">
        <f t="shared" si="1"/>
        <v>0</v>
      </c>
      <c r="E49">
        <v>0.98871656114663831</v>
      </c>
      <c r="F49">
        <f t="shared" si="2"/>
        <v>1</v>
      </c>
      <c r="G49" t="b">
        <f t="shared" si="3"/>
        <v>0</v>
      </c>
      <c r="H49">
        <v>0.50898913501915155</v>
      </c>
    </row>
    <row r="50" spans="1:8" x14ac:dyDescent="0.35">
      <c r="A50" s="13">
        <v>42440</v>
      </c>
      <c r="B50" s="14">
        <v>4492.79</v>
      </c>
      <c r="C50" s="2">
        <f t="shared" si="0"/>
        <v>3.2742193156872323E-2</v>
      </c>
      <c r="D50">
        <f t="shared" si="1"/>
        <v>1</v>
      </c>
      <c r="E50">
        <v>0.98816100667917561</v>
      </c>
      <c r="F50">
        <f t="shared" si="2"/>
        <v>1</v>
      </c>
      <c r="G50" t="b">
        <f t="shared" si="3"/>
        <v>1</v>
      </c>
      <c r="H50">
        <v>0.50898913509225263</v>
      </c>
    </row>
    <row r="51" spans="1:8" x14ac:dyDescent="0.35">
      <c r="A51" s="13">
        <v>42443</v>
      </c>
      <c r="B51" s="14">
        <v>4506.59</v>
      </c>
      <c r="C51" s="2">
        <f t="shared" si="0"/>
        <v>3.0715880332712331E-3</v>
      </c>
      <c r="D51">
        <f t="shared" si="1"/>
        <v>1</v>
      </c>
      <c r="E51">
        <v>0.98816814732702496</v>
      </c>
      <c r="F51">
        <f t="shared" si="2"/>
        <v>1</v>
      </c>
      <c r="G51" t="b">
        <f t="shared" si="3"/>
        <v>1</v>
      </c>
      <c r="H51">
        <v>0.50898913516573185</v>
      </c>
    </row>
    <row r="52" spans="1:8" x14ac:dyDescent="0.35">
      <c r="A52" s="13">
        <v>42444</v>
      </c>
      <c r="B52" s="14">
        <v>4472.63</v>
      </c>
      <c r="C52" s="2">
        <f t="shared" si="0"/>
        <v>-7.5356311534885423E-3</v>
      </c>
      <c r="D52">
        <f t="shared" si="1"/>
        <v>0</v>
      </c>
      <c r="E52">
        <v>0.98817527492566459</v>
      </c>
      <c r="F52">
        <f t="shared" si="2"/>
        <v>1</v>
      </c>
      <c r="G52" t="b">
        <f t="shared" si="3"/>
        <v>0</v>
      </c>
      <c r="H52">
        <v>0.50898912911333294</v>
      </c>
    </row>
    <row r="53" spans="1:8" x14ac:dyDescent="0.35">
      <c r="A53" s="13">
        <v>42445</v>
      </c>
      <c r="B53" s="14">
        <v>4463</v>
      </c>
      <c r="C53" s="2">
        <f t="shared" si="0"/>
        <v>-2.1530956059410133E-3</v>
      </c>
      <c r="D53">
        <f t="shared" si="1"/>
        <v>0</v>
      </c>
      <c r="E53">
        <v>0.98756552430228506</v>
      </c>
      <c r="F53">
        <f t="shared" si="2"/>
        <v>1</v>
      </c>
      <c r="G53" t="b">
        <f t="shared" si="3"/>
        <v>0</v>
      </c>
      <c r="H53">
        <v>0.50898912267234431</v>
      </c>
    </row>
    <row r="54" spans="1:8" x14ac:dyDescent="0.35">
      <c r="A54" s="13">
        <v>42446</v>
      </c>
      <c r="B54" s="14">
        <v>4442.8900000000003</v>
      </c>
      <c r="C54" s="2">
        <f t="shared" si="0"/>
        <v>-4.5059377100604703E-3</v>
      </c>
      <c r="D54">
        <f t="shared" si="1"/>
        <v>0</v>
      </c>
      <c r="E54">
        <v>0.98689174794906487</v>
      </c>
      <c r="F54">
        <f t="shared" si="2"/>
        <v>1</v>
      </c>
      <c r="G54" t="b">
        <f t="shared" si="3"/>
        <v>0</v>
      </c>
      <c r="H54">
        <v>0.50898911582211559</v>
      </c>
    </row>
    <row r="55" spans="1:8" x14ac:dyDescent="0.35">
      <c r="A55" s="13">
        <v>42447</v>
      </c>
      <c r="B55" s="14">
        <v>4462.51</v>
      </c>
      <c r="C55" s="2">
        <f t="shared" si="0"/>
        <v>4.4160445115679625E-3</v>
      </c>
      <c r="D55">
        <f t="shared" si="1"/>
        <v>1</v>
      </c>
      <c r="E55">
        <v>0.98614356672858761</v>
      </c>
      <c r="F55">
        <f t="shared" si="2"/>
        <v>1</v>
      </c>
      <c r="G55" t="b">
        <f t="shared" si="3"/>
        <v>1</v>
      </c>
      <c r="H55">
        <v>0.50898911592451768</v>
      </c>
    </row>
    <row r="56" spans="1:8" x14ac:dyDescent="0.35">
      <c r="A56" s="13">
        <v>42450</v>
      </c>
      <c r="B56" s="14">
        <v>4427.8</v>
      </c>
      <c r="C56" s="2">
        <f t="shared" si="0"/>
        <v>-7.7781338305124015E-3</v>
      </c>
      <c r="D56">
        <f t="shared" si="1"/>
        <v>0</v>
      </c>
      <c r="E56">
        <v>0.98615496393799307</v>
      </c>
      <c r="F56">
        <f t="shared" si="2"/>
        <v>1</v>
      </c>
      <c r="G56" t="b">
        <f t="shared" si="3"/>
        <v>0</v>
      </c>
      <c r="H56">
        <v>0.50898910857309954</v>
      </c>
    </row>
    <row r="57" spans="1:8" x14ac:dyDescent="0.35">
      <c r="A57" s="13">
        <v>42451</v>
      </c>
      <c r="B57" s="14">
        <v>4431.97</v>
      </c>
      <c r="C57" s="2">
        <f t="shared" si="0"/>
        <v>9.4177695469532807E-4</v>
      </c>
      <c r="D57">
        <f t="shared" si="1"/>
        <v>1</v>
      </c>
      <c r="E57">
        <v>0.98532103924701042</v>
      </c>
      <c r="F57">
        <f t="shared" si="2"/>
        <v>1</v>
      </c>
      <c r="G57" t="b">
        <f t="shared" si="3"/>
        <v>1</v>
      </c>
      <c r="H57">
        <v>0.50898910868578029</v>
      </c>
    </row>
    <row r="58" spans="1:8" x14ac:dyDescent="0.35">
      <c r="A58" s="13">
        <v>42452</v>
      </c>
      <c r="B58" s="14">
        <v>4423.9799999999996</v>
      </c>
      <c r="C58" s="2">
        <f t="shared" si="0"/>
        <v>-1.8028100370717226E-3</v>
      </c>
      <c r="D58">
        <f t="shared" si="1"/>
        <v>0</v>
      </c>
      <c r="E58">
        <v>0.98533456402527375</v>
      </c>
      <c r="F58">
        <f t="shared" si="2"/>
        <v>1</v>
      </c>
      <c r="G58" t="b">
        <f t="shared" si="3"/>
        <v>0</v>
      </c>
      <c r="H58">
        <v>0.50898910101434403</v>
      </c>
    </row>
    <row r="59" spans="1:8" x14ac:dyDescent="0.35">
      <c r="A59" s="13">
        <v>42453</v>
      </c>
      <c r="B59" s="14">
        <v>4329.68</v>
      </c>
      <c r="C59" s="2">
        <f t="shared" si="0"/>
        <v>-2.1315647900758905E-2</v>
      </c>
      <c r="D59">
        <f t="shared" si="1"/>
        <v>0</v>
      </c>
      <c r="E59">
        <v>0.98439979577034309</v>
      </c>
      <c r="F59">
        <f t="shared" si="2"/>
        <v>1</v>
      </c>
      <c r="G59" t="b">
        <f t="shared" si="3"/>
        <v>0</v>
      </c>
      <c r="H59">
        <v>0.50898909294105787</v>
      </c>
    </row>
    <row r="60" spans="1:8" x14ac:dyDescent="0.35">
      <c r="A60" s="13">
        <v>42458</v>
      </c>
      <c r="B60" s="14">
        <v>4366.67</v>
      </c>
      <c r="C60" s="2">
        <f t="shared" si="0"/>
        <v>8.5433565529091648E-3</v>
      </c>
      <c r="D60">
        <f t="shared" si="1"/>
        <v>1</v>
      </c>
      <c r="E60">
        <v>0.98334325339422812</v>
      </c>
      <c r="F60">
        <f t="shared" si="2"/>
        <v>1</v>
      </c>
      <c r="G60" t="b">
        <f t="shared" si="3"/>
        <v>1</v>
      </c>
      <c r="H60">
        <v>0.50898909309162377</v>
      </c>
    </row>
    <row r="61" spans="1:8" x14ac:dyDescent="0.35">
      <c r="A61" s="13">
        <v>42459</v>
      </c>
      <c r="B61" s="14">
        <v>4444.42</v>
      </c>
      <c r="C61" s="2">
        <f t="shared" si="0"/>
        <v>1.7805329919595492E-2</v>
      </c>
      <c r="D61">
        <f t="shared" si="1"/>
        <v>1</v>
      </c>
      <c r="E61">
        <v>0.98336292903539413</v>
      </c>
      <c r="F61">
        <f t="shared" si="2"/>
        <v>1</v>
      </c>
      <c r="G61" t="b">
        <f t="shared" si="3"/>
        <v>1</v>
      </c>
      <c r="H61">
        <v>0.50898909324349817</v>
      </c>
    </row>
    <row r="62" spans="1:8" x14ac:dyDescent="0.35">
      <c r="A62" s="13">
        <v>42460</v>
      </c>
      <c r="B62" s="14">
        <v>4385.0600000000004</v>
      </c>
      <c r="C62" s="2">
        <f t="shared" si="0"/>
        <v>-1.335607345840395E-2</v>
      </c>
      <c r="D62">
        <f t="shared" si="1"/>
        <v>0</v>
      </c>
      <c r="E62">
        <v>0.9833825366945812</v>
      </c>
      <c r="F62">
        <f t="shared" si="2"/>
        <v>1</v>
      </c>
      <c r="G62" t="b">
        <f t="shared" si="3"/>
        <v>0</v>
      </c>
      <c r="H62">
        <v>0.5089890844503473</v>
      </c>
    </row>
    <row r="63" spans="1:8" x14ac:dyDescent="0.35">
      <c r="A63" s="13">
        <v>42461</v>
      </c>
      <c r="B63" s="14">
        <v>4322.24</v>
      </c>
      <c r="C63" s="2">
        <f t="shared" si="0"/>
        <v>-1.432591572293207E-2</v>
      </c>
      <c r="D63">
        <f t="shared" si="1"/>
        <v>0</v>
      </c>
      <c r="E63">
        <v>0.98218519512283953</v>
      </c>
      <c r="F63">
        <f t="shared" si="2"/>
        <v>1</v>
      </c>
      <c r="G63" t="b">
        <f t="shared" si="3"/>
        <v>0</v>
      </c>
      <c r="H63">
        <v>0.50898907503431545</v>
      </c>
    </row>
    <row r="64" spans="1:8" x14ac:dyDescent="0.35">
      <c r="A64" s="13">
        <v>42464</v>
      </c>
      <c r="B64" s="14">
        <v>4345.22</v>
      </c>
      <c r="C64" s="2">
        <f t="shared" si="0"/>
        <v>5.3166876434442845E-3</v>
      </c>
      <c r="D64">
        <f t="shared" si="1"/>
        <v>1</v>
      </c>
      <c r="E64">
        <v>0.98081112039949192</v>
      </c>
      <c r="F64">
        <f t="shared" si="2"/>
        <v>1</v>
      </c>
      <c r="G64" t="b">
        <f t="shared" si="3"/>
        <v>1</v>
      </c>
      <c r="H64">
        <v>0.50898907523356995</v>
      </c>
    </row>
    <row r="65" spans="1:8" x14ac:dyDescent="0.35">
      <c r="A65" s="13">
        <v>42466</v>
      </c>
      <c r="B65" s="14">
        <v>4284.6400000000003</v>
      </c>
      <c r="C65" s="2">
        <f t="shared" si="0"/>
        <v>-1.3941756688959361E-2</v>
      </c>
      <c r="D65">
        <f t="shared" si="1"/>
        <v>0</v>
      </c>
      <c r="E65">
        <v>0.98084103482770191</v>
      </c>
      <c r="F65">
        <f t="shared" si="2"/>
        <v>1</v>
      </c>
      <c r="G65" t="b">
        <f t="shared" si="3"/>
        <v>0</v>
      </c>
      <c r="H65">
        <v>0.50898906493846308</v>
      </c>
    </row>
    <row r="66" spans="1:8" x14ac:dyDescent="0.35">
      <c r="A66" s="13">
        <v>42467</v>
      </c>
      <c r="B66" s="14">
        <v>4245.91</v>
      </c>
      <c r="C66" s="2">
        <f t="shared" si="0"/>
        <v>-9.0392658426380335E-3</v>
      </c>
      <c r="D66">
        <f t="shared" si="1"/>
        <v>0</v>
      </c>
      <c r="E66">
        <v>0.97925445400674915</v>
      </c>
      <c r="F66">
        <f t="shared" si="2"/>
        <v>1</v>
      </c>
      <c r="G66" t="b">
        <f t="shared" si="3"/>
        <v>0</v>
      </c>
      <c r="H66">
        <v>0.50898905373830539</v>
      </c>
    </row>
    <row r="67" spans="1:8" x14ac:dyDescent="0.35">
      <c r="A67" s="13">
        <v>42468</v>
      </c>
      <c r="B67" s="14">
        <v>4303.12</v>
      </c>
      <c r="C67" s="2">
        <f t="shared" si="0"/>
        <v>1.3474143352072865E-2</v>
      </c>
      <c r="D67">
        <f t="shared" si="1"/>
        <v>1</v>
      </c>
      <c r="E67">
        <v>0.97739797211461377</v>
      </c>
      <c r="F67">
        <f t="shared" si="2"/>
        <v>1</v>
      </c>
      <c r="G67" t="b">
        <f t="shared" si="3"/>
        <v>1</v>
      </c>
      <c r="H67">
        <v>0.50898905401952554</v>
      </c>
    </row>
    <row r="68" spans="1:8" x14ac:dyDescent="0.35">
      <c r="A68" s="13">
        <v>42471</v>
      </c>
      <c r="B68" s="14">
        <v>4312.63</v>
      </c>
      <c r="C68" s="2">
        <f t="shared" ref="C68:C131" si="4">(B68/B67)-1</f>
        <v>2.2100243544218579E-3</v>
      </c>
      <c r="D68">
        <f t="shared" si="1"/>
        <v>1</v>
      </c>
      <c r="E68">
        <v>0.97744649026887753</v>
      </c>
      <c r="F68">
        <f t="shared" si="2"/>
        <v>1</v>
      </c>
      <c r="G68" t="b">
        <f t="shared" si="3"/>
        <v>1</v>
      </c>
      <c r="H68">
        <v>0.50898905429666563</v>
      </c>
    </row>
    <row r="69" spans="1:8" x14ac:dyDescent="0.35">
      <c r="A69" s="13">
        <v>42472</v>
      </c>
      <c r="B69" s="14">
        <v>4345.91</v>
      </c>
      <c r="C69" s="2">
        <f t="shared" si="4"/>
        <v>7.7168688248236972E-3</v>
      </c>
      <c r="D69">
        <f t="shared" si="1"/>
        <v>1</v>
      </c>
      <c r="E69">
        <v>0.9774947022034407</v>
      </c>
      <c r="F69">
        <f t="shared" si="2"/>
        <v>1</v>
      </c>
      <c r="G69" t="b">
        <f t="shared" si="3"/>
        <v>1</v>
      </c>
      <c r="H69">
        <v>0.50898905456844468</v>
      </c>
    </row>
    <row r="70" spans="1:8" x14ac:dyDescent="0.35">
      <c r="A70" s="13">
        <v>42473</v>
      </c>
      <c r="B70" s="14">
        <v>4490.3100000000004</v>
      </c>
      <c r="C70" s="2">
        <f t="shared" si="4"/>
        <v>3.3226642981562193E-2</v>
      </c>
      <c r="D70">
        <f t="shared" ref="D70:D133" si="5">IF(C70&gt;=0,1,0)</f>
        <v>1</v>
      </c>
      <c r="E70">
        <v>0.97754260995600928</v>
      </c>
      <c r="F70">
        <f t="shared" si="2"/>
        <v>1</v>
      </c>
      <c r="G70" t="b">
        <f t="shared" si="3"/>
        <v>1</v>
      </c>
      <c r="H70">
        <v>0.50898905484096679</v>
      </c>
    </row>
    <row r="71" spans="1:8" x14ac:dyDescent="0.35">
      <c r="A71" s="13">
        <v>42474</v>
      </c>
      <c r="B71" s="14">
        <v>4511.51</v>
      </c>
      <c r="C71" s="2">
        <f t="shared" si="4"/>
        <v>4.7212775955334241E-3</v>
      </c>
      <c r="D71">
        <f t="shared" si="5"/>
        <v>1</v>
      </c>
      <c r="E71">
        <v>0.97759021806002033</v>
      </c>
      <c r="F71">
        <f t="shared" si="2"/>
        <v>1</v>
      </c>
      <c r="G71" t="b">
        <f t="shared" si="3"/>
        <v>1</v>
      </c>
      <c r="H71">
        <v>0.50898905511133474</v>
      </c>
    </row>
    <row r="72" spans="1:8" x14ac:dyDescent="0.35">
      <c r="A72" s="13">
        <v>42475</v>
      </c>
      <c r="B72" s="14">
        <v>4495.17</v>
      </c>
      <c r="C72" s="2">
        <f t="shared" si="4"/>
        <v>-3.621847230749875E-3</v>
      </c>
      <c r="D72">
        <f t="shared" si="5"/>
        <v>0</v>
      </c>
      <c r="E72">
        <v>0.97763752920917091</v>
      </c>
      <c r="F72">
        <f t="shared" si="2"/>
        <v>1</v>
      </c>
      <c r="G72" t="b">
        <f t="shared" si="3"/>
        <v>0</v>
      </c>
      <c r="H72">
        <v>0.50898904349393947</v>
      </c>
    </row>
    <row r="73" spans="1:8" x14ac:dyDescent="0.35">
      <c r="A73" s="13">
        <v>42478</v>
      </c>
      <c r="B73" s="14">
        <v>4506.84</v>
      </c>
      <c r="C73" s="2">
        <f t="shared" si="4"/>
        <v>2.5961198352899562E-3</v>
      </c>
      <c r="D73">
        <f t="shared" si="5"/>
        <v>1</v>
      </c>
      <c r="E73">
        <v>0.97548490298622637</v>
      </c>
      <c r="F73">
        <f t="shared" ref="F73:F136" si="6">IF(E73&gt;=0.5,1,0)</f>
        <v>1</v>
      </c>
      <c r="G73" t="b">
        <f t="shared" ref="G73:G136" si="7">IF(D73=F73,TRUE,FALSE)</f>
        <v>1</v>
      </c>
      <c r="H73">
        <v>0.50898904381138099</v>
      </c>
    </row>
    <row r="74" spans="1:8" x14ac:dyDescent="0.35">
      <c r="A74" s="13">
        <v>42479</v>
      </c>
      <c r="B74" s="14">
        <v>4566.4799999999996</v>
      </c>
      <c r="C74" s="2">
        <f t="shared" si="4"/>
        <v>1.3233218840695393E-2</v>
      </c>
      <c r="D74">
        <f t="shared" si="5"/>
        <v>1</v>
      </c>
      <c r="E74">
        <v>0.97554655052739059</v>
      </c>
      <c r="F74">
        <f t="shared" si="6"/>
        <v>1</v>
      </c>
      <c r="G74" t="b">
        <f t="shared" si="7"/>
        <v>1</v>
      </c>
      <c r="H74">
        <v>0.50898904412758228</v>
      </c>
    </row>
    <row r="75" spans="1:8" x14ac:dyDescent="0.35">
      <c r="A75" s="13">
        <v>42480</v>
      </c>
      <c r="B75" s="14">
        <v>4591.92</v>
      </c>
      <c r="C75" s="2">
        <f t="shared" si="4"/>
        <v>5.5710306406686616E-3</v>
      </c>
      <c r="D75">
        <f t="shared" si="5"/>
        <v>1</v>
      </c>
      <c r="E75">
        <v>0.97560774352101454</v>
      </c>
      <c r="F75">
        <f t="shared" si="6"/>
        <v>1</v>
      </c>
      <c r="G75" t="b">
        <f t="shared" si="7"/>
        <v>1</v>
      </c>
      <c r="H75">
        <v>0.50898904443878767</v>
      </c>
    </row>
    <row r="76" spans="1:8" x14ac:dyDescent="0.35">
      <c r="A76" s="13">
        <v>42481</v>
      </c>
      <c r="B76" s="14">
        <v>4582.83</v>
      </c>
      <c r="C76" s="2">
        <f t="shared" si="4"/>
        <v>-1.9795641039043188E-3</v>
      </c>
      <c r="D76">
        <f t="shared" si="5"/>
        <v>0</v>
      </c>
      <c r="E76">
        <v>0.97566848633220327</v>
      </c>
      <c r="F76">
        <f t="shared" si="6"/>
        <v>1</v>
      </c>
      <c r="G76" t="b">
        <f t="shared" si="7"/>
        <v>0</v>
      </c>
      <c r="H76">
        <v>0.50898903222040848</v>
      </c>
    </row>
    <row r="77" spans="1:8" x14ac:dyDescent="0.35">
      <c r="A77" s="13">
        <v>42482</v>
      </c>
      <c r="B77" s="14">
        <v>4569.66</v>
      </c>
      <c r="C77" s="2">
        <f t="shared" si="4"/>
        <v>-2.8737701376660985E-3</v>
      </c>
      <c r="D77">
        <f t="shared" si="5"/>
        <v>0</v>
      </c>
      <c r="E77">
        <v>0.97312674115171149</v>
      </c>
      <c r="F77">
        <f t="shared" si="6"/>
        <v>1</v>
      </c>
      <c r="G77" t="b">
        <f t="shared" si="7"/>
        <v>0</v>
      </c>
      <c r="H77">
        <v>0.50898901881644909</v>
      </c>
    </row>
    <row r="78" spans="1:8" x14ac:dyDescent="0.35">
      <c r="A78" s="13">
        <v>42485</v>
      </c>
      <c r="B78" s="14">
        <v>4546.12</v>
      </c>
      <c r="C78" s="2">
        <f t="shared" si="4"/>
        <v>-5.1513679354699971E-3</v>
      </c>
      <c r="D78">
        <f t="shared" si="5"/>
        <v>0</v>
      </c>
      <c r="E78">
        <v>0.97003696578230891</v>
      </c>
      <c r="F78">
        <f t="shared" si="6"/>
        <v>1</v>
      </c>
      <c r="G78" t="b">
        <f t="shared" si="7"/>
        <v>0</v>
      </c>
      <c r="H78">
        <v>0.50898900374184231</v>
      </c>
    </row>
    <row r="79" spans="1:8" x14ac:dyDescent="0.35">
      <c r="A79" s="13">
        <v>42486</v>
      </c>
      <c r="B79" s="14">
        <v>4533.18</v>
      </c>
      <c r="C79" s="2">
        <f t="shared" si="4"/>
        <v>-2.8463832894862762E-3</v>
      </c>
      <c r="D79">
        <f t="shared" si="5"/>
        <v>0</v>
      </c>
      <c r="E79">
        <v>0.9662125918845772</v>
      </c>
      <c r="F79">
        <f t="shared" si="6"/>
        <v>1</v>
      </c>
      <c r="G79" t="b">
        <f t="shared" si="7"/>
        <v>0</v>
      </c>
      <c r="H79">
        <v>0.5089889865898336</v>
      </c>
    </row>
    <row r="80" spans="1:8" x14ac:dyDescent="0.35">
      <c r="A80" s="13">
        <v>42487</v>
      </c>
      <c r="B80" s="14">
        <v>4559.3999999999996</v>
      </c>
      <c r="C80" s="2">
        <f t="shared" si="4"/>
        <v>5.7840191653539819E-3</v>
      </c>
      <c r="D80">
        <f t="shared" si="5"/>
        <v>1</v>
      </c>
      <c r="E80">
        <v>0.9613770045407114</v>
      </c>
      <c r="F80">
        <f t="shared" si="6"/>
        <v>1</v>
      </c>
      <c r="G80" t="b">
        <f t="shared" si="7"/>
        <v>1</v>
      </c>
      <c r="H80">
        <v>0.50898898739258447</v>
      </c>
    </row>
    <row r="81" spans="1:8" x14ac:dyDescent="0.35">
      <c r="A81" s="13">
        <v>42488</v>
      </c>
      <c r="B81" s="14">
        <v>4557.3599999999997</v>
      </c>
      <c r="C81" s="2">
        <f t="shared" si="4"/>
        <v>-4.4742729306490592E-4</v>
      </c>
      <c r="D81">
        <f t="shared" si="5"/>
        <v>0</v>
      </c>
      <c r="E81">
        <v>0.96161056708463122</v>
      </c>
      <c r="F81">
        <f t="shared" si="6"/>
        <v>1</v>
      </c>
      <c r="G81" t="b">
        <f t="shared" si="7"/>
        <v>0</v>
      </c>
      <c r="H81">
        <v>0.50898896752945377</v>
      </c>
    </row>
    <row r="82" spans="1:8" x14ac:dyDescent="0.35">
      <c r="A82" s="13">
        <v>42489</v>
      </c>
      <c r="B82" s="14">
        <v>4428.96</v>
      </c>
      <c r="C82" s="2">
        <f t="shared" si="4"/>
        <v>-2.817420611933219E-2</v>
      </c>
      <c r="D82">
        <f t="shared" si="5"/>
        <v>0</v>
      </c>
      <c r="E82">
        <v>0.95541237421197411</v>
      </c>
      <c r="F82">
        <f t="shared" si="6"/>
        <v>1</v>
      </c>
      <c r="G82" t="b">
        <f t="shared" si="7"/>
        <v>0</v>
      </c>
      <c r="H82">
        <v>0.50898894475062684</v>
      </c>
    </row>
    <row r="83" spans="1:8" x14ac:dyDescent="0.35">
      <c r="A83" s="13">
        <v>42492</v>
      </c>
      <c r="B83" s="14">
        <v>4442.75</v>
      </c>
      <c r="C83" s="2">
        <f t="shared" si="4"/>
        <v>3.1135977746468146E-3</v>
      </c>
      <c r="D83">
        <f t="shared" si="5"/>
        <v>1</v>
      </c>
      <c r="E83">
        <v>0.94713607900716956</v>
      </c>
      <c r="F83">
        <f t="shared" si="6"/>
        <v>1</v>
      </c>
      <c r="G83" t="b">
        <f t="shared" si="7"/>
        <v>1</v>
      </c>
      <c r="H83">
        <v>0.50898894625403102</v>
      </c>
    </row>
    <row r="84" spans="1:8" x14ac:dyDescent="0.35">
      <c r="A84" s="13">
        <v>42493</v>
      </c>
      <c r="B84" s="14">
        <v>4371.9799999999996</v>
      </c>
      <c r="C84" s="2">
        <f t="shared" si="4"/>
        <v>-1.5929323054414635E-2</v>
      </c>
      <c r="D84">
        <f t="shared" si="5"/>
        <v>0</v>
      </c>
      <c r="E84">
        <v>0.94771566182457989</v>
      </c>
      <c r="F84">
        <f t="shared" si="6"/>
        <v>1</v>
      </c>
      <c r="G84" t="b">
        <f t="shared" si="7"/>
        <v>0</v>
      </c>
      <c r="H84">
        <v>0.50898891881838526</v>
      </c>
    </row>
    <row r="85" spans="1:8" x14ac:dyDescent="0.35">
      <c r="A85" s="13">
        <v>42494</v>
      </c>
      <c r="B85" s="14">
        <v>4324.2299999999996</v>
      </c>
      <c r="C85" s="2">
        <f t="shared" si="4"/>
        <v>-1.0921824893983967E-2</v>
      </c>
      <c r="D85">
        <f t="shared" si="5"/>
        <v>0</v>
      </c>
      <c r="E85">
        <v>0.93648976034931752</v>
      </c>
      <c r="F85">
        <f t="shared" si="6"/>
        <v>1</v>
      </c>
      <c r="G85" t="b">
        <f t="shared" si="7"/>
        <v>0</v>
      </c>
      <c r="H85">
        <v>0.50898888575919865</v>
      </c>
    </row>
    <row r="86" spans="1:8" x14ac:dyDescent="0.35">
      <c r="A86" s="13">
        <v>42495</v>
      </c>
      <c r="B86" s="14">
        <v>4319.46</v>
      </c>
      <c r="C86" s="2">
        <f t="shared" si="4"/>
        <v>-1.1030865610754947E-3</v>
      </c>
      <c r="D86">
        <f t="shared" si="5"/>
        <v>0</v>
      </c>
      <c r="E86">
        <v>0.92028369497923768</v>
      </c>
      <c r="F86">
        <f t="shared" si="6"/>
        <v>1</v>
      </c>
      <c r="G86" t="b">
        <f t="shared" si="7"/>
        <v>0</v>
      </c>
      <c r="H86">
        <v>0.5089888449358041</v>
      </c>
    </row>
    <row r="87" spans="1:8" x14ac:dyDescent="0.35">
      <c r="A87" s="13">
        <v>42496</v>
      </c>
      <c r="B87" s="14">
        <v>4301.24</v>
      </c>
      <c r="C87" s="2">
        <f t="shared" si="4"/>
        <v>-4.2181198575748091E-3</v>
      </c>
      <c r="D87">
        <f t="shared" si="5"/>
        <v>0</v>
      </c>
      <c r="E87">
        <v>0.89564332161096094</v>
      </c>
      <c r="F87">
        <f t="shared" si="6"/>
        <v>1</v>
      </c>
      <c r="G87" t="b">
        <f t="shared" si="7"/>
        <v>0</v>
      </c>
      <c r="H87">
        <v>0.50898879382328455</v>
      </c>
    </row>
    <row r="88" spans="1:8" x14ac:dyDescent="0.35">
      <c r="A88" s="13">
        <v>42499</v>
      </c>
      <c r="B88" s="14">
        <v>4322.8100000000004</v>
      </c>
      <c r="C88" s="2">
        <f t="shared" si="4"/>
        <v>5.0148329318988605E-3</v>
      </c>
      <c r="D88">
        <f t="shared" si="5"/>
        <v>1</v>
      </c>
      <c r="E88">
        <v>0.85598796529240384</v>
      </c>
      <c r="F88">
        <f t="shared" si="6"/>
        <v>1</v>
      </c>
      <c r="G88" t="b">
        <f t="shared" si="7"/>
        <v>1</v>
      </c>
      <c r="H88">
        <v>0.50898880466962371</v>
      </c>
    </row>
    <row r="89" spans="1:8" x14ac:dyDescent="0.35">
      <c r="A89" s="13">
        <v>42500</v>
      </c>
      <c r="B89" s="14">
        <v>4338.21</v>
      </c>
      <c r="C89" s="2">
        <f t="shared" si="4"/>
        <v>3.5624975421080229E-3</v>
      </c>
      <c r="D89">
        <f t="shared" si="5"/>
        <v>1</v>
      </c>
      <c r="E89">
        <v>0.86532351637463456</v>
      </c>
      <c r="F89">
        <f t="shared" si="6"/>
        <v>1</v>
      </c>
      <c r="G89" t="b">
        <f t="shared" si="7"/>
        <v>1</v>
      </c>
      <c r="H89">
        <v>0.50898881432556686</v>
      </c>
    </row>
    <row r="90" spans="1:8" x14ac:dyDescent="0.35">
      <c r="A90" s="13">
        <v>42501</v>
      </c>
      <c r="B90" s="14">
        <v>4316.67</v>
      </c>
      <c r="C90" s="2">
        <f t="shared" si="4"/>
        <v>-4.9651814919056125E-3</v>
      </c>
      <c r="D90">
        <f t="shared" si="5"/>
        <v>0</v>
      </c>
      <c r="E90">
        <v>0.87314779845661272</v>
      </c>
      <c r="F90">
        <f t="shared" si="6"/>
        <v>1</v>
      </c>
      <c r="G90" t="b">
        <f t="shared" si="7"/>
        <v>0</v>
      </c>
      <c r="H90">
        <v>0.50898875473311933</v>
      </c>
    </row>
    <row r="91" spans="1:8" x14ac:dyDescent="0.35">
      <c r="A91" s="13">
        <v>42502</v>
      </c>
      <c r="B91" s="14">
        <v>4293.2700000000004</v>
      </c>
      <c r="C91" s="2">
        <f t="shared" si="4"/>
        <v>-5.42084523486841E-3</v>
      </c>
      <c r="D91">
        <f t="shared" si="5"/>
        <v>0</v>
      </c>
      <c r="E91">
        <v>0.81830364191251759</v>
      </c>
      <c r="F91">
        <f t="shared" si="6"/>
        <v>1</v>
      </c>
      <c r="G91" t="b">
        <f t="shared" si="7"/>
        <v>0</v>
      </c>
      <c r="H91">
        <v>0.50898867738879849</v>
      </c>
    </row>
    <row r="92" spans="1:8" x14ac:dyDescent="0.35">
      <c r="A92" s="13">
        <v>42503</v>
      </c>
      <c r="B92" s="14">
        <v>4319.99</v>
      </c>
      <c r="C92" s="2">
        <f t="shared" si="4"/>
        <v>6.2236942936269024E-3</v>
      </c>
      <c r="D92">
        <f t="shared" si="5"/>
        <v>1</v>
      </c>
      <c r="E92">
        <v>0.7254803519877292</v>
      </c>
      <c r="F92">
        <f t="shared" si="6"/>
        <v>1</v>
      </c>
      <c r="G92" t="b">
        <f t="shared" si="7"/>
        <v>1</v>
      </c>
      <c r="H92">
        <v>0.50898871171043725</v>
      </c>
    </row>
    <row r="93" spans="1:8" x14ac:dyDescent="0.35">
      <c r="A93" s="13">
        <v>42506</v>
      </c>
      <c r="B93" s="14">
        <v>4312.28</v>
      </c>
      <c r="C93" s="2">
        <f t="shared" si="4"/>
        <v>-1.784726353533217E-3</v>
      </c>
      <c r="D93">
        <f t="shared" si="5"/>
        <v>0</v>
      </c>
      <c r="E93">
        <v>0.77051059753617579</v>
      </c>
      <c r="F93">
        <f t="shared" si="6"/>
        <v>1</v>
      </c>
      <c r="G93" t="b">
        <f t="shared" si="7"/>
        <v>0</v>
      </c>
      <c r="H93">
        <v>0.50898862498501907</v>
      </c>
    </row>
    <row r="94" spans="1:8" x14ac:dyDescent="0.35">
      <c r="A94" s="13">
        <v>42507</v>
      </c>
      <c r="B94" s="14">
        <v>4297.57</v>
      </c>
      <c r="C94" s="2">
        <f t="shared" si="4"/>
        <v>-3.4111885128053077E-3</v>
      </c>
      <c r="D94">
        <f t="shared" si="5"/>
        <v>0</v>
      </c>
      <c r="E94">
        <v>0.64901208820597445</v>
      </c>
      <c r="F94">
        <f t="shared" si="6"/>
        <v>1</v>
      </c>
      <c r="G94" t="b">
        <f t="shared" si="7"/>
        <v>0</v>
      </c>
      <c r="H94">
        <v>0.50898852946877526</v>
      </c>
    </row>
    <row r="95" spans="1:8" x14ac:dyDescent="0.35">
      <c r="A95" s="13">
        <v>42508</v>
      </c>
      <c r="B95" s="14">
        <v>4319.3</v>
      </c>
      <c r="C95" s="2">
        <f t="shared" si="4"/>
        <v>5.0563457954146962E-3</v>
      </c>
      <c r="D95">
        <f t="shared" si="5"/>
        <v>1</v>
      </c>
      <c r="E95">
        <v>0.49211518279955047</v>
      </c>
      <c r="F95">
        <f t="shared" si="6"/>
        <v>0</v>
      </c>
      <c r="G95" t="b">
        <f t="shared" si="7"/>
        <v>0</v>
      </c>
      <c r="H95">
        <v>0.50898861033251785</v>
      </c>
    </row>
    <row r="96" spans="1:8" x14ac:dyDescent="0.35">
      <c r="A96" s="13">
        <v>42509</v>
      </c>
      <c r="B96" s="14">
        <v>4282.54</v>
      </c>
      <c r="C96" s="2">
        <f t="shared" si="4"/>
        <v>-8.5106382978723527E-3</v>
      </c>
      <c r="D96">
        <f t="shared" si="5"/>
        <v>0</v>
      </c>
      <c r="E96">
        <v>0.62783759076689361</v>
      </c>
      <c r="F96">
        <f t="shared" si="6"/>
        <v>1</v>
      </c>
      <c r="G96" t="b">
        <f t="shared" si="7"/>
        <v>0</v>
      </c>
      <c r="H96">
        <v>0.5089885162730553</v>
      </c>
    </row>
    <row r="97" spans="1:8" x14ac:dyDescent="0.35">
      <c r="A97" s="13">
        <v>42510</v>
      </c>
      <c r="B97" s="14">
        <v>4353.8999999999996</v>
      </c>
      <c r="C97" s="2">
        <f t="shared" si="4"/>
        <v>1.666300840155599E-2</v>
      </c>
      <c r="D97">
        <f t="shared" si="5"/>
        <v>1</v>
      </c>
      <c r="E97">
        <v>0.47050103165485047</v>
      </c>
      <c r="F97">
        <f t="shared" si="6"/>
        <v>0</v>
      </c>
      <c r="G97" t="b">
        <f t="shared" si="7"/>
        <v>0</v>
      </c>
      <c r="H97">
        <v>0.50898860045912575</v>
      </c>
    </row>
    <row r="98" spans="1:8" x14ac:dyDescent="0.35">
      <c r="A98" s="13">
        <v>42513</v>
      </c>
      <c r="B98" s="14">
        <v>4325.1000000000004</v>
      </c>
      <c r="C98" s="2">
        <f t="shared" si="4"/>
        <v>-6.6147591814234019E-3</v>
      </c>
      <c r="D98">
        <f t="shared" si="5"/>
        <v>0</v>
      </c>
      <c r="E98">
        <v>0.61252938084031672</v>
      </c>
      <c r="F98">
        <f t="shared" si="6"/>
        <v>1</v>
      </c>
      <c r="G98" t="b">
        <f t="shared" si="7"/>
        <v>0</v>
      </c>
      <c r="H98">
        <v>0.50898850653514183</v>
      </c>
    </row>
    <row r="99" spans="1:8" x14ac:dyDescent="0.35">
      <c r="A99" s="13">
        <v>42514</v>
      </c>
      <c r="B99" s="14">
        <v>4431.5200000000004</v>
      </c>
      <c r="C99" s="2">
        <f t="shared" si="4"/>
        <v>2.4605211440198005E-2</v>
      </c>
      <c r="D99">
        <f t="shared" si="5"/>
        <v>1</v>
      </c>
      <c r="E99">
        <v>0.45580777654472526</v>
      </c>
      <c r="F99">
        <f t="shared" si="6"/>
        <v>0</v>
      </c>
      <c r="G99" t="b">
        <f t="shared" si="7"/>
        <v>0</v>
      </c>
      <c r="H99">
        <v>0.50898859261253815</v>
      </c>
    </row>
    <row r="100" spans="1:8" x14ac:dyDescent="0.35">
      <c r="A100" s="13">
        <v>42515</v>
      </c>
      <c r="B100" s="14">
        <v>4481.6400000000003</v>
      </c>
      <c r="C100" s="2">
        <f t="shared" si="4"/>
        <v>1.1309889157670394E-2</v>
      </c>
      <c r="D100">
        <f t="shared" si="5"/>
        <v>1</v>
      </c>
      <c r="E100">
        <v>0.6016096126639946</v>
      </c>
      <c r="F100">
        <f t="shared" si="6"/>
        <v>1</v>
      </c>
      <c r="G100" t="b">
        <f t="shared" si="7"/>
        <v>1</v>
      </c>
      <c r="H100">
        <v>0.50898865200222321</v>
      </c>
    </row>
    <row r="101" spans="1:8" x14ac:dyDescent="0.35">
      <c r="A101" s="13">
        <v>42516</v>
      </c>
      <c r="B101" s="14">
        <v>4512.6400000000003</v>
      </c>
      <c r="C101" s="2">
        <f t="shared" si="4"/>
        <v>6.9171107005470134E-3</v>
      </c>
      <c r="D101">
        <f t="shared" si="5"/>
        <v>1</v>
      </c>
      <c r="E101">
        <v>0.69629403604354534</v>
      </c>
      <c r="F101">
        <f t="shared" si="6"/>
        <v>1</v>
      </c>
      <c r="G101" t="b">
        <f t="shared" si="7"/>
        <v>1</v>
      </c>
      <c r="H101">
        <v>0.5089886906793788</v>
      </c>
    </row>
    <row r="102" spans="1:8" x14ac:dyDescent="0.35">
      <c r="A102" s="13">
        <v>42517</v>
      </c>
      <c r="B102" s="14">
        <v>4514.74</v>
      </c>
      <c r="C102" s="2">
        <f t="shared" si="4"/>
        <v>4.6535952347181997E-4</v>
      </c>
      <c r="D102">
        <f t="shared" si="5"/>
        <v>1</v>
      </c>
      <c r="E102">
        <v>0.75228233096574226</v>
      </c>
      <c r="F102">
        <f t="shared" si="6"/>
        <v>1</v>
      </c>
      <c r="G102" t="b">
        <f t="shared" si="7"/>
        <v>1</v>
      </c>
      <c r="H102">
        <v>0.50898871815955882</v>
      </c>
    </row>
    <row r="103" spans="1:8" x14ac:dyDescent="0.35">
      <c r="A103" s="13">
        <v>42520</v>
      </c>
      <c r="B103" s="14">
        <v>4529.3999999999996</v>
      </c>
      <c r="C103" s="2">
        <f t="shared" si="4"/>
        <v>3.2471415851189622E-3</v>
      </c>
      <c r="D103">
        <f t="shared" si="5"/>
        <v>1</v>
      </c>
      <c r="E103">
        <v>0.78801558708436636</v>
      </c>
      <c r="F103">
        <f t="shared" si="6"/>
        <v>1</v>
      </c>
      <c r="G103" t="b">
        <f t="shared" si="7"/>
        <v>1</v>
      </c>
      <c r="H103">
        <v>0.50898873917877929</v>
      </c>
    </row>
    <row r="104" spans="1:8" x14ac:dyDescent="0.35">
      <c r="A104" s="13">
        <v>42521</v>
      </c>
      <c r="B104" s="14">
        <v>4505.62</v>
      </c>
      <c r="C104" s="2">
        <f t="shared" si="4"/>
        <v>-5.2501435068661451E-3</v>
      </c>
      <c r="D104">
        <f t="shared" si="5"/>
        <v>0</v>
      </c>
      <c r="E104">
        <v>0.81277870906162453</v>
      </c>
      <c r="F104">
        <f t="shared" si="6"/>
        <v>1</v>
      </c>
      <c r="G104" t="b">
        <f t="shared" si="7"/>
        <v>0</v>
      </c>
      <c r="H104">
        <v>0.50898866570725421</v>
      </c>
    </row>
    <row r="105" spans="1:8" x14ac:dyDescent="0.35">
      <c r="A105" s="13">
        <v>42522</v>
      </c>
      <c r="B105" s="14">
        <v>4475.3900000000003</v>
      </c>
      <c r="C105" s="2">
        <f t="shared" si="4"/>
        <v>-6.7093984845592036E-3</v>
      </c>
      <c r="D105">
        <f t="shared" si="5"/>
        <v>0</v>
      </c>
      <c r="E105">
        <v>0.71632990568890542</v>
      </c>
      <c r="F105">
        <f t="shared" si="6"/>
        <v>1</v>
      </c>
      <c r="G105" t="b">
        <f t="shared" si="7"/>
        <v>0</v>
      </c>
      <c r="H105">
        <v>0.5089885757179281</v>
      </c>
    </row>
    <row r="106" spans="1:8" x14ac:dyDescent="0.35">
      <c r="A106" s="13">
        <v>42523</v>
      </c>
      <c r="B106" s="14">
        <v>4466</v>
      </c>
      <c r="C106" s="2">
        <f t="shared" si="4"/>
        <v>-2.0981411675854433E-3</v>
      </c>
      <c r="D106">
        <f t="shared" si="5"/>
        <v>0</v>
      </c>
      <c r="E106">
        <v>0.5718860592768551</v>
      </c>
      <c r="F106">
        <f t="shared" si="6"/>
        <v>1</v>
      </c>
      <c r="G106" t="b">
        <f t="shared" si="7"/>
        <v>0</v>
      </c>
      <c r="H106">
        <v>0.50898848817359421</v>
      </c>
    </row>
    <row r="107" spans="1:8" x14ac:dyDescent="0.35">
      <c r="A107" s="13">
        <v>42524</v>
      </c>
      <c r="B107" s="14">
        <v>4421.78</v>
      </c>
      <c r="C107" s="2">
        <f t="shared" si="4"/>
        <v>-9.9014778325123842E-3</v>
      </c>
      <c r="D107">
        <f t="shared" si="5"/>
        <v>0</v>
      </c>
      <c r="E107">
        <v>0.420204031565451</v>
      </c>
      <c r="F107">
        <f t="shared" si="6"/>
        <v>0</v>
      </c>
      <c r="G107" t="b">
        <f t="shared" si="7"/>
        <v>1</v>
      </c>
      <c r="H107">
        <v>0.50898842157236868</v>
      </c>
    </row>
    <row r="108" spans="1:8" x14ac:dyDescent="0.35">
      <c r="A108" s="13">
        <v>42527</v>
      </c>
      <c r="B108" s="14">
        <v>4423.38</v>
      </c>
      <c r="C108" s="2">
        <f t="shared" si="4"/>
        <v>3.6184522974913591E-4</v>
      </c>
      <c r="D108">
        <f t="shared" si="5"/>
        <v>1</v>
      </c>
      <c r="E108">
        <v>0.31684612066413026</v>
      </c>
      <c r="F108">
        <f t="shared" si="6"/>
        <v>0</v>
      </c>
      <c r="G108" t="b">
        <f t="shared" si="7"/>
        <v>0</v>
      </c>
      <c r="H108">
        <v>0.50898851631573772</v>
      </c>
    </row>
    <row r="109" spans="1:8" x14ac:dyDescent="0.35">
      <c r="A109" s="13">
        <v>42528</v>
      </c>
      <c r="B109" s="14">
        <v>4475.8599999999997</v>
      </c>
      <c r="C109" s="2">
        <f t="shared" si="4"/>
        <v>1.1864230520552077E-2</v>
      </c>
      <c r="D109">
        <f t="shared" si="5"/>
        <v>1</v>
      </c>
      <c r="E109">
        <v>0.46910686958557302</v>
      </c>
      <c r="F109">
        <f t="shared" si="6"/>
        <v>0</v>
      </c>
      <c r="G109" t="b">
        <f t="shared" si="7"/>
        <v>0</v>
      </c>
      <c r="H109">
        <v>0.50898860069262619</v>
      </c>
    </row>
    <row r="110" spans="1:8" x14ac:dyDescent="0.35">
      <c r="A110" s="13">
        <v>42529</v>
      </c>
      <c r="B110" s="14">
        <v>4448.7299999999996</v>
      </c>
      <c r="C110" s="2">
        <f t="shared" si="4"/>
        <v>-6.0614049590470565E-3</v>
      </c>
      <c r="D110">
        <f t="shared" si="5"/>
        <v>0</v>
      </c>
      <c r="E110">
        <v>0.61150826835338923</v>
      </c>
      <c r="F110">
        <f t="shared" si="6"/>
        <v>1</v>
      </c>
      <c r="G110" t="b">
        <f t="shared" si="7"/>
        <v>0</v>
      </c>
      <c r="H110">
        <v>0.50898850718578659</v>
      </c>
    </row>
    <row r="111" spans="1:8" x14ac:dyDescent="0.35">
      <c r="A111" s="13">
        <v>42530</v>
      </c>
      <c r="B111" s="14">
        <v>4405.6099999999997</v>
      </c>
      <c r="C111" s="2">
        <f t="shared" si="4"/>
        <v>-9.6926538585169197E-3</v>
      </c>
      <c r="D111">
        <f t="shared" si="5"/>
        <v>0</v>
      </c>
      <c r="E111">
        <v>0.45485846989494882</v>
      </c>
      <c r="F111">
        <f t="shared" si="6"/>
        <v>0</v>
      </c>
      <c r="G111" t="b">
        <f t="shared" si="7"/>
        <v>1</v>
      </c>
      <c r="H111">
        <v>0.50898843243985059</v>
      </c>
    </row>
    <row r="112" spans="1:8" x14ac:dyDescent="0.35">
      <c r="A112" s="13">
        <v>42531</v>
      </c>
      <c r="B112" s="14">
        <v>4306.72</v>
      </c>
      <c r="C112" s="2">
        <f t="shared" si="4"/>
        <v>-2.2446380864397764E-2</v>
      </c>
      <c r="D112">
        <f t="shared" si="5"/>
        <v>0</v>
      </c>
      <c r="E112">
        <v>0.33782405017022948</v>
      </c>
      <c r="F112">
        <f t="shared" si="6"/>
        <v>0</v>
      </c>
      <c r="G112" t="b">
        <f t="shared" si="7"/>
        <v>1</v>
      </c>
      <c r="H112">
        <v>0.50898838097722143</v>
      </c>
    </row>
    <row r="113" spans="1:8" x14ac:dyDescent="0.35">
      <c r="A113" s="13">
        <v>42534</v>
      </c>
      <c r="B113" s="14">
        <v>4227.0200000000004</v>
      </c>
      <c r="C113" s="2">
        <f t="shared" si="4"/>
        <v>-1.8505962774454709E-2</v>
      </c>
      <c r="D113">
        <f t="shared" si="5"/>
        <v>0</v>
      </c>
      <c r="E113">
        <v>0.26851353966111252</v>
      </c>
      <c r="F113">
        <f t="shared" si="6"/>
        <v>0</v>
      </c>
      <c r="G113" t="b">
        <f t="shared" si="7"/>
        <v>1</v>
      </c>
      <c r="H113">
        <v>0.50898834410769711</v>
      </c>
    </row>
    <row r="114" spans="1:8" x14ac:dyDescent="0.35">
      <c r="A114" s="13">
        <v>42535</v>
      </c>
      <c r="B114" s="14">
        <v>4130.33</v>
      </c>
      <c r="C114" s="2">
        <f t="shared" si="4"/>
        <v>-2.287427076285431E-2</v>
      </c>
      <c r="D114">
        <f t="shared" si="5"/>
        <v>0</v>
      </c>
      <c r="E114">
        <v>0.22588764121285168</v>
      </c>
      <c r="F114">
        <f t="shared" si="6"/>
        <v>0</v>
      </c>
      <c r="G114" t="b">
        <f t="shared" si="7"/>
        <v>1</v>
      </c>
      <c r="H114">
        <v>0.50898831580309167</v>
      </c>
    </row>
    <row r="115" spans="1:8" x14ac:dyDescent="0.35">
      <c r="A115" s="13">
        <v>42536</v>
      </c>
      <c r="B115" s="14">
        <v>4171.58</v>
      </c>
      <c r="C115" s="2">
        <f t="shared" si="4"/>
        <v>9.987095462105966E-3</v>
      </c>
      <c r="D115">
        <f t="shared" si="5"/>
        <v>1</v>
      </c>
      <c r="E115">
        <v>0.19727058628269789</v>
      </c>
      <c r="F115">
        <f t="shared" si="6"/>
        <v>0</v>
      </c>
      <c r="G115" t="b">
        <f t="shared" si="7"/>
        <v>0</v>
      </c>
      <c r="H115">
        <v>0.50898840600744133</v>
      </c>
    </row>
    <row r="116" spans="1:8" x14ac:dyDescent="0.35">
      <c r="A116" s="13">
        <v>42537</v>
      </c>
      <c r="B116" s="14">
        <v>4153.01</v>
      </c>
      <c r="C116" s="2">
        <f t="shared" si="4"/>
        <v>-4.4515507313774849E-3</v>
      </c>
      <c r="D116">
        <f t="shared" si="5"/>
        <v>0</v>
      </c>
      <c r="E116">
        <v>0.29931948856262541</v>
      </c>
      <c r="F116">
        <f t="shared" si="6"/>
        <v>0</v>
      </c>
      <c r="G116" t="b">
        <f t="shared" si="7"/>
        <v>1</v>
      </c>
      <c r="H116">
        <v>0.50898836178370477</v>
      </c>
    </row>
    <row r="117" spans="1:8" x14ac:dyDescent="0.35">
      <c r="A117" s="13">
        <v>42538</v>
      </c>
      <c r="B117" s="14">
        <v>4193.83</v>
      </c>
      <c r="C117" s="2">
        <f t="shared" si="4"/>
        <v>9.8290155814697577E-3</v>
      </c>
      <c r="D117">
        <f t="shared" si="5"/>
        <v>1</v>
      </c>
      <c r="E117">
        <v>0.24530049246967864</v>
      </c>
      <c r="F117">
        <f t="shared" si="6"/>
        <v>0</v>
      </c>
      <c r="G117" t="b">
        <f t="shared" si="7"/>
        <v>0</v>
      </c>
      <c r="H117">
        <v>0.50898845782518753</v>
      </c>
    </row>
    <row r="118" spans="1:8" x14ac:dyDescent="0.35">
      <c r="A118" s="13">
        <v>42541</v>
      </c>
      <c r="B118" s="14">
        <v>4340.76</v>
      </c>
      <c r="C118" s="2">
        <f t="shared" si="4"/>
        <v>3.5034801124509185E-2</v>
      </c>
      <c r="D118">
        <f t="shared" si="5"/>
        <v>1</v>
      </c>
      <c r="E118">
        <v>0.37389755651397144</v>
      </c>
      <c r="F118">
        <f t="shared" si="6"/>
        <v>0</v>
      </c>
      <c r="G118" t="b">
        <f t="shared" si="7"/>
        <v>0</v>
      </c>
      <c r="H118">
        <v>0.50898855574989088</v>
      </c>
    </row>
    <row r="119" spans="1:8" x14ac:dyDescent="0.35">
      <c r="A119" s="13">
        <v>42542</v>
      </c>
      <c r="B119" s="14">
        <v>4367.24</v>
      </c>
      <c r="C119" s="2">
        <f t="shared" si="4"/>
        <v>6.1003142306876867E-3</v>
      </c>
      <c r="D119">
        <f t="shared" si="5"/>
        <v>1</v>
      </c>
      <c r="E119">
        <v>0.53091879800197495</v>
      </c>
      <c r="F119">
        <f t="shared" si="6"/>
        <v>1</v>
      </c>
      <c r="G119" t="b">
        <f t="shared" si="7"/>
        <v>1</v>
      </c>
      <c r="H119">
        <v>0.5089886320861372</v>
      </c>
    </row>
    <row r="120" spans="1:8" x14ac:dyDescent="0.35">
      <c r="A120" s="13">
        <v>42543</v>
      </c>
      <c r="B120" s="14">
        <v>4380.03</v>
      </c>
      <c r="C120" s="2">
        <f t="shared" si="4"/>
        <v>2.9286231120799755E-3</v>
      </c>
      <c r="D120">
        <f t="shared" si="5"/>
        <v>1</v>
      </c>
      <c r="E120">
        <v>0.65346381626205674</v>
      </c>
      <c r="F120">
        <f t="shared" si="6"/>
        <v>1</v>
      </c>
      <c r="G120" t="b">
        <f t="shared" si="7"/>
        <v>1</v>
      </c>
      <c r="H120">
        <v>0.50898868168241829</v>
      </c>
    </row>
    <row r="121" spans="1:8" x14ac:dyDescent="0.35">
      <c r="A121" s="13">
        <v>42544</v>
      </c>
      <c r="B121" s="14">
        <v>4465.8999999999996</v>
      </c>
      <c r="C121" s="2">
        <f t="shared" si="4"/>
        <v>1.9604888550991628E-2</v>
      </c>
      <c r="D121">
        <f t="shared" si="5"/>
        <v>1</v>
      </c>
      <c r="E121">
        <v>0.72663371194042747</v>
      </c>
      <c r="F121">
        <f t="shared" si="6"/>
        <v>1</v>
      </c>
      <c r="G121" t="b">
        <f t="shared" si="7"/>
        <v>1</v>
      </c>
      <c r="H121">
        <v>0.50898871570137028</v>
      </c>
    </row>
    <row r="122" spans="1:8" x14ac:dyDescent="0.35">
      <c r="A122" s="13">
        <v>42545</v>
      </c>
      <c r="B122" s="14">
        <v>4106.7299999999996</v>
      </c>
      <c r="C122" s="2">
        <f t="shared" si="4"/>
        <v>-8.0424998320607344E-2</v>
      </c>
      <c r="D122">
        <f t="shared" si="5"/>
        <v>0</v>
      </c>
      <c r="E122">
        <v>0.77124501015489777</v>
      </c>
      <c r="F122">
        <f t="shared" si="6"/>
        <v>1</v>
      </c>
      <c r="G122" t="b">
        <f t="shared" si="7"/>
        <v>0</v>
      </c>
      <c r="H122">
        <v>0.50898863188795729</v>
      </c>
    </row>
    <row r="123" spans="1:8" x14ac:dyDescent="0.35">
      <c r="A123" s="13">
        <v>42548</v>
      </c>
      <c r="B123" s="14">
        <v>3984.72</v>
      </c>
      <c r="C123" s="2">
        <f t="shared" si="4"/>
        <v>-2.9709769086353366E-2</v>
      </c>
      <c r="D123">
        <f t="shared" si="5"/>
        <v>0</v>
      </c>
      <c r="E123">
        <v>0.65014144490497772</v>
      </c>
      <c r="F123">
        <f t="shared" si="6"/>
        <v>1</v>
      </c>
      <c r="G123" t="b">
        <f t="shared" si="7"/>
        <v>0</v>
      </c>
      <c r="H123">
        <v>0.5089885373256714</v>
      </c>
    </row>
    <row r="124" spans="1:8" x14ac:dyDescent="0.35">
      <c r="A124" s="13">
        <v>42549</v>
      </c>
      <c r="B124" s="14">
        <v>4088.85</v>
      </c>
      <c r="C124" s="2">
        <f t="shared" si="4"/>
        <v>2.6132325483346319E-2</v>
      </c>
      <c r="D124">
        <f t="shared" si="5"/>
        <v>1</v>
      </c>
      <c r="E124">
        <v>0.4933225418463284</v>
      </c>
      <c r="F124">
        <f t="shared" si="6"/>
        <v>0</v>
      </c>
      <c r="G124" t="b">
        <f t="shared" si="7"/>
        <v>0</v>
      </c>
      <c r="H124">
        <v>0.50898861999198608</v>
      </c>
    </row>
    <row r="125" spans="1:8" x14ac:dyDescent="0.35">
      <c r="A125" s="13">
        <v>42550</v>
      </c>
      <c r="B125" s="14">
        <v>4195.32</v>
      </c>
      <c r="C125" s="2">
        <f t="shared" si="4"/>
        <v>2.6039106350196128E-2</v>
      </c>
      <c r="D125">
        <f t="shared" si="5"/>
        <v>1</v>
      </c>
      <c r="E125">
        <v>0.62865981764273426</v>
      </c>
      <c r="F125">
        <f t="shared" si="6"/>
        <v>1</v>
      </c>
      <c r="G125" t="b">
        <f t="shared" si="7"/>
        <v>1</v>
      </c>
      <c r="H125">
        <v>0.50898867484830868</v>
      </c>
    </row>
    <row r="126" spans="1:8" x14ac:dyDescent="0.35">
      <c r="A126" s="13">
        <v>42551</v>
      </c>
      <c r="B126" s="14">
        <v>4237.4799999999996</v>
      </c>
      <c r="C126" s="2">
        <f t="shared" si="4"/>
        <v>1.0049293021747951E-2</v>
      </c>
      <c r="D126">
        <f t="shared" si="5"/>
        <v>1</v>
      </c>
      <c r="E126">
        <v>0.71210405029249324</v>
      </c>
      <c r="F126">
        <f t="shared" si="6"/>
        <v>1</v>
      </c>
      <c r="G126" t="b">
        <f t="shared" si="7"/>
        <v>1</v>
      </c>
      <c r="H126">
        <v>0.50898871063984119</v>
      </c>
    </row>
    <row r="127" spans="1:8" x14ac:dyDescent="0.35">
      <c r="A127" s="13">
        <v>42552</v>
      </c>
      <c r="B127" s="14">
        <v>4273.96</v>
      </c>
      <c r="C127" s="2">
        <f t="shared" si="4"/>
        <v>8.6088901894523229E-3</v>
      </c>
      <c r="D127">
        <f t="shared" si="5"/>
        <v>1</v>
      </c>
      <c r="E127">
        <v>0.76205820187143092</v>
      </c>
      <c r="F127">
        <f t="shared" si="6"/>
        <v>1</v>
      </c>
      <c r="G127" t="b">
        <f t="shared" si="7"/>
        <v>1</v>
      </c>
      <c r="H127">
        <v>0.50898873617081342</v>
      </c>
    </row>
    <row r="128" spans="1:8" x14ac:dyDescent="0.35">
      <c r="A128" s="13">
        <v>42555</v>
      </c>
      <c r="B128" s="14">
        <v>4234.8599999999997</v>
      </c>
      <c r="C128" s="2">
        <f t="shared" si="4"/>
        <v>-9.1484244120207947E-3</v>
      </c>
      <c r="D128">
        <f t="shared" si="5"/>
        <v>0</v>
      </c>
      <c r="E128">
        <v>0.79461554520918243</v>
      </c>
      <c r="F128">
        <f t="shared" si="6"/>
        <v>1</v>
      </c>
      <c r="G128" t="b">
        <f t="shared" si="7"/>
        <v>0</v>
      </c>
      <c r="H128">
        <v>0.50898865745120836</v>
      </c>
    </row>
    <row r="129" spans="1:8" x14ac:dyDescent="0.35">
      <c r="A129" s="13">
        <v>42556</v>
      </c>
      <c r="B129" s="14">
        <v>4163.42</v>
      </c>
      <c r="C129" s="2">
        <f t="shared" si="4"/>
        <v>-1.686950690223521E-2</v>
      </c>
      <c r="D129">
        <f t="shared" si="5"/>
        <v>0</v>
      </c>
      <c r="E129">
        <v>0.68676428953933222</v>
      </c>
      <c r="F129">
        <f t="shared" si="6"/>
        <v>1</v>
      </c>
      <c r="G129" t="b">
        <f t="shared" si="7"/>
        <v>0</v>
      </c>
      <c r="H129">
        <v>0.50898856000151826</v>
      </c>
    </row>
    <row r="130" spans="1:8" x14ac:dyDescent="0.35">
      <c r="A130" s="13">
        <v>42557</v>
      </c>
      <c r="B130" s="14">
        <v>4085.3</v>
      </c>
      <c r="C130" s="2">
        <f t="shared" si="4"/>
        <v>-1.8763420457220237E-2</v>
      </c>
      <c r="D130">
        <f t="shared" si="5"/>
        <v>0</v>
      </c>
      <c r="E130">
        <v>0.53469668263761005</v>
      </c>
      <c r="F130">
        <f t="shared" si="6"/>
        <v>1</v>
      </c>
      <c r="G130" t="b">
        <f t="shared" si="7"/>
        <v>0</v>
      </c>
      <c r="H130">
        <v>0.50898846865955916</v>
      </c>
    </row>
    <row r="131" spans="1:8" x14ac:dyDescent="0.35">
      <c r="A131" s="13">
        <v>42558</v>
      </c>
      <c r="B131" s="14">
        <v>4117.8500000000004</v>
      </c>
      <c r="C131" s="2">
        <f t="shared" si="4"/>
        <v>7.9675911193792803E-3</v>
      </c>
      <c r="D131">
        <f t="shared" si="5"/>
        <v>1</v>
      </c>
      <c r="E131">
        <v>0.39133532196267656</v>
      </c>
      <c r="F131">
        <f t="shared" si="6"/>
        <v>0</v>
      </c>
      <c r="G131" t="b">
        <f t="shared" si="7"/>
        <v>0</v>
      </c>
      <c r="H131">
        <v>0.50898856876192888</v>
      </c>
    </row>
    <row r="132" spans="1:8" x14ac:dyDescent="0.35">
      <c r="A132" s="13">
        <v>42559</v>
      </c>
      <c r="B132" s="14">
        <v>4190.68</v>
      </c>
      <c r="C132" s="2">
        <f t="shared" ref="C132:C195" si="8">(B132/B131)-1</f>
        <v>1.7686414026737207E-2</v>
      </c>
      <c r="D132">
        <f t="shared" si="5"/>
        <v>1</v>
      </c>
      <c r="E132">
        <v>0.54756552189214325</v>
      </c>
      <c r="F132">
        <f t="shared" si="6"/>
        <v>1</v>
      </c>
      <c r="G132" t="b">
        <f t="shared" si="7"/>
        <v>1</v>
      </c>
      <c r="H132">
        <v>0.50898863953357831</v>
      </c>
    </row>
    <row r="133" spans="1:8" x14ac:dyDescent="0.35">
      <c r="A133" s="13">
        <v>42562</v>
      </c>
      <c r="B133" s="14">
        <v>4264.53</v>
      </c>
      <c r="C133" s="2">
        <f t="shared" si="8"/>
        <v>1.7622438363224857E-2</v>
      </c>
      <c r="D133">
        <f t="shared" si="5"/>
        <v>1</v>
      </c>
      <c r="E133">
        <v>0.66388916601211811</v>
      </c>
      <c r="F133">
        <f t="shared" si="6"/>
        <v>1</v>
      </c>
      <c r="G133" t="b">
        <f t="shared" si="7"/>
        <v>1</v>
      </c>
      <c r="H133">
        <v>0.50898868433790367</v>
      </c>
    </row>
    <row r="134" spans="1:8" x14ac:dyDescent="0.35">
      <c r="A134" s="13">
        <v>42563</v>
      </c>
      <c r="B134" s="14">
        <v>4331.38</v>
      </c>
      <c r="C134" s="2">
        <f t="shared" si="8"/>
        <v>1.5675818906186745E-2</v>
      </c>
      <c r="D134">
        <f t="shared" ref="D134:D197" si="9">IF(C134&gt;=0,1,0)</f>
        <v>1</v>
      </c>
      <c r="E134">
        <v>0.732788619688854</v>
      </c>
      <c r="F134">
        <f t="shared" si="6"/>
        <v>1</v>
      </c>
      <c r="G134" t="b">
        <f t="shared" si="7"/>
        <v>1</v>
      </c>
      <c r="H134">
        <v>0.50898871527834633</v>
      </c>
    </row>
    <row r="135" spans="1:8" x14ac:dyDescent="0.35">
      <c r="A135" s="13">
        <v>42564</v>
      </c>
      <c r="B135" s="14">
        <v>4335.26</v>
      </c>
      <c r="C135" s="2">
        <f t="shared" si="8"/>
        <v>8.9578840923687508E-4</v>
      </c>
      <c r="D135">
        <f t="shared" si="9"/>
        <v>1</v>
      </c>
      <c r="E135">
        <v>0.77520021025612018</v>
      </c>
      <c r="F135">
        <f t="shared" si="6"/>
        <v>1</v>
      </c>
      <c r="G135" t="b">
        <f t="shared" si="7"/>
        <v>1</v>
      </c>
      <c r="H135">
        <v>0.50898873861595639</v>
      </c>
    </row>
    <row r="136" spans="1:8" x14ac:dyDescent="0.35">
      <c r="A136" s="13">
        <v>42565</v>
      </c>
      <c r="B136" s="14">
        <v>4385.5200000000004</v>
      </c>
      <c r="C136" s="2">
        <f t="shared" si="8"/>
        <v>1.1593306975821616E-2</v>
      </c>
      <c r="D136">
        <f t="shared" si="9"/>
        <v>1</v>
      </c>
      <c r="E136">
        <v>0.80369100447606023</v>
      </c>
      <c r="F136">
        <f t="shared" si="6"/>
        <v>1</v>
      </c>
      <c r="G136" t="b">
        <f t="shared" si="7"/>
        <v>1</v>
      </c>
      <c r="H136">
        <v>0.5089887571639381</v>
      </c>
    </row>
    <row r="137" spans="1:8" x14ac:dyDescent="0.35">
      <c r="A137" s="13">
        <v>42566</v>
      </c>
      <c r="B137" s="14">
        <v>4372.51</v>
      </c>
      <c r="C137" s="2">
        <f t="shared" si="8"/>
        <v>-2.9665809299695978E-3</v>
      </c>
      <c r="D137">
        <f t="shared" si="9"/>
        <v>0</v>
      </c>
      <c r="E137">
        <v>0.82422754946452992</v>
      </c>
      <c r="F137">
        <f t="shared" ref="F137:F200" si="10">IF(E137&gt;=0.5,1,0)</f>
        <v>1</v>
      </c>
      <c r="G137" t="b">
        <f t="shared" ref="G137:G200" si="11">IF(D137=F137,TRUE,FALSE)</f>
        <v>0</v>
      </c>
      <c r="H137">
        <v>0.50898868373840422</v>
      </c>
    </row>
    <row r="138" spans="1:8" x14ac:dyDescent="0.35">
      <c r="A138" s="13">
        <v>42569</v>
      </c>
      <c r="B138" s="14">
        <v>4357.74</v>
      </c>
      <c r="C138" s="2">
        <f t="shared" si="8"/>
        <v>-3.377922520474641E-3</v>
      </c>
      <c r="D138">
        <f t="shared" si="9"/>
        <v>0</v>
      </c>
      <c r="E138">
        <v>0.73537104635502182</v>
      </c>
      <c r="F138">
        <f t="shared" si="10"/>
        <v>1</v>
      </c>
      <c r="G138" t="b">
        <f t="shared" si="11"/>
        <v>0</v>
      </c>
      <c r="H138">
        <v>0.50898859486022374</v>
      </c>
    </row>
    <row r="139" spans="1:8" x14ac:dyDescent="0.35">
      <c r="A139" s="13">
        <v>42570</v>
      </c>
      <c r="B139" s="14">
        <v>4330.13</v>
      </c>
      <c r="C139" s="2">
        <f t="shared" si="8"/>
        <v>-6.3358529880166436E-3</v>
      </c>
      <c r="D139">
        <f t="shared" si="9"/>
        <v>0</v>
      </c>
      <c r="E139">
        <v>0.5976999425844346</v>
      </c>
      <c r="F139">
        <f t="shared" si="10"/>
        <v>1</v>
      </c>
      <c r="G139" t="b">
        <f t="shared" si="11"/>
        <v>0</v>
      </c>
      <c r="H139">
        <v>0.50898850436343845</v>
      </c>
    </row>
    <row r="140" spans="1:8" x14ac:dyDescent="0.35">
      <c r="A140" s="13">
        <v>42571</v>
      </c>
      <c r="B140" s="14">
        <v>4379.76</v>
      </c>
      <c r="C140" s="2">
        <f t="shared" si="8"/>
        <v>1.1461549653243752E-2</v>
      </c>
      <c r="D140">
        <f t="shared" si="9"/>
        <v>1</v>
      </c>
      <c r="E140">
        <v>0.44228253125126582</v>
      </c>
      <c r="F140">
        <f t="shared" si="10"/>
        <v>0</v>
      </c>
      <c r="G140" t="b">
        <f t="shared" si="11"/>
        <v>0</v>
      </c>
      <c r="H140">
        <v>0.508988589103886</v>
      </c>
    </row>
    <row r="141" spans="1:8" x14ac:dyDescent="0.35">
      <c r="A141" s="13">
        <v>42572</v>
      </c>
      <c r="B141" s="14">
        <v>4376.25</v>
      </c>
      <c r="C141" s="2">
        <f t="shared" si="8"/>
        <v>-8.0141377609732611E-4</v>
      </c>
      <c r="D141">
        <f t="shared" si="9"/>
        <v>0</v>
      </c>
      <c r="E141">
        <v>0.59113418464553258</v>
      </c>
      <c r="F141">
        <f t="shared" si="10"/>
        <v>1</v>
      </c>
      <c r="G141" t="b">
        <f t="shared" si="11"/>
        <v>0</v>
      </c>
      <c r="H141">
        <v>0.50898850043646837</v>
      </c>
    </row>
    <row r="142" spans="1:8" x14ac:dyDescent="0.35">
      <c r="A142" s="13">
        <v>42573</v>
      </c>
      <c r="B142" s="14">
        <v>4381.1000000000004</v>
      </c>
      <c r="C142" s="2">
        <f t="shared" si="8"/>
        <v>1.1082547843475066E-3</v>
      </c>
      <c r="D142">
        <f t="shared" si="9"/>
        <v>1</v>
      </c>
      <c r="E142">
        <v>0.43649640611227575</v>
      </c>
      <c r="F142">
        <f t="shared" si="10"/>
        <v>0</v>
      </c>
      <c r="G142" t="b">
        <f t="shared" si="11"/>
        <v>0</v>
      </c>
      <c r="H142">
        <v>0.50898858679168157</v>
      </c>
    </row>
    <row r="143" spans="1:8" x14ac:dyDescent="0.35">
      <c r="A143" s="13">
        <v>42576</v>
      </c>
      <c r="B143" s="14">
        <v>4388</v>
      </c>
      <c r="C143" s="2">
        <f t="shared" si="8"/>
        <v>1.5749469311359121E-3</v>
      </c>
      <c r="D143">
        <f t="shared" si="9"/>
        <v>1</v>
      </c>
      <c r="E143">
        <v>0.58652751532810221</v>
      </c>
      <c r="F143">
        <f t="shared" si="10"/>
        <v>1</v>
      </c>
      <c r="G143" t="b">
        <f t="shared" si="11"/>
        <v>1</v>
      </c>
      <c r="H143">
        <v>0.5089886483638445</v>
      </c>
    </row>
    <row r="144" spans="1:8" x14ac:dyDescent="0.35">
      <c r="A144" s="13">
        <v>42577</v>
      </c>
      <c r="B144" s="14">
        <v>4394.7700000000004</v>
      </c>
      <c r="C144" s="2">
        <f t="shared" si="8"/>
        <v>1.542844120328235E-3</v>
      </c>
      <c r="D144">
        <f t="shared" si="9"/>
        <v>1</v>
      </c>
      <c r="E144">
        <v>0.68740131371336433</v>
      </c>
      <c r="F144">
        <f t="shared" si="10"/>
        <v>1</v>
      </c>
      <c r="G144" t="b">
        <f t="shared" si="11"/>
        <v>1</v>
      </c>
      <c r="H144">
        <v>0.50898868963284294</v>
      </c>
    </row>
    <row r="145" spans="1:8" x14ac:dyDescent="0.35">
      <c r="A145" s="13">
        <v>42578</v>
      </c>
      <c r="B145" s="14">
        <v>4446.96</v>
      </c>
      <c r="C145" s="2">
        <f t="shared" si="8"/>
        <v>1.1875479262851041E-2</v>
      </c>
      <c r="D145">
        <f t="shared" si="9"/>
        <v>1</v>
      </c>
      <c r="E145">
        <v>0.74686387460485715</v>
      </c>
      <c r="F145">
        <f t="shared" si="10"/>
        <v>1</v>
      </c>
      <c r="G145" t="b">
        <f t="shared" si="11"/>
        <v>1</v>
      </c>
      <c r="H145">
        <v>0.50898871875833729</v>
      </c>
    </row>
    <row r="146" spans="1:8" x14ac:dyDescent="0.35">
      <c r="A146" s="13">
        <v>42579</v>
      </c>
      <c r="B146" s="14">
        <v>4420.58</v>
      </c>
      <c r="C146" s="2">
        <f t="shared" si="8"/>
        <v>-5.9321424073974782E-3</v>
      </c>
      <c r="D146">
        <f t="shared" si="9"/>
        <v>0</v>
      </c>
      <c r="E146">
        <v>0.7844059479892963</v>
      </c>
      <c r="F146">
        <f t="shared" si="10"/>
        <v>1</v>
      </c>
      <c r="G146" t="b">
        <f t="shared" si="11"/>
        <v>0</v>
      </c>
      <c r="H146">
        <v>0.50898863640826386</v>
      </c>
    </row>
    <row r="147" spans="1:8" x14ac:dyDescent="0.35">
      <c r="A147" s="13">
        <v>42580</v>
      </c>
      <c r="B147" s="14">
        <v>4439.8100000000004</v>
      </c>
      <c r="C147" s="2">
        <f t="shared" si="8"/>
        <v>4.3501079043928303E-3</v>
      </c>
      <c r="D147">
        <f t="shared" si="9"/>
        <v>1</v>
      </c>
      <c r="E147">
        <v>0.67055420541164279</v>
      </c>
      <c r="F147">
        <f t="shared" si="10"/>
        <v>1</v>
      </c>
      <c r="G147" t="b">
        <f t="shared" si="11"/>
        <v>1</v>
      </c>
      <c r="H147">
        <v>0.50898868108122053</v>
      </c>
    </row>
    <row r="148" spans="1:8" x14ac:dyDescent="0.35">
      <c r="A148" s="13">
        <v>42583</v>
      </c>
      <c r="B148" s="14">
        <v>4409.17</v>
      </c>
      <c r="C148" s="2">
        <f t="shared" si="8"/>
        <v>-6.9011962223609613E-3</v>
      </c>
      <c r="D148">
        <f t="shared" si="9"/>
        <v>0</v>
      </c>
      <c r="E148">
        <v>0.73674713827687544</v>
      </c>
      <c r="F148">
        <f t="shared" si="10"/>
        <v>1</v>
      </c>
      <c r="G148" t="b">
        <f t="shared" si="11"/>
        <v>0</v>
      </c>
      <c r="H148">
        <v>0.50898859201562685</v>
      </c>
    </row>
    <row r="149" spans="1:8" x14ac:dyDescent="0.35">
      <c r="A149" s="13">
        <v>42584</v>
      </c>
      <c r="B149" s="14">
        <v>4327.99</v>
      </c>
      <c r="C149" s="2">
        <f t="shared" si="8"/>
        <v>-1.8411628492437382E-2</v>
      </c>
      <c r="D149">
        <f t="shared" si="9"/>
        <v>0</v>
      </c>
      <c r="E149">
        <v>0.599623866825296</v>
      </c>
      <c r="F149">
        <f t="shared" si="10"/>
        <v>1</v>
      </c>
      <c r="G149" t="b">
        <f t="shared" si="11"/>
        <v>0</v>
      </c>
      <c r="H149">
        <v>0.50898850026094322</v>
      </c>
    </row>
    <row r="150" spans="1:8" x14ac:dyDescent="0.35">
      <c r="A150" s="13">
        <v>42585</v>
      </c>
      <c r="B150" s="14">
        <v>4321.08</v>
      </c>
      <c r="C150" s="2">
        <f t="shared" si="8"/>
        <v>-1.5965840956193578E-3</v>
      </c>
      <c r="D150">
        <f t="shared" si="9"/>
        <v>0</v>
      </c>
      <c r="E150">
        <v>0.44400561944877798</v>
      </c>
      <c r="F150">
        <f t="shared" si="10"/>
        <v>0</v>
      </c>
      <c r="G150" t="b">
        <f t="shared" si="11"/>
        <v>1</v>
      </c>
      <c r="H150">
        <v>0.50898842735731709</v>
      </c>
    </row>
    <row r="151" spans="1:8" x14ac:dyDescent="0.35">
      <c r="A151" s="13">
        <v>42586</v>
      </c>
      <c r="B151" s="14">
        <v>4345.63</v>
      </c>
      <c r="C151" s="2">
        <f t="shared" si="8"/>
        <v>5.6814500078683494E-3</v>
      </c>
      <c r="D151">
        <f t="shared" si="9"/>
        <v>1</v>
      </c>
      <c r="E151">
        <v>0.33116840941334963</v>
      </c>
      <c r="F151">
        <f t="shared" si="10"/>
        <v>0</v>
      </c>
      <c r="G151" t="b">
        <f t="shared" si="11"/>
        <v>0</v>
      </c>
      <c r="H151">
        <v>0.50898852560391727</v>
      </c>
    </row>
    <row r="152" spans="1:8" x14ac:dyDescent="0.35">
      <c r="A152" s="13">
        <v>42587</v>
      </c>
      <c r="B152" s="14">
        <v>4410.55</v>
      </c>
      <c r="C152" s="2">
        <f t="shared" si="8"/>
        <v>1.4939145762524753E-2</v>
      </c>
      <c r="D152">
        <f t="shared" si="9"/>
        <v>1</v>
      </c>
      <c r="E152">
        <v>0.48573242288304846</v>
      </c>
      <c r="F152">
        <f t="shared" si="10"/>
        <v>0</v>
      </c>
      <c r="G152" t="b">
        <f t="shared" si="11"/>
        <v>0</v>
      </c>
      <c r="H152">
        <v>0.50898860781573141</v>
      </c>
    </row>
    <row r="153" spans="1:8" x14ac:dyDescent="0.35">
      <c r="A153" s="13">
        <v>42590</v>
      </c>
      <c r="B153" s="14">
        <v>4415.46</v>
      </c>
      <c r="C153" s="2">
        <f t="shared" si="8"/>
        <v>1.113239845370817E-3</v>
      </c>
      <c r="D153">
        <f t="shared" si="9"/>
        <v>1</v>
      </c>
      <c r="E153">
        <v>0.62338678541161607</v>
      </c>
      <c r="F153">
        <f t="shared" si="10"/>
        <v>1</v>
      </c>
      <c r="G153" t="b">
        <f t="shared" si="11"/>
        <v>1</v>
      </c>
      <c r="H153">
        <v>0.50898866313261071</v>
      </c>
    </row>
    <row r="154" spans="1:8" x14ac:dyDescent="0.35">
      <c r="A154" s="13">
        <v>42591</v>
      </c>
      <c r="B154" s="14">
        <v>4468.07</v>
      </c>
      <c r="C154" s="2">
        <f t="shared" si="8"/>
        <v>1.1914953368391989E-2</v>
      </c>
      <c r="D154">
        <f t="shared" si="9"/>
        <v>1</v>
      </c>
      <c r="E154">
        <v>0.70902065155815941</v>
      </c>
      <c r="F154">
        <f t="shared" si="10"/>
        <v>1</v>
      </c>
      <c r="G154" t="b">
        <f t="shared" si="11"/>
        <v>1</v>
      </c>
      <c r="H154">
        <v>0.50898869977247096</v>
      </c>
    </row>
    <row r="155" spans="1:8" x14ac:dyDescent="0.35">
      <c r="A155" s="13">
        <v>42592</v>
      </c>
      <c r="B155" s="14">
        <v>4452.01</v>
      </c>
      <c r="C155" s="2">
        <f t="shared" si="8"/>
        <v>-3.5943931048527666E-3</v>
      </c>
      <c r="D155">
        <f t="shared" si="9"/>
        <v>0</v>
      </c>
      <c r="E155">
        <v>0.7601318023461916</v>
      </c>
      <c r="F155">
        <f t="shared" si="10"/>
        <v>1</v>
      </c>
      <c r="G155" t="b">
        <f t="shared" si="11"/>
        <v>0</v>
      </c>
      <c r="H155">
        <v>0.50898861309525201</v>
      </c>
    </row>
    <row r="156" spans="1:8" x14ac:dyDescent="0.35">
      <c r="A156" s="13">
        <v>42593</v>
      </c>
      <c r="B156" s="14">
        <v>4503.95</v>
      </c>
      <c r="C156" s="2">
        <f t="shared" si="8"/>
        <v>1.1666640461274635E-2</v>
      </c>
      <c r="D156">
        <f t="shared" si="9"/>
        <v>1</v>
      </c>
      <c r="E156">
        <v>0.6333881112669113</v>
      </c>
      <c r="F156">
        <f t="shared" si="10"/>
        <v>1</v>
      </c>
      <c r="G156" t="b">
        <f t="shared" si="11"/>
        <v>1</v>
      </c>
      <c r="H156">
        <v>0.50898866641785845</v>
      </c>
    </row>
    <row r="157" spans="1:8" x14ac:dyDescent="0.35">
      <c r="A157" s="13">
        <v>42594</v>
      </c>
      <c r="B157" s="14">
        <v>4500.1899999999996</v>
      </c>
      <c r="C157" s="2">
        <f t="shared" si="8"/>
        <v>-8.3482276668267463E-4</v>
      </c>
      <c r="D157">
        <f t="shared" si="9"/>
        <v>0</v>
      </c>
      <c r="E157">
        <v>0.71486128578399522</v>
      </c>
      <c r="F157">
        <f t="shared" si="10"/>
        <v>1</v>
      </c>
      <c r="G157" t="b">
        <f t="shared" si="11"/>
        <v>0</v>
      </c>
      <c r="H157">
        <v>0.50898857398496544</v>
      </c>
    </row>
    <row r="158" spans="1:8" x14ac:dyDescent="0.35">
      <c r="A158" s="13">
        <v>42597</v>
      </c>
      <c r="B158" s="14">
        <v>4497.8599999999997</v>
      </c>
      <c r="C158" s="2">
        <f t="shared" si="8"/>
        <v>-5.1775591697234002E-4</v>
      </c>
      <c r="D158">
        <f t="shared" si="9"/>
        <v>0</v>
      </c>
      <c r="E158">
        <v>0.56997277192169282</v>
      </c>
      <c r="F158">
        <f t="shared" si="10"/>
        <v>1</v>
      </c>
      <c r="G158" t="b">
        <f t="shared" si="11"/>
        <v>0</v>
      </c>
      <c r="H158">
        <v>0.50898848393385498</v>
      </c>
    </row>
    <row r="159" spans="1:8" x14ac:dyDescent="0.35">
      <c r="A159" s="13">
        <v>42598</v>
      </c>
      <c r="B159" s="14">
        <v>4460.4399999999996</v>
      </c>
      <c r="C159" s="2">
        <f t="shared" si="8"/>
        <v>-8.3195119456808131E-3</v>
      </c>
      <c r="D159">
        <f t="shared" si="9"/>
        <v>0</v>
      </c>
      <c r="E159">
        <v>0.41865652808461529</v>
      </c>
      <c r="F159">
        <f t="shared" si="10"/>
        <v>0</v>
      </c>
      <c r="G159" t="b">
        <f t="shared" si="11"/>
        <v>1</v>
      </c>
      <c r="H159">
        <v>0.5089884179150358</v>
      </c>
    </row>
    <row r="160" spans="1:8" x14ac:dyDescent="0.35">
      <c r="A160" s="13">
        <v>42599</v>
      </c>
      <c r="B160" s="14">
        <v>4417.68</v>
      </c>
      <c r="C160" s="2">
        <f t="shared" si="8"/>
        <v>-9.5864981930032789E-3</v>
      </c>
      <c r="D160">
        <f t="shared" si="9"/>
        <v>0</v>
      </c>
      <c r="E160">
        <v>0.31593975971163196</v>
      </c>
      <c r="F160">
        <f t="shared" si="10"/>
        <v>0</v>
      </c>
      <c r="G160" t="b">
        <f t="shared" si="11"/>
        <v>1</v>
      </c>
      <c r="H160">
        <v>0.50898837273231723</v>
      </c>
    </row>
    <row r="161" spans="1:8" x14ac:dyDescent="0.35">
      <c r="A161" s="13">
        <v>42600</v>
      </c>
      <c r="B161" s="14">
        <v>4437.0600000000004</v>
      </c>
      <c r="C161" s="2">
        <f t="shared" si="8"/>
        <v>4.386918020318431E-3</v>
      </c>
      <c r="D161">
        <f t="shared" si="9"/>
        <v>1</v>
      </c>
      <c r="E161">
        <v>0.25544246752722977</v>
      </c>
      <c r="F161">
        <f t="shared" si="10"/>
        <v>0</v>
      </c>
      <c r="G161" t="b">
        <f t="shared" si="11"/>
        <v>0</v>
      </c>
      <c r="H161">
        <v>0.50898846575258849</v>
      </c>
    </row>
    <row r="162" spans="1:8" x14ac:dyDescent="0.35">
      <c r="A162" s="13">
        <v>42601</v>
      </c>
      <c r="B162" s="14">
        <v>4400.5200000000004</v>
      </c>
      <c r="C162" s="2">
        <f t="shared" si="8"/>
        <v>-8.2351827561493174E-3</v>
      </c>
      <c r="D162">
        <f t="shared" si="9"/>
        <v>0</v>
      </c>
      <c r="E162">
        <v>0.38859802570041724</v>
      </c>
      <c r="F162">
        <f t="shared" si="10"/>
        <v>0</v>
      </c>
      <c r="G162" t="b">
        <f t="shared" si="11"/>
        <v>1</v>
      </c>
      <c r="H162">
        <v>0.50898840396167278</v>
      </c>
    </row>
    <row r="163" spans="1:8" x14ac:dyDescent="0.35">
      <c r="A163" s="13">
        <v>42604</v>
      </c>
      <c r="B163" s="14">
        <v>4389.9399999999996</v>
      </c>
      <c r="C163" s="2">
        <f t="shared" si="8"/>
        <v>-2.4042613145720537E-3</v>
      </c>
      <c r="D163">
        <f t="shared" si="9"/>
        <v>0</v>
      </c>
      <c r="E163">
        <v>0.29826703783067693</v>
      </c>
      <c r="F163">
        <f t="shared" si="10"/>
        <v>0</v>
      </c>
      <c r="G163" t="b">
        <f t="shared" si="11"/>
        <v>1</v>
      </c>
      <c r="H163">
        <v>0.50898836190528418</v>
      </c>
    </row>
    <row r="164" spans="1:8" x14ac:dyDescent="0.35">
      <c r="A164" s="13">
        <v>42605</v>
      </c>
      <c r="B164" s="14">
        <v>4421.45</v>
      </c>
      <c r="C164" s="2">
        <f t="shared" si="8"/>
        <v>7.1777746392889252E-3</v>
      </c>
      <c r="D164">
        <f t="shared" si="9"/>
        <v>1</v>
      </c>
      <c r="E164">
        <v>0.24465793629646643</v>
      </c>
      <c r="F164">
        <f t="shared" si="10"/>
        <v>0</v>
      </c>
      <c r="G164" t="b">
        <f t="shared" si="11"/>
        <v>0</v>
      </c>
      <c r="H164">
        <v>0.50898845626745093</v>
      </c>
    </row>
    <row r="165" spans="1:8" x14ac:dyDescent="0.35">
      <c r="A165" s="13">
        <v>42606</v>
      </c>
      <c r="B165" s="14">
        <v>4435.47</v>
      </c>
      <c r="C165" s="2">
        <f t="shared" si="8"/>
        <v>3.1709054721869023E-3</v>
      </c>
      <c r="D165">
        <f t="shared" si="9"/>
        <v>1</v>
      </c>
      <c r="E165">
        <v>0.37293411326327147</v>
      </c>
      <c r="F165">
        <f t="shared" si="10"/>
        <v>0</v>
      </c>
      <c r="G165" t="b">
        <f t="shared" si="11"/>
        <v>0</v>
      </c>
      <c r="H165">
        <v>0.5089885520346823</v>
      </c>
    </row>
    <row r="166" spans="1:8" x14ac:dyDescent="0.35">
      <c r="A166" s="13">
        <v>42607</v>
      </c>
      <c r="B166" s="14">
        <v>4406.6099999999997</v>
      </c>
      <c r="C166" s="2">
        <f t="shared" si="8"/>
        <v>-6.5066385298515605E-3</v>
      </c>
      <c r="D166">
        <f t="shared" si="9"/>
        <v>0</v>
      </c>
      <c r="E166">
        <v>0.52995201315210494</v>
      </c>
      <c r="F166">
        <f t="shared" si="10"/>
        <v>1</v>
      </c>
      <c r="G166" t="b">
        <f t="shared" si="11"/>
        <v>0</v>
      </c>
      <c r="H166">
        <v>0.5089884646625602</v>
      </c>
    </row>
    <row r="167" spans="1:8" x14ac:dyDescent="0.35">
      <c r="A167" s="13">
        <v>42608</v>
      </c>
      <c r="B167" s="14">
        <v>4441.87</v>
      </c>
      <c r="C167" s="2">
        <f t="shared" si="8"/>
        <v>8.0016157545141908E-3</v>
      </c>
      <c r="D167">
        <f t="shared" si="9"/>
        <v>1</v>
      </c>
      <c r="E167">
        <v>0.38787850606615976</v>
      </c>
      <c r="F167">
        <f t="shared" si="10"/>
        <v>0</v>
      </c>
      <c r="G167" t="b">
        <f t="shared" si="11"/>
        <v>0</v>
      </c>
      <c r="H167">
        <v>0.50898856044239305</v>
      </c>
    </row>
    <row r="168" spans="1:8" x14ac:dyDescent="0.35">
      <c r="A168" s="13">
        <v>42611</v>
      </c>
      <c r="B168" s="14">
        <v>4424.25</v>
      </c>
      <c r="C168" s="2">
        <f t="shared" si="8"/>
        <v>-3.9667977676068888E-3</v>
      </c>
      <c r="D168">
        <f t="shared" si="9"/>
        <v>0</v>
      </c>
      <c r="E168">
        <v>0.54432697794662099</v>
      </c>
      <c r="F168">
        <f t="shared" si="10"/>
        <v>1</v>
      </c>
      <c r="G168" t="b">
        <f t="shared" si="11"/>
        <v>0</v>
      </c>
      <c r="H168">
        <v>0.50898847124529034</v>
      </c>
    </row>
    <row r="169" spans="1:8" x14ac:dyDescent="0.35">
      <c r="A169" s="13">
        <v>42612</v>
      </c>
      <c r="B169" s="14">
        <v>4457.49</v>
      </c>
      <c r="C169" s="2">
        <f t="shared" si="8"/>
        <v>7.5131378199695398E-3</v>
      </c>
      <c r="D169">
        <f t="shared" si="9"/>
        <v>1</v>
      </c>
      <c r="E169">
        <v>0.39852970489102735</v>
      </c>
      <c r="F169">
        <f t="shared" si="10"/>
        <v>0</v>
      </c>
      <c r="G169" t="b">
        <f t="shared" si="11"/>
        <v>0</v>
      </c>
      <c r="H169">
        <v>0.50898856552574867</v>
      </c>
    </row>
    <row r="170" spans="1:8" x14ac:dyDescent="0.35">
      <c r="A170" s="13">
        <v>42613</v>
      </c>
      <c r="B170" s="14">
        <v>4438.22</v>
      </c>
      <c r="C170" s="2">
        <f t="shared" si="8"/>
        <v>-4.3230607359746598E-3</v>
      </c>
      <c r="D170">
        <f t="shared" si="9"/>
        <v>0</v>
      </c>
      <c r="E170">
        <v>0.55414450118713621</v>
      </c>
      <c r="F170">
        <f t="shared" si="10"/>
        <v>1</v>
      </c>
      <c r="G170" t="b">
        <f t="shared" si="11"/>
        <v>0</v>
      </c>
      <c r="H170">
        <v>0.50898847619212262</v>
      </c>
    </row>
    <row r="171" spans="1:8" x14ac:dyDescent="0.35">
      <c r="A171" s="13">
        <v>42614</v>
      </c>
      <c r="B171" s="14">
        <v>4439.67</v>
      </c>
      <c r="C171" s="2">
        <f t="shared" si="8"/>
        <v>3.2670755392927298E-4</v>
      </c>
      <c r="D171">
        <f t="shared" si="9"/>
        <v>1</v>
      </c>
      <c r="E171">
        <v>0.40605701479734352</v>
      </c>
      <c r="F171">
        <f t="shared" si="10"/>
        <v>0</v>
      </c>
      <c r="G171" t="b">
        <f t="shared" si="11"/>
        <v>0</v>
      </c>
      <c r="H171">
        <v>0.50898856875724163</v>
      </c>
    </row>
    <row r="172" spans="1:8" x14ac:dyDescent="0.35">
      <c r="A172" s="13">
        <v>42615</v>
      </c>
      <c r="B172" s="14">
        <v>4542.17</v>
      </c>
      <c r="C172" s="2">
        <f t="shared" si="8"/>
        <v>2.3087301533672555E-2</v>
      </c>
      <c r="D172">
        <f t="shared" si="9"/>
        <v>1</v>
      </c>
      <c r="E172">
        <v>0.56087795275065966</v>
      </c>
      <c r="F172">
        <f t="shared" si="10"/>
        <v>1</v>
      </c>
      <c r="G172" t="b">
        <f t="shared" si="11"/>
        <v>1</v>
      </c>
      <c r="H172">
        <v>0.50898863678465112</v>
      </c>
    </row>
    <row r="173" spans="1:8" x14ac:dyDescent="0.35">
      <c r="A173" s="13">
        <v>42618</v>
      </c>
      <c r="B173" s="14">
        <v>4541.08</v>
      </c>
      <c r="C173" s="2">
        <f t="shared" si="8"/>
        <v>-2.3997340478232321E-4</v>
      </c>
      <c r="D173">
        <f t="shared" si="9"/>
        <v>0</v>
      </c>
      <c r="E173">
        <v>0.67203315452895263</v>
      </c>
      <c r="F173">
        <f t="shared" si="10"/>
        <v>1</v>
      </c>
      <c r="G173" t="b">
        <f t="shared" si="11"/>
        <v>0</v>
      </c>
      <c r="H173">
        <v>0.5089885432105884</v>
      </c>
    </row>
    <row r="174" spans="1:8" x14ac:dyDescent="0.35">
      <c r="A174" s="13">
        <v>42619</v>
      </c>
      <c r="B174" s="14">
        <v>4529.96</v>
      </c>
      <c r="C174" s="2">
        <f t="shared" si="8"/>
        <v>-2.4487566834321406E-3</v>
      </c>
      <c r="D174">
        <f t="shared" si="9"/>
        <v>0</v>
      </c>
      <c r="E174">
        <v>0.51746292519273207</v>
      </c>
      <c r="F174">
        <f t="shared" si="10"/>
        <v>1</v>
      </c>
      <c r="G174" t="b">
        <f t="shared" si="11"/>
        <v>0</v>
      </c>
      <c r="H174">
        <v>0.50898846020995547</v>
      </c>
    </row>
    <row r="175" spans="1:8" x14ac:dyDescent="0.35">
      <c r="A175" s="13">
        <v>42620</v>
      </c>
      <c r="B175" s="14">
        <v>4557.66</v>
      </c>
      <c r="C175" s="2">
        <f t="shared" si="8"/>
        <v>6.114844281185583E-3</v>
      </c>
      <c r="D175">
        <f t="shared" si="9"/>
        <v>1</v>
      </c>
      <c r="E175">
        <v>0.3789570448657068</v>
      </c>
      <c r="F175">
        <f t="shared" si="10"/>
        <v>0</v>
      </c>
      <c r="G175" t="b">
        <f t="shared" si="11"/>
        <v>0</v>
      </c>
      <c r="H175">
        <v>0.50898855435468704</v>
      </c>
    </row>
    <row r="176" spans="1:8" x14ac:dyDescent="0.35">
      <c r="A176" s="13">
        <v>42621</v>
      </c>
      <c r="B176" s="14">
        <v>4542.2</v>
      </c>
      <c r="C176" s="2">
        <f t="shared" si="8"/>
        <v>-3.392091555754484E-3</v>
      </c>
      <c r="D176">
        <f t="shared" si="9"/>
        <v>0</v>
      </c>
      <c r="E176">
        <v>0.53582676142917829</v>
      </c>
      <c r="F176">
        <f t="shared" si="10"/>
        <v>1</v>
      </c>
      <c r="G176" t="b">
        <f t="shared" si="11"/>
        <v>0</v>
      </c>
      <c r="H176">
        <v>0.50898846883876048</v>
      </c>
    </row>
    <row r="177" spans="1:8" x14ac:dyDescent="0.35">
      <c r="A177" s="13">
        <v>42622</v>
      </c>
      <c r="B177" s="14">
        <v>4491.3999999999996</v>
      </c>
      <c r="C177" s="2">
        <f t="shared" si="8"/>
        <v>-1.1184007749548752E-2</v>
      </c>
      <c r="D177">
        <f t="shared" si="9"/>
        <v>0</v>
      </c>
      <c r="E177">
        <v>0.3921849073849682</v>
      </c>
      <c r="F177">
        <f t="shared" si="10"/>
        <v>0</v>
      </c>
      <c r="G177" t="b">
        <f t="shared" si="11"/>
        <v>1</v>
      </c>
      <c r="H177">
        <v>0.50898840688917146</v>
      </c>
    </row>
    <row r="178" spans="1:8" x14ac:dyDescent="0.35">
      <c r="A178" s="13">
        <v>42625</v>
      </c>
      <c r="B178" s="14">
        <v>4439.8</v>
      </c>
      <c r="C178" s="2">
        <f t="shared" si="8"/>
        <v>-1.1488622701162132E-2</v>
      </c>
      <c r="D178">
        <f t="shared" si="9"/>
        <v>0</v>
      </c>
      <c r="E178">
        <v>0.30036821765149191</v>
      </c>
      <c r="F178">
        <f t="shared" si="10"/>
        <v>0</v>
      </c>
      <c r="G178" t="b">
        <f t="shared" si="11"/>
        <v>1</v>
      </c>
      <c r="H178">
        <v>0.50898836438150874</v>
      </c>
    </row>
    <row r="179" spans="1:8" x14ac:dyDescent="0.35">
      <c r="A179" s="13">
        <v>42626</v>
      </c>
      <c r="B179" s="14">
        <v>4387.18</v>
      </c>
      <c r="C179" s="2">
        <f t="shared" si="8"/>
        <v>-1.1851885220054981E-2</v>
      </c>
      <c r="D179">
        <f t="shared" si="9"/>
        <v>0</v>
      </c>
      <c r="E179">
        <v>0.24595552270712648</v>
      </c>
      <c r="F179">
        <f t="shared" si="10"/>
        <v>0</v>
      </c>
      <c r="G179" t="b">
        <f t="shared" si="11"/>
        <v>1</v>
      </c>
      <c r="H179">
        <v>0.50898833325888426</v>
      </c>
    </row>
    <row r="180" spans="1:8" x14ac:dyDescent="0.35">
      <c r="A180" s="13">
        <v>42627</v>
      </c>
      <c r="B180" s="14">
        <v>4370.26</v>
      </c>
      <c r="C180" s="2">
        <f t="shared" si="8"/>
        <v>-3.8566915421751613E-3</v>
      </c>
      <c r="D180">
        <f t="shared" si="9"/>
        <v>0</v>
      </c>
      <c r="E180">
        <v>0.21103656098347134</v>
      </c>
      <c r="F180">
        <f t="shared" si="10"/>
        <v>0</v>
      </c>
      <c r="G180" t="b">
        <f t="shared" si="11"/>
        <v>1</v>
      </c>
      <c r="H180">
        <v>0.50898830886909552</v>
      </c>
    </row>
    <row r="181" spans="1:8" x14ac:dyDescent="0.35">
      <c r="A181" s="13">
        <v>42628</v>
      </c>
      <c r="B181" s="14">
        <v>4373.22</v>
      </c>
      <c r="C181" s="2">
        <f t="shared" si="8"/>
        <v>6.7730524042053375E-4</v>
      </c>
      <c r="D181">
        <f t="shared" si="9"/>
        <v>1</v>
      </c>
      <c r="E181">
        <v>0.1867283168305971</v>
      </c>
      <c r="F181">
        <f t="shared" si="10"/>
        <v>0</v>
      </c>
      <c r="G181" t="b">
        <f t="shared" si="11"/>
        <v>0</v>
      </c>
      <c r="H181">
        <v>0.50898839382634598</v>
      </c>
    </row>
    <row r="182" spans="1:8" x14ac:dyDescent="0.35">
      <c r="A182" s="13">
        <v>42629</v>
      </c>
      <c r="B182" s="14">
        <v>4332.45</v>
      </c>
      <c r="C182" s="2">
        <f t="shared" si="8"/>
        <v>-9.3226501296528319E-3</v>
      </c>
      <c r="D182">
        <f t="shared" si="9"/>
        <v>0</v>
      </c>
      <c r="E182">
        <v>0.28202040511757254</v>
      </c>
      <c r="F182">
        <f t="shared" si="10"/>
        <v>0</v>
      </c>
      <c r="G182" t="b">
        <f t="shared" si="11"/>
        <v>1</v>
      </c>
      <c r="H182">
        <v>0.50898835415580135</v>
      </c>
    </row>
    <row r="183" spans="1:8" x14ac:dyDescent="0.35">
      <c r="A183" s="13">
        <v>42632</v>
      </c>
      <c r="B183" s="14">
        <v>4394.1899999999996</v>
      </c>
      <c r="C183" s="2">
        <f t="shared" si="8"/>
        <v>1.4250597237128959E-2</v>
      </c>
      <c r="D183">
        <f t="shared" si="9"/>
        <v>1</v>
      </c>
      <c r="E183">
        <v>0.23452028774372272</v>
      </c>
      <c r="F183">
        <f t="shared" si="10"/>
        <v>0</v>
      </c>
      <c r="G183" t="b">
        <f t="shared" si="11"/>
        <v>0</v>
      </c>
      <c r="H183">
        <v>0.50898844867550419</v>
      </c>
    </row>
    <row r="184" spans="1:8" x14ac:dyDescent="0.35">
      <c r="A184" s="13">
        <v>42633</v>
      </c>
      <c r="B184" s="14">
        <v>4388.6000000000004</v>
      </c>
      <c r="C184" s="2">
        <f t="shared" si="8"/>
        <v>-1.2721343410274644E-3</v>
      </c>
      <c r="D184">
        <f t="shared" si="9"/>
        <v>0</v>
      </c>
      <c r="E184">
        <v>0.3578076960387489</v>
      </c>
      <c r="F184">
        <f t="shared" si="10"/>
        <v>0</v>
      </c>
      <c r="G184" t="b">
        <f t="shared" si="11"/>
        <v>1</v>
      </c>
      <c r="H184">
        <v>0.50898839205265478</v>
      </c>
    </row>
    <row r="185" spans="1:8" x14ac:dyDescent="0.35">
      <c r="A185" s="13">
        <v>42634</v>
      </c>
      <c r="B185" s="14">
        <v>4409.55</v>
      </c>
      <c r="C185" s="2">
        <f t="shared" si="8"/>
        <v>4.7737319418492685E-3</v>
      </c>
      <c r="D185">
        <f t="shared" si="9"/>
        <v>1</v>
      </c>
      <c r="E185">
        <v>0.2802876220724575</v>
      </c>
      <c r="F185">
        <f t="shared" si="10"/>
        <v>0</v>
      </c>
      <c r="G185" t="b">
        <f t="shared" si="11"/>
        <v>0</v>
      </c>
      <c r="H185">
        <v>0.50898849097393828</v>
      </c>
    </row>
    <row r="186" spans="1:8" x14ac:dyDescent="0.35">
      <c r="A186" s="13">
        <v>42635</v>
      </c>
      <c r="B186" s="14">
        <v>4509.82</v>
      </c>
      <c r="C186" s="2">
        <f t="shared" si="8"/>
        <v>2.2739281786123167E-2</v>
      </c>
      <c r="D186">
        <f t="shared" si="9"/>
        <v>1</v>
      </c>
      <c r="E186">
        <v>0.42295427557187532</v>
      </c>
      <c r="F186">
        <f t="shared" si="10"/>
        <v>0</v>
      </c>
      <c r="G186" t="b">
        <f t="shared" si="11"/>
        <v>0</v>
      </c>
      <c r="H186">
        <v>0.50898858444167705</v>
      </c>
    </row>
    <row r="187" spans="1:8" x14ac:dyDescent="0.35">
      <c r="A187" s="13">
        <v>42636</v>
      </c>
      <c r="B187" s="14">
        <v>4488.6899999999996</v>
      </c>
      <c r="C187" s="2">
        <f t="shared" si="8"/>
        <v>-4.685331121862979E-3</v>
      </c>
      <c r="D187">
        <f t="shared" si="9"/>
        <v>0</v>
      </c>
      <c r="E187">
        <v>0.57540735732096771</v>
      </c>
      <c r="F187">
        <f t="shared" si="10"/>
        <v>1</v>
      </c>
      <c r="G187" t="b">
        <f t="shared" si="11"/>
        <v>0</v>
      </c>
      <c r="H187">
        <v>0.50898849213651631</v>
      </c>
    </row>
    <row r="188" spans="1:8" x14ac:dyDescent="0.35">
      <c r="A188" s="13">
        <v>42639</v>
      </c>
      <c r="B188" s="14">
        <v>4407.8500000000004</v>
      </c>
      <c r="C188" s="2">
        <f t="shared" si="8"/>
        <v>-1.8009708846010608E-2</v>
      </c>
      <c r="D188">
        <f t="shared" si="9"/>
        <v>0</v>
      </c>
      <c r="E188">
        <v>0.42313824774948477</v>
      </c>
      <c r="F188">
        <f t="shared" si="10"/>
        <v>0</v>
      </c>
      <c r="G188" t="b">
        <f t="shared" si="11"/>
        <v>1</v>
      </c>
      <c r="H188">
        <v>0.50898842385641385</v>
      </c>
    </row>
    <row r="189" spans="1:8" x14ac:dyDescent="0.35">
      <c r="A189" s="13">
        <v>42640</v>
      </c>
      <c r="B189" s="14">
        <v>4398.68</v>
      </c>
      <c r="C189" s="2">
        <f t="shared" si="8"/>
        <v>-2.08037932325289E-3</v>
      </c>
      <c r="D189">
        <f t="shared" si="9"/>
        <v>0</v>
      </c>
      <c r="E189">
        <v>0.31861262141575664</v>
      </c>
      <c r="F189">
        <f t="shared" si="10"/>
        <v>0</v>
      </c>
      <c r="G189" t="b">
        <f t="shared" si="11"/>
        <v>1</v>
      </c>
      <c r="H189">
        <v>0.50898837703368949</v>
      </c>
    </row>
    <row r="190" spans="1:8" x14ac:dyDescent="0.35">
      <c r="A190" s="13">
        <v>42641</v>
      </c>
      <c r="B190" s="14">
        <v>4432.45</v>
      </c>
      <c r="C190" s="2">
        <f t="shared" si="8"/>
        <v>7.6773031909571632E-3</v>
      </c>
      <c r="D190">
        <f t="shared" si="9"/>
        <v>1</v>
      </c>
      <c r="E190">
        <v>0.25705970360907598</v>
      </c>
      <c r="F190">
        <f t="shared" si="10"/>
        <v>0</v>
      </c>
      <c r="G190" t="b">
        <f t="shared" si="11"/>
        <v>0</v>
      </c>
      <c r="H190">
        <v>0.50898847172677497</v>
      </c>
    </row>
    <row r="191" spans="1:8" x14ac:dyDescent="0.35">
      <c r="A191" s="13">
        <v>42642</v>
      </c>
      <c r="B191" s="14">
        <v>4443.84</v>
      </c>
      <c r="C191" s="2">
        <f t="shared" si="8"/>
        <v>2.5696849372243147E-3</v>
      </c>
      <c r="D191">
        <f t="shared" si="9"/>
        <v>1</v>
      </c>
      <c r="E191">
        <v>0.39089530062221001</v>
      </c>
      <c r="F191">
        <f t="shared" si="10"/>
        <v>0</v>
      </c>
      <c r="G191" t="b">
        <f t="shared" si="11"/>
        <v>0</v>
      </c>
      <c r="H191">
        <v>0.5089885660243787</v>
      </c>
    </row>
    <row r="192" spans="1:8" x14ac:dyDescent="0.35">
      <c r="A192" s="13">
        <v>42643</v>
      </c>
      <c r="B192" s="14">
        <v>4448.26</v>
      </c>
      <c r="C192" s="2">
        <f t="shared" si="8"/>
        <v>9.9463527039689303E-4</v>
      </c>
      <c r="D192">
        <f t="shared" si="9"/>
        <v>1</v>
      </c>
      <c r="E192">
        <v>0.54713260881624859</v>
      </c>
      <c r="F192">
        <f t="shared" si="10"/>
        <v>1</v>
      </c>
      <c r="G192" t="b">
        <f t="shared" si="11"/>
        <v>1</v>
      </c>
      <c r="H192">
        <v>0.50898863599730704</v>
      </c>
    </row>
    <row r="193" spans="1:8" x14ac:dyDescent="0.35">
      <c r="A193" s="13">
        <v>42646</v>
      </c>
      <c r="B193" s="14">
        <v>4453.5600000000004</v>
      </c>
      <c r="C193" s="2">
        <f t="shared" si="8"/>
        <v>1.1914771168952676E-3</v>
      </c>
      <c r="D193">
        <f t="shared" si="9"/>
        <v>1</v>
      </c>
      <c r="E193">
        <v>0.66360586500347596</v>
      </c>
      <c r="F193">
        <f t="shared" si="10"/>
        <v>1</v>
      </c>
      <c r="G193" t="b">
        <f t="shared" si="11"/>
        <v>1</v>
      </c>
      <c r="H193">
        <v>0.50898868193509628</v>
      </c>
    </row>
    <row r="194" spans="1:8" x14ac:dyDescent="0.35">
      <c r="A194" s="13">
        <v>42647</v>
      </c>
      <c r="B194" s="14">
        <v>4503.09</v>
      </c>
      <c r="C194" s="2">
        <f t="shared" si="8"/>
        <v>1.112143992671033E-2</v>
      </c>
      <c r="D194">
        <f t="shared" si="9"/>
        <v>1</v>
      </c>
      <c r="E194">
        <v>0.73261220578381903</v>
      </c>
      <c r="F194">
        <f t="shared" si="10"/>
        <v>1</v>
      </c>
      <c r="G194" t="b">
        <f t="shared" si="11"/>
        <v>1</v>
      </c>
      <c r="H194">
        <v>0.50898871380369703</v>
      </c>
    </row>
    <row r="195" spans="1:8" x14ac:dyDescent="0.35">
      <c r="A195" s="13">
        <v>42648</v>
      </c>
      <c r="B195" s="14">
        <v>4489.95</v>
      </c>
      <c r="C195" s="2">
        <f t="shared" si="8"/>
        <v>-2.9179963092010874E-3</v>
      </c>
      <c r="D195">
        <f t="shared" si="9"/>
        <v>0</v>
      </c>
      <c r="E195">
        <v>0.77508118497350798</v>
      </c>
      <c r="F195">
        <f t="shared" si="10"/>
        <v>1</v>
      </c>
      <c r="G195" t="b">
        <f t="shared" si="11"/>
        <v>0</v>
      </c>
      <c r="H195">
        <v>0.50898862991885663</v>
      </c>
    </row>
    <row r="196" spans="1:8" x14ac:dyDescent="0.35">
      <c r="A196" s="13">
        <v>42649</v>
      </c>
      <c r="B196" s="14">
        <v>4480.1000000000004</v>
      </c>
      <c r="C196" s="2">
        <f t="shared" ref="C196:C259" si="12">(B196/B195)-1</f>
        <v>-2.1937883495360966E-3</v>
      </c>
      <c r="D196">
        <f t="shared" si="9"/>
        <v>0</v>
      </c>
      <c r="E196">
        <v>0.65604964957116063</v>
      </c>
      <c r="F196">
        <f t="shared" si="10"/>
        <v>1</v>
      </c>
      <c r="G196" t="b">
        <f t="shared" si="11"/>
        <v>0</v>
      </c>
      <c r="H196">
        <v>0.50898853431492141</v>
      </c>
    </row>
    <row r="197" spans="1:8" x14ac:dyDescent="0.35">
      <c r="A197" s="13">
        <v>42650</v>
      </c>
      <c r="B197" s="14">
        <v>4449.91</v>
      </c>
      <c r="C197" s="2">
        <f t="shared" si="12"/>
        <v>-6.7386888685521118E-3</v>
      </c>
      <c r="D197">
        <f t="shared" si="9"/>
        <v>0</v>
      </c>
      <c r="E197">
        <v>0.49968590955206155</v>
      </c>
      <c r="F197">
        <f t="shared" si="10"/>
        <v>0</v>
      </c>
      <c r="G197" t="b">
        <f t="shared" si="11"/>
        <v>1</v>
      </c>
      <c r="H197">
        <v>0.50898845174559759</v>
      </c>
    </row>
    <row r="198" spans="1:8" x14ac:dyDescent="0.35">
      <c r="A198" s="13">
        <v>42653</v>
      </c>
      <c r="B198" s="14">
        <v>4497.26</v>
      </c>
      <c r="C198" s="2">
        <f t="shared" si="12"/>
        <v>1.0640664642655784E-2</v>
      </c>
      <c r="D198">
        <f t="shared" ref="D198:D261" si="13">IF(C198&gt;=0,1,0)</f>
        <v>1</v>
      </c>
      <c r="E198">
        <v>0.36672961765996787</v>
      </c>
      <c r="F198">
        <f t="shared" si="10"/>
        <v>0</v>
      </c>
      <c r="G198" t="b">
        <f t="shared" si="11"/>
        <v>0</v>
      </c>
      <c r="H198">
        <v>0.50898854720028797</v>
      </c>
    </row>
    <row r="199" spans="1:8" x14ac:dyDescent="0.35">
      <c r="A199" s="13">
        <v>42654</v>
      </c>
      <c r="B199" s="14">
        <v>4471.74</v>
      </c>
      <c r="C199" s="2">
        <f t="shared" si="12"/>
        <v>-5.6745662914753359E-3</v>
      </c>
      <c r="D199">
        <f t="shared" si="13"/>
        <v>0</v>
      </c>
      <c r="E199">
        <v>0.52375339094635454</v>
      </c>
      <c r="F199">
        <f t="shared" si="10"/>
        <v>1</v>
      </c>
      <c r="G199" t="b">
        <f t="shared" si="11"/>
        <v>0</v>
      </c>
      <c r="H199">
        <v>0.50898846214744065</v>
      </c>
    </row>
    <row r="200" spans="1:8" x14ac:dyDescent="0.35">
      <c r="A200" s="13">
        <v>42655</v>
      </c>
      <c r="B200" s="14">
        <v>4452.24</v>
      </c>
      <c r="C200" s="2">
        <f t="shared" si="12"/>
        <v>-4.3607186464329484E-3</v>
      </c>
      <c r="D200">
        <f t="shared" si="13"/>
        <v>0</v>
      </c>
      <c r="E200">
        <v>0.38342479874926022</v>
      </c>
      <c r="F200">
        <f t="shared" si="10"/>
        <v>0</v>
      </c>
      <c r="G200" t="b">
        <f t="shared" si="11"/>
        <v>1</v>
      </c>
      <c r="H200">
        <v>0.50898840179857952</v>
      </c>
    </row>
    <row r="201" spans="1:8" x14ac:dyDescent="0.35">
      <c r="A201" s="13">
        <v>42656</v>
      </c>
      <c r="B201" s="14">
        <v>4405.17</v>
      </c>
      <c r="C201" s="2">
        <f t="shared" si="12"/>
        <v>-1.0572206350061952E-2</v>
      </c>
      <c r="D201">
        <f t="shared" si="13"/>
        <v>0</v>
      </c>
      <c r="E201">
        <v>0.29525526608821334</v>
      </c>
      <c r="F201">
        <f t="shared" ref="F201:F264" si="14">IF(E201&gt;=0.5,1,0)</f>
        <v>0</v>
      </c>
      <c r="G201" t="b">
        <f t="shared" ref="G201:G264" si="15">IF(D201=F201,TRUE,FALSE)</f>
        <v>1</v>
      </c>
      <c r="H201">
        <v>0.50898836024972416</v>
      </c>
    </row>
    <row r="202" spans="1:8" x14ac:dyDescent="0.35">
      <c r="A202" s="13">
        <v>42657</v>
      </c>
      <c r="B202" s="14">
        <v>4470.92</v>
      </c>
      <c r="C202" s="2">
        <f t="shared" si="12"/>
        <v>1.4925644186262854E-2</v>
      </c>
      <c r="D202">
        <f t="shared" si="13"/>
        <v>1</v>
      </c>
      <c r="E202">
        <v>0.24280169394570042</v>
      </c>
      <c r="F202">
        <f t="shared" si="14"/>
        <v>0</v>
      </c>
      <c r="G202" t="b">
        <f t="shared" si="15"/>
        <v>0</v>
      </c>
      <c r="H202">
        <v>0.50898845409630744</v>
      </c>
    </row>
    <row r="203" spans="1:8" x14ac:dyDescent="0.35">
      <c r="A203" s="13">
        <v>42660</v>
      </c>
      <c r="B203" s="14">
        <v>4450.2299999999996</v>
      </c>
      <c r="C203" s="2">
        <f t="shared" si="12"/>
        <v>-4.6276828930065239E-3</v>
      </c>
      <c r="D203">
        <f t="shared" si="13"/>
        <v>0</v>
      </c>
      <c r="E203">
        <v>0.3701771079588832</v>
      </c>
      <c r="F203">
        <f t="shared" si="14"/>
        <v>0</v>
      </c>
      <c r="G203" t="b">
        <f t="shared" si="15"/>
        <v>1</v>
      </c>
      <c r="H203">
        <v>0.50898839585250677</v>
      </c>
    </row>
    <row r="204" spans="1:8" x14ac:dyDescent="0.35">
      <c r="A204" s="13">
        <v>42661</v>
      </c>
      <c r="B204" s="14">
        <v>4508.91</v>
      </c>
      <c r="C204" s="2">
        <f t="shared" si="12"/>
        <v>1.3185835338847651E-2</v>
      </c>
      <c r="D204">
        <f t="shared" si="13"/>
        <v>1</v>
      </c>
      <c r="E204">
        <v>0.28752348416646478</v>
      </c>
      <c r="F204">
        <f t="shared" si="14"/>
        <v>0</v>
      </c>
      <c r="G204" t="b">
        <f t="shared" si="15"/>
        <v>0</v>
      </c>
      <c r="H204">
        <v>0.50898849364865761</v>
      </c>
    </row>
    <row r="205" spans="1:8" x14ac:dyDescent="0.35">
      <c r="A205" s="13">
        <v>42662</v>
      </c>
      <c r="B205" s="14">
        <v>4520.3</v>
      </c>
      <c r="C205" s="2">
        <f t="shared" si="12"/>
        <v>2.5261094144706231E-3</v>
      </c>
      <c r="D205">
        <f t="shared" si="13"/>
        <v>1</v>
      </c>
      <c r="E205">
        <v>0.43249484977606112</v>
      </c>
      <c r="F205">
        <f t="shared" si="14"/>
        <v>0</v>
      </c>
      <c r="G205" t="b">
        <f t="shared" si="15"/>
        <v>0</v>
      </c>
      <c r="H205">
        <v>0.5089885834655391</v>
      </c>
    </row>
    <row r="206" spans="1:8" x14ac:dyDescent="0.35">
      <c r="A206" s="13">
        <v>42663</v>
      </c>
      <c r="B206" s="14">
        <v>4540.12</v>
      </c>
      <c r="C206" s="2">
        <f t="shared" si="12"/>
        <v>4.3846647346414969E-3</v>
      </c>
      <c r="D206">
        <f t="shared" si="13"/>
        <v>1</v>
      </c>
      <c r="E206">
        <v>0.58327050827685045</v>
      </c>
      <c r="F206">
        <f t="shared" si="14"/>
        <v>1</v>
      </c>
      <c r="G206" t="b">
        <f t="shared" si="15"/>
        <v>1</v>
      </c>
      <c r="H206">
        <v>0.50898864713628345</v>
      </c>
    </row>
    <row r="207" spans="1:8" x14ac:dyDescent="0.35">
      <c r="A207" s="13">
        <v>42664</v>
      </c>
      <c r="B207" s="14">
        <v>4536.07</v>
      </c>
      <c r="C207" s="2">
        <f t="shared" si="12"/>
        <v>-8.92046906249222E-4</v>
      </c>
      <c r="D207">
        <f t="shared" si="13"/>
        <v>0</v>
      </c>
      <c r="E207">
        <v>0.68545660984151924</v>
      </c>
      <c r="F207">
        <f t="shared" si="14"/>
        <v>1</v>
      </c>
      <c r="G207" t="b">
        <f t="shared" si="15"/>
        <v>0</v>
      </c>
      <c r="H207">
        <v>0.50898855374538654</v>
      </c>
    </row>
    <row r="208" spans="1:8" x14ac:dyDescent="0.35">
      <c r="A208" s="13">
        <v>42667</v>
      </c>
      <c r="B208" s="14">
        <v>4552.58</v>
      </c>
      <c r="C208" s="2">
        <f t="shared" si="12"/>
        <v>3.6397145546696041E-3</v>
      </c>
      <c r="D208">
        <f t="shared" si="13"/>
        <v>1</v>
      </c>
      <c r="E208">
        <v>0.53316061122348146</v>
      </c>
      <c r="F208">
        <f t="shared" si="14"/>
        <v>1</v>
      </c>
      <c r="G208" t="b">
        <f t="shared" si="15"/>
        <v>1</v>
      </c>
      <c r="H208">
        <v>0.50898862793592159</v>
      </c>
    </row>
    <row r="209" spans="1:8" x14ac:dyDescent="0.35">
      <c r="A209" s="13">
        <v>42668</v>
      </c>
      <c r="B209" s="14">
        <v>4540.84</v>
      </c>
      <c r="C209" s="2">
        <f t="shared" si="12"/>
        <v>-2.5787575396807316E-3</v>
      </c>
      <c r="D209">
        <f t="shared" si="13"/>
        <v>0</v>
      </c>
      <c r="E209">
        <v>0.65486088828855815</v>
      </c>
      <c r="F209">
        <f t="shared" si="14"/>
        <v>1</v>
      </c>
      <c r="G209" t="b">
        <f t="shared" si="15"/>
        <v>0</v>
      </c>
      <c r="H209">
        <v>0.50898853383199427</v>
      </c>
    </row>
    <row r="210" spans="1:8" x14ac:dyDescent="0.35">
      <c r="A210" s="13">
        <v>42669</v>
      </c>
      <c r="B210" s="14">
        <v>4534.59</v>
      </c>
      <c r="C210" s="2">
        <f t="shared" si="12"/>
        <v>-1.3763973185577649E-3</v>
      </c>
      <c r="D210">
        <f t="shared" si="13"/>
        <v>0</v>
      </c>
      <c r="E210">
        <v>0.49840654679135754</v>
      </c>
      <c r="F210">
        <f t="shared" si="14"/>
        <v>0</v>
      </c>
      <c r="G210" t="b">
        <f t="shared" si="15"/>
        <v>1</v>
      </c>
      <c r="H210">
        <v>0.50898845226305078</v>
      </c>
    </row>
    <row r="211" spans="1:8" x14ac:dyDescent="0.35">
      <c r="A211" s="13">
        <v>42670</v>
      </c>
      <c r="B211" s="14">
        <v>4533.57</v>
      </c>
      <c r="C211" s="2">
        <f t="shared" si="12"/>
        <v>-2.2493764596143162E-4</v>
      </c>
      <c r="D211">
        <f t="shared" si="13"/>
        <v>0</v>
      </c>
      <c r="E211">
        <v>0.36587349655173962</v>
      </c>
      <c r="F211">
        <f t="shared" si="14"/>
        <v>0</v>
      </c>
      <c r="G211" t="b">
        <f t="shared" si="15"/>
        <v>1</v>
      </c>
      <c r="H211">
        <v>0.50898839638279536</v>
      </c>
    </row>
    <row r="212" spans="1:8" x14ac:dyDescent="0.35">
      <c r="A212" s="13">
        <v>42671</v>
      </c>
      <c r="B212" s="14">
        <v>4548.58</v>
      </c>
      <c r="C212" s="2">
        <f t="shared" si="12"/>
        <v>3.3108565655763922E-3</v>
      </c>
      <c r="D212">
        <f t="shared" si="13"/>
        <v>1</v>
      </c>
      <c r="E212">
        <v>0.28501186558245489</v>
      </c>
      <c r="F212">
        <f t="shared" si="14"/>
        <v>0</v>
      </c>
      <c r="G212" t="b">
        <f t="shared" si="15"/>
        <v>0</v>
      </c>
      <c r="H212">
        <v>0.50898849256167578</v>
      </c>
    </row>
    <row r="213" spans="1:8" x14ac:dyDescent="0.35">
      <c r="A213" s="13">
        <v>42674</v>
      </c>
      <c r="B213" s="14">
        <v>4509.26</v>
      </c>
      <c r="C213" s="2">
        <f t="shared" si="12"/>
        <v>-8.6444560720048136E-3</v>
      </c>
      <c r="D213">
        <f t="shared" si="13"/>
        <v>0</v>
      </c>
      <c r="E213">
        <v>0.42919961005351842</v>
      </c>
      <c r="F213">
        <f t="shared" si="14"/>
        <v>0</v>
      </c>
      <c r="G213" t="b">
        <f t="shared" si="15"/>
        <v>1</v>
      </c>
      <c r="H213">
        <v>0.50898842351902962</v>
      </c>
    </row>
    <row r="214" spans="1:8" x14ac:dyDescent="0.35">
      <c r="A214" s="13">
        <v>42675</v>
      </c>
      <c r="B214" s="14">
        <v>4470.28</v>
      </c>
      <c r="C214" s="2">
        <f t="shared" si="12"/>
        <v>-8.6444338982450963E-3</v>
      </c>
      <c r="D214">
        <f t="shared" si="13"/>
        <v>0</v>
      </c>
      <c r="E214">
        <v>0.32224124544781463</v>
      </c>
      <c r="F214">
        <f t="shared" si="14"/>
        <v>0</v>
      </c>
      <c r="G214" t="b">
        <f t="shared" si="15"/>
        <v>1</v>
      </c>
      <c r="H214">
        <v>0.50898837592953494</v>
      </c>
    </row>
    <row r="215" spans="1:8" x14ac:dyDescent="0.35">
      <c r="A215" s="13">
        <v>42676</v>
      </c>
      <c r="B215" s="14">
        <v>4414.67</v>
      </c>
      <c r="C215" s="2">
        <f t="shared" si="12"/>
        <v>-1.2439936648263594E-2</v>
      </c>
      <c r="D215">
        <f t="shared" si="13"/>
        <v>0</v>
      </c>
      <c r="E215">
        <v>0.25924575801314936</v>
      </c>
      <c r="F215">
        <f t="shared" si="14"/>
        <v>0</v>
      </c>
      <c r="G215" t="b">
        <f t="shared" si="15"/>
        <v>1</v>
      </c>
      <c r="H215">
        <v>0.50898834164474027</v>
      </c>
    </row>
    <row r="216" spans="1:8" x14ac:dyDescent="0.35">
      <c r="A216" s="13">
        <v>42677</v>
      </c>
      <c r="B216" s="14">
        <v>4411.68</v>
      </c>
      <c r="C216" s="2">
        <f t="shared" si="12"/>
        <v>-6.7728731705873901E-4</v>
      </c>
      <c r="D216">
        <f t="shared" si="13"/>
        <v>0</v>
      </c>
      <c r="E216">
        <v>0.21986757084896044</v>
      </c>
      <c r="F216">
        <f t="shared" si="14"/>
        <v>0</v>
      </c>
      <c r="G216" t="b">
        <f t="shared" si="15"/>
        <v>1</v>
      </c>
      <c r="H216">
        <v>0.50898831512096865</v>
      </c>
    </row>
    <row r="217" spans="1:8" x14ac:dyDescent="0.35">
      <c r="A217" s="13">
        <v>42678</v>
      </c>
      <c r="B217" s="14">
        <v>4377.46</v>
      </c>
      <c r="C217" s="2">
        <f t="shared" si="12"/>
        <v>-7.7566822616328412E-3</v>
      </c>
      <c r="D217">
        <f t="shared" si="13"/>
        <v>0</v>
      </c>
      <c r="E217">
        <v>0.19304215742522407</v>
      </c>
      <c r="F217">
        <f t="shared" si="14"/>
        <v>0</v>
      </c>
      <c r="G217" t="b">
        <f t="shared" si="15"/>
        <v>1</v>
      </c>
      <c r="H217">
        <v>0.50898829375389676</v>
      </c>
    </row>
    <row r="218" spans="1:8" x14ac:dyDescent="0.35">
      <c r="A218" s="13">
        <v>42681</v>
      </c>
      <c r="B218" s="14">
        <v>4461.21</v>
      </c>
      <c r="C218" s="2">
        <f t="shared" si="12"/>
        <v>1.9132099436659722E-2</v>
      </c>
      <c r="D218">
        <f t="shared" si="13"/>
        <v>1</v>
      </c>
      <c r="E218">
        <v>0.17350294543979583</v>
      </c>
      <c r="F218">
        <f t="shared" si="14"/>
        <v>0</v>
      </c>
      <c r="G218" t="b">
        <f t="shared" si="15"/>
        <v>0</v>
      </c>
      <c r="H218">
        <v>0.50898837707520395</v>
      </c>
    </row>
    <row r="219" spans="1:8" x14ac:dyDescent="0.35">
      <c r="A219" s="13">
        <v>42682</v>
      </c>
      <c r="B219" s="14">
        <v>4476.8900000000003</v>
      </c>
      <c r="C219" s="2">
        <f t="shared" si="12"/>
        <v>3.5147415163152562E-3</v>
      </c>
      <c r="D219">
        <f t="shared" si="13"/>
        <v>1</v>
      </c>
      <c r="E219">
        <v>0.26000194889677242</v>
      </c>
      <c r="F219">
        <f t="shared" si="14"/>
        <v>0</v>
      </c>
      <c r="G219" t="b">
        <f t="shared" si="15"/>
        <v>0</v>
      </c>
      <c r="H219">
        <v>0.50898847373878398</v>
      </c>
    </row>
    <row r="220" spans="1:8" x14ac:dyDescent="0.35">
      <c r="A220" s="13">
        <v>42683</v>
      </c>
      <c r="B220" s="14">
        <v>4543.4799999999996</v>
      </c>
      <c r="C220" s="2">
        <f t="shared" si="12"/>
        <v>1.4874164877850315E-2</v>
      </c>
      <c r="D220">
        <f t="shared" si="13"/>
        <v>1</v>
      </c>
      <c r="E220">
        <v>0.39506069652106202</v>
      </c>
      <c r="F220">
        <f t="shared" si="14"/>
        <v>0</v>
      </c>
      <c r="G220" t="b">
        <f t="shared" si="15"/>
        <v>0</v>
      </c>
      <c r="H220">
        <v>0.50898856839297935</v>
      </c>
    </row>
    <row r="221" spans="1:8" x14ac:dyDescent="0.35">
      <c r="A221" s="13">
        <v>42684</v>
      </c>
      <c r="B221" s="14">
        <v>4530.95</v>
      </c>
      <c r="C221" s="2">
        <f t="shared" si="12"/>
        <v>-2.757797987445687E-3</v>
      </c>
      <c r="D221">
        <f t="shared" si="13"/>
        <v>0</v>
      </c>
      <c r="E221">
        <v>0.55096356677443281</v>
      </c>
      <c r="F221">
        <f t="shared" si="14"/>
        <v>1</v>
      </c>
      <c r="G221" t="b">
        <f t="shared" si="15"/>
        <v>0</v>
      </c>
      <c r="H221">
        <v>0.50898847881417897</v>
      </c>
    </row>
    <row r="222" spans="1:8" x14ac:dyDescent="0.35">
      <c r="A222" s="13">
        <v>42685</v>
      </c>
      <c r="B222" s="14">
        <v>4489.2700000000004</v>
      </c>
      <c r="C222" s="2">
        <f t="shared" si="12"/>
        <v>-9.1989538617728295E-3</v>
      </c>
      <c r="D222">
        <f t="shared" si="13"/>
        <v>0</v>
      </c>
      <c r="E222">
        <v>0.40361343604116579</v>
      </c>
      <c r="F222">
        <f t="shared" si="14"/>
        <v>0</v>
      </c>
      <c r="G222" t="b">
        <f t="shared" si="15"/>
        <v>1</v>
      </c>
      <c r="H222">
        <v>0.50898841328114797</v>
      </c>
    </row>
    <row r="223" spans="1:8" x14ac:dyDescent="0.35">
      <c r="A223" s="13">
        <v>42688</v>
      </c>
      <c r="B223" s="14">
        <v>4508.55</v>
      </c>
      <c r="C223" s="2">
        <f t="shared" si="12"/>
        <v>4.294684881951838E-3</v>
      </c>
      <c r="D223">
        <f t="shared" si="13"/>
        <v>1</v>
      </c>
      <c r="E223">
        <v>0.30707672556783455</v>
      </c>
      <c r="F223">
        <f t="shared" si="14"/>
        <v>0</v>
      </c>
      <c r="G223" t="b">
        <f t="shared" si="15"/>
        <v>0</v>
      </c>
      <c r="H223">
        <v>0.50898851160374714</v>
      </c>
    </row>
    <row r="224" spans="1:8" x14ac:dyDescent="0.35">
      <c r="A224" s="13">
        <v>42689</v>
      </c>
      <c r="B224" s="14">
        <v>4536.53</v>
      </c>
      <c r="C224" s="2">
        <f t="shared" si="12"/>
        <v>6.2059864036108081E-3</v>
      </c>
      <c r="D224">
        <f t="shared" si="13"/>
        <v>1</v>
      </c>
      <c r="E224">
        <v>0.4572494797831525</v>
      </c>
      <c r="F224">
        <f t="shared" si="14"/>
        <v>0</v>
      </c>
      <c r="G224" t="b">
        <f t="shared" si="15"/>
        <v>0</v>
      </c>
      <c r="H224">
        <v>0.50898859917447425</v>
      </c>
    </row>
    <row r="225" spans="1:8" x14ac:dyDescent="0.35">
      <c r="A225" s="13">
        <v>42690</v>
      </c>
      <c r="B225" s="14">
        <v>4501.1400000000003</v>
      </c>
      <c r="C225" s="2">
        <f t="shared" si="12"/>
        <v>-7.8011167125533465E-3</v>
      </c>
      <c r="D225">
        <f t="shared" si="13"/>
        <v>0</v>
      </c>
      <c r="E225">
        <v>0.60265791319378192</v>
      </c>
      <c r="F225">
        <f t="shared" si="14"/>
        <v>1</v>
      </c>
      <c r="G225" t="b">
        <f t="shared" si="15"/>
        <v>0</v>
      </c>
      <c r="H225">
        <v>0.50898850705808252</v>
      </c>
    </row>
    <row r="226" spans="1:8" x14ac:dyDescent="0.35">
      <c r="A226" s="13">
        <v>42691</v>
      </c>
      <c r="B226" s="14">
        <v>4527.7700000000004</v>
      </c>
      <c r="C226" s="2">
        <f t="shared" si="12"/>
        <v>5.9162789871010091E-3</v>
      </c>
      <c r="D226">
        <f t="shared" si="13"/>
        <v>1</v>
      </c>
      <c r="E226">
        <v>0.44676937746401163</v>
      </c>
      <c r="F226">
        <f t="shared" si="14"/>
        <v>0</v>
      </c>
      <c r="G226" t="b">
        <f t="shared" si="15"/>
        <v>0</v>
      </c>
      <c r="H226">
        <v>0.50898859398051033</v>
      </c>
    </row>
    <row r="227" spans="1:8" x14ac:dyDescent="0.35">
      <c r="A227" s="13">
        <v>42692</v>
      </c>
      <c r="B227" s="14">
        <v>4504.3500000000004</v>
      </c>
      <c r="C227" s="2">
        <f t="shared" si="12"/>
        <v>-5.1725242227410595E-3</v>
      </c>
      <c r="D227">
        <f t="shared" si="13"/>
        <v>0</v>
      </c>
      <c r="E227">
        <v>0.59461868956111785</v>
      </c>
      <c r="F227">
        <f t="shared" si="14"/>
        <v>1</v>
      </c>
      <c r="G227" t="b">
        <f t="shared" si="15"/>
        <v>0</v>
      </c>
      <c r="H227">
        <v>0.5089885033240783</v>
      </c>
    </row>
    <row r="228" spans="1:8" x14ac:dyDescent="0.35">
      <c r="A228" s="13">
        <v>42695</v>
      </c>
      <c r="B228" s="14">
        <v>4529.58</v>
      </c>
      <c r="C228" s="2">
        <f t="shared" si="12"/>
        <v>5.6012521229478196E-3</v>
      </c>
      <c r="D228">
        <f t="shared" si="13"/>
        <v>1</v>
      </c>
      <c r="E228">
        <v>0.43958607665538496</v>
      </c>
      <c r="F228">
        <f t="shared" si="14"/>
        <v>0</v>
      </c>
      <c r="G228" t="b">
        <f t="shared" si="15"/>
        <v>0</v>
      </c>
      <c r="H228">
        <v>0.50898859175984534</v>
      </c>
    </row>
    <row r="229" spans="1:8" x14ac:dyDescent="0.35">
      <c r="A229" s="13">
        <v>42696</v>
      </c>
      <c r="B229" s="14">
        <v>4548.3500000000004</v>
      </c>
      <c r="C229" s="2">
        <f t="shared" si="12"/>
        <v>4.1438720587780864E-3</v>
      </c>
      <c r="D229">
        <f t="shared" si="13"/>
        <v>1</v>
      </c>
      <c r="E229">
        <v>0.58896369872862453</v>
      </c>
      <c r="F229">
        <f t="shared" si="14"/>
        <v>1</v>
      </c>
      <c r="G229" t="b">
        <f t="shared" si="15"/>
        <v>1</v>
      </c>
      <c r="H229">
        <v>0.50898865456986908</v>
      </c>
    </row>
    <row r="230" spans="1:8" x14ac:dyDescent="0.35">
      <c r="A230" s="13">
        <v>42697</v>
      </c>
      <c r="B230" s="14">
        <v>4529.21</v>
      </c>
      <c r="C230" s="2">
        <f t="shared" si="12"/>
        <v>-4.2081194279245393E-3</v>
      </c>
      <c r="D230">
        <f t="shared" si="13"/>
        <v>0</v>
      </c>
      <c r="E230">
        <v>0.68882277121398505</v>
      </c>
      <c r="F230">
        <f t="shared" si="14"/>
        <v>1</v>
      </c>
      <c r="G230" t="b">
        <f t="shared" si="15"/>
        <v>0</v>
      </c>
      <c r="H230">
        <v>0.50898856014952687</v>
      </c>
    </row>
    <row r="231" spans="1:8" x14ac:dyDescent="0.35">
      <c r="A231" s="13">
        <v>42698</v>
      </c>
      <c r="B231" s="14">
        <v>4542.5600000000004</v>
      </c>
      <c r="C231" s="2">
        <f t="shared" si="12"/>
        <v>2.9475338966398201E-3</v>
      </c>
      <c r="D231">
        <f t="shared" si="13"/>
        <v>1</v>
      </c>
      <c r="E231">
        <v>0.53721261103934137</v>
      </c>
      <c r="F231">
        <f t="shared" si="14"/>
        <v>1</v>
      </c>
      <c r="G231" t="b">
        <f t="shared" si="15"/>
        <v>1</v>
      </c>
      <c r="H231">
        <v>0.50898863326545252</v>
      </c>
    </row>
    <row r="232" spans="1:8" x14ac:dyDescent="0.35">
      <c r="A232" s="13">
        <v>42699</v>
      </c>
      <c r="B232" s="14">
        <v>4550.2700000000004</v>
      </c>
      <c r="C232" s="2">
        <f t="shared" si="12"/>
        <v>1.6972808284314578E-3</v>
      </c>
      <c r="D232">
        <f t="shared" si="13"/>
        <v>1</v>
      </c>
      <c r="E232">
        <v>0.65740962317673091</v>
      </c>
      <c r="F232">
        <f t="shared" si="14"/>
        <v>1</v>
      </c>
      <c r="G232" t="b">
        <f t="shared" si="15"/>
        <v>1</v>
      </c>
      <c r="H232">
        <v>0.50898868142571951</v>
      </c>
    </row>
    <row r="233" spans="1:8" x14ac:dyDescent="0.35">
      <c r="A233" s="13">
        <v>42702</v>
      </c>
      <c r="B233" s="14">
        <v>4510.3900000000003</v>
      </c>
      <c r="C233" s="2">
        <f t="shared" si="12"/>
        <v>-8.7643150845994056E-3</v>
      </c>
      <c r="D233">
        <f t="shared" si="13"/>
        <v>0</v>
      </c>
      <c r="E233">
        <v>0.72894225903512655</v>
      </c>
      <c r="F233">
        <f t="shared" si="14"/>
        <v>1</v>
      </c>
      <c r="G233" t="b">
        <f t="shared" si="15"/>
        <v>0</v>
      </c>
      <c r="H233">
        <v>0.50898859082356451</v>
      </c>
    </row>
    <row r="234" spans="1:8" x14ac:dyDescent="0.35">
      <c r="A234" s="13">
        <v>42703</v>
      </c>
      <c r="B234" s="14">
        <v>4551.46</v>
      </c>
      <c r="C234" s="2">
        <f t="shared" si="12"/>
        <v>9.1056427492965941E-3</v>
      </c>
      <c r="D234">
        <f t="shared" si="13"/>
        <v>1</v>
      </c>
      <c r="E234">
        <v>0.58886020168443542</v>
      </c>
      <c r="F234">
        <f t="shared" si="14"/>
        <v>1</v>
      </c>
      <c r="G234" t="b">
        <f t="shared" si="15"/>
        <v>1</v>
      </c>
      <c r="H234">
        <v>0.50898865411299032</v>
      </c>
    </row>
    <row r="235" spans="1:8" x14ac:dyDescent="0.35">
      <c r="A235" s="13">
        <v>42704</v>
      </c>
      <c r="B235" s="14">
        <v>4578.34</v>
      </c>
      <c r="C235" s="2">
        <f t="shared" si="12"/>
        <v>5.9057972606593179E-3</v>
      </c>
      <c r="D235">
        <f t="shared" si="13"/>
        <v>1</v>
      </c>
      <c r="E235">
        <v>0.68876050495303365</v>
      </c>
      <c r="F235">
        <f t="shared" si="14"/>
        <v>1</v>
      </c>
      <c r="G235" t="b">
        <f t="shared" si="15"/>
        <v>1</v>
      </c>
      <c r="H235">
        <v>0.50898869551737225</v>
      </c>
    </row>
    <row r="236" spans="1:8" x14ac:dyDescent="0.35">
      <c r="A236" s="13">
        <v>42705</v>
      </c>
      <c r="B236" s="14">
        <v>4560.6099999999997</v>
      </c>
      <c r="C236" s="2">
        <f t="shared" si="12"/>
        <v>-3.8725826391226015E-3</v>
      </c>
      <c r="D236">
        <f t="shared" si="13"/>
        <v>0</v>
      </c>
      <c r="E236">
        <v>0.74767639768272165</v>
      </c>
      <c r="F236">
        <f t="shared" si="14"/>
        <v>1</v>
      </c>
      <c r="G236" t="b">
        <f t="shared" si="15"/>
        <v>0</v>
      </c>
      <c r="H236">
        <v>0.50898860720901573</v>
      </c>
    </row>
    <row r="237" spans="1:8" x14ac:dyDescent="0.35">
      <c r="A237" s="13">
        <v>42706</v>
      </c>
      <c r="B237" s="14">
        <v>4528.82</v>
      </c>
      <c r="C237" s="2">
        <f t="shared" si="12"/>
        <v>-6.9705587629724786E-3</v>
      </c>
      <c r="D237">
        <f t="shared" si="13"/>
        <v>0</v>
      </c>
      <c r="E237">
        <v>0.61517131383174661</v>
      </c>
      <c r="F237">
        <f t="shared" si="14"/>
        <v>1</v>
      </c>
      <c r="G237" t="b">
        <f t="shared" si="15"/>
        <v>0</v>
      </c>
      <c r="H237">
        <v>0.50898851361773767</v>
      </c>
    </row>
    <row r="238" spans="1:8" x14ac:dyDescent="0.35">
      <c r="A238" s="13">
        <v>42709</v>
      </c>
      <c r="B238" s="14">
        <v>4574.32</v>
      </c>
      <c r="C238" s="2">
        <f t="shared" si="12"/>
        <v>1.0046767149058722E-2</v>
      </c>
      <c r="D238">
        <f t="shared" si="13"/>
        <v>1</v>
      </c>
      <c r="E238">
        <v>0.45834281873773952</v>
      </c>
      <c r="F238">
        <f t="shared" si="14"/>
        <v>0</v>
      </c>
      <c r="G238" t="b">
        <f t="shared" si="15"/>
        <v>0</v>
      </c>
      <c r="H238">
        <v>0.50898860016921832</v>
      </c>
    </row>
    <row r="239" spans="1:8" x14ac:dyDescent="0.35">
      <c r="A239" s="13">
        <v>42710</v>
      </c>
      <c r="B239" s="14">
        <v>4631.9399999999996</v>
      </c>
      <c r="C239" s="2">
        <f t="shared" si="12"/>
        <v>1.2596407772084151E-2</v>
      </c>
      <c r="D239">
        <f t="shared" si="13"/>
        <v>1</v>
      </c>
      <c r="E239">
        <v>0.60347698418682094</v>
      </c>
      <c r="F239">
        <f t="shared" si="14"/>
        <v>1</v>
      </c>
      <c r="G239" t="b">
        <f t="shared" si="15"/>
        <v>1</v>
      </c>
      <c r="H239">
        <v>0.50898866019587807</v>
      </c>
    </row>
    <row r="240" spans="1:8" x14ac:dyDescent="0.35">
      <c r="A240" s="13">
        <v>42711</v>
      </c>
      <c r="B240" s="14">
        <v>4694.72</v>
      </c>
      <c r="C240" s="2">
        <f t="shared" si="12"/>
        <v>1.355371615349088E-2</v>
      </c>
      <c r="D240">
        <f t="shared" si="13"/>
        <v>1</v>
      </c>
      <c r="E240">
        <v>0.6973613770564534</v>
      </c>
      <c r="F240">
        <f t="shared" si="14"/>
        <v>1</v>
      </c>
      <c r="G240" t="b">
        <f t="shared" si="15"/>
        <v>1</v>
      </c>
      <c r="H240">
        <v>0.50898869972001604</v>
      </c>
    </row>
    <row r="241" spans="1:8" x14ac:dyDescent="0.35">
      <c r="A241" s="13">
        <v>42712</v>
      </c>
      <c r="B241" s="14">
        <v>4735.4799999999996</v>
      </c>
      <c r="C241" s="2">
        <f t="shared" si="12"/>
        <v>8.6820939267941988E-3</v>
      </c>
      <c r="D241">
        <f t="shared" si="13"/>
        <v>1</v>
      </c>
      <c r="E241">
        <v>0.75292048476145224</v>
      </c>
      <c r="F241">
        <f t="shared" si="14"/>
        <v>1</v>
      </c>
      <c r="G241" t="b">
        <f t="shared" si="15"/>
        <v>1</v>
      </c>
      <c r="H241">
        <v>0.50898872749223645</v>
      </c>
    </row>
    <row r="242" spans="1:8" x14ac:dyDescent="0.35">
      <c r="A242" s="13">
        <v>42713</v>
      </c>
      <c r="B242" s="14">
        <v>4764.07</v>
      </c>
      <c r="C242" s="2">
        <f t="shared" si="12"/>
        <v>6.0374027553702359E-3</v>
      </c>
      <c r="D242">
        <f t="shared" si="13"/>
        <v>1</v>
      </c>
      <c r="E242">
        <v>0.78843313001934856</v>
      </c>
      <c r="F242">
        <f t="shared" si="14"/>
        <v>1</v>
      </c>
      <c r="G242" t="b">
        <f t="shared" si="15"/>
        <v>1</v>
      </c>
      <c r="H242">
        <v>0.50898874853066389</v>
      </c>
    </row>
    <row r="243" spans="1:8" x14ac:dyDescent="0.35">
      <c r="A243" s="13">
        <v>42716</v>
      </c>
      <c r="B243" s="14">
        <v>4760.7700000000004</v>
      </c>
      <c r="C243" s="2">
        <f t="shared" si="12"/>
        <v>-6.9268503611397136E-4</v>
      </c>
      <c r="D243">
        <f t="shared" si="13"/>
        <v>0</v>
      </c>
      <c r="E243">
        <v>0.81307226561919266</v>
      </c>
      <c r="F243">
        <f t="shared" si="14"/>
        <v>1</v>
      </c>
      <c r="G243" t="b">
        <f t="shared" si="15"/>
        <v>0</v>
      </c>
      <c r="H243">
        <v>0.50898867443098372</v>
      </c>
    </row>
    <row r="244" spans="1:8" x14ac:dyDescent="0.35">
      <c r="A244" s="13">
        <v>42717</v>
      </c>
      <c r="B244" s="14">
        <v>4803.87</v>
      </c>
      <c r="C244" s="2">
        <f t="shared" si="12"/>
        <v>9.0531573674006438E-3</v>
      </c>
      <c r="D244">
        <f t="shared" si="13"/>
        <v>1</v>
      </c>
      <c r="E244">
        <v>0.71684555511861714</v>
      </c>
      <c r="F244">
        <f t="shared" si="14"/>
        <v>1</v>
      </c>
      <c r="G244" t="b">
        <f t="shared" si="15"/>
        <v>1</v>
      </c>
      <c r="H244">
        <v>0.50898870936126284</v>
      </c>
    </row>
    <row r="245" spans="1:8" x14ac:dyDescent="0.35">
      <c r="A245" s="13">
        <v>42718</v>
      </c>
      <c r="B245" s="14">
        <v>4769.24</v>
      </c>
      <c r="C245" s="2">
        <f t="shared" si="12"/>
        <v>-7.2087712615037658E-3</v>
      </c>
      <c r="D245">
        <f t="shared" si="13"/>
        <v>0</v>
      </c>
      <c r="E245">
        <v>0.76502214080004216</v>
      </c>
      <c r="F245">
        <f t="shared" si="14"/>
        <v>1</v>
      </c>
      <c r="G245" t="b">
        <f t="shared" si="15"/>
        <v>0</v>
      </c>
      <c r="H245">
        <v>0.50898862491175445</v>
      </c>
    </row>
    <row r="246" spans="1:8" x14ac:dyDescent="0.35">
      <c r="A246" s="13">
        <v>42719</v>
      </c>
      <c r="B246" s="14">
        <v>4819.2299999999996</v>
      </c>
      <c r="C246" s="2">
        <f t="shared" si="12"/>
        <v>1.0481753906282698E-2</v>
      </c>
      <c r="D246">
        <f t="shared" si="13"/>
        <v>1</v>
      </c>
      <c r="E246">
        <v>0.64073674761429367</v>
      </c>
      <c r="F246">
        <f t="shared" si="14"/>
        <v>1</v>
      </c>
      <c r="G246" t="b">
        <f t="shared" si="15"/>
        <v>1</v>
      </c>
      <c r="H246">
        <v>0.5089886753309234</v>
      </c>
    </row>
    <row r="247" spans="1:8" x14ac:dyDescent="0.35">
      <c r="A247" s="13">
        <v>42720</v>
      </c>
      <c r="B247" s="14">
        <v>4833.2700000000004</v>
      </c>
      <c r="C247" s="2">
        <f t="shared" si="12"/>
        <v>2.9133284777860258E-3</v>
      </c>
      <c r="D247">
        <f t="shared" si="13"/>
        <v>1</v>
      </c>
      <c r="E247">
        <v>0.7191440011208845</v>
      </c>
      <c r="F247">
        <f t="shared" si="14"/>
        <v>1</v>
      </c>
      <c r="G247" t="b">
        <f t="shared" si="15"/>
        <v>1</v>
      </c>
      <c r="H247">
        <v>0.50898870918633154</v>
      </c>
    </row>
    <row r="248" spans="1:8" x14ac:dyDescent="0.35">
      <c r="A248" s="13">
        <v>42723</v>
      </c>
      <c r="B248" s="14">
        <v>4822.7700000000004</v>
      </c>
      <c r="C248" s="2">
        <f t="shared" si="12"/>
        <v>-2.1724422595882364E-3</v>
      </c>
      <c r="D248">
        <f t="shared" si="13"/>
        <v>0</v>
      </c>
      <c r="E248">
        <v>0.76647211138468907</v>
      </c>
      <c r="F248">
        <f t="shared" si="14"/>
        <v>1</v>
      </c>
      <c r="G248" t="b">
        <f t="shared" si="15"/>
        <v>0</v>
      </c>
      <c r="H248">
        <v>0.50898862635389541</v>
      </c>
    </row>
    <row r="249" spans="1:8" x14ac:dyDescent="0.35">
      <c r="A249" s="13">
        <v>42724</v>
      </c>
      <c r="B249" s="14">
        <v>4849.8900000000003</v>
      </c>
      <c r="C249" s="2">
        <f t="shared" si="12"/>
        <v>5.6233243550904977E-3</v>
      </c>
      <c r="D249">
        <f t="shared" si="13"/>
        <v>1</v>
      </c>
      <c r="E249">
        <v>0.64292458668619967</v>
      </c>
      <c r="F249">
        <f t="shared" si="14"/>
        <v>1</v>
      </c>
      <c r="G249" t="b">
        <f t="shared" si="15"/>
        <v>1</v>
      </c>
      <c r="H249">
        <v>0.50898867632351907</v>
      </c>
    </row>
    <row r="250" spans="1:8" x14ac:dyDescent="0.35">
      <c r="A250" s="13">
        <v>42725</v>
      </c>
      <c r="B250" s="14">
        <v>4833.82</v>
      </c>
      <c r="C250" s="2">
        <f t="shared" si="12"/>
        <v>-3.3134772128853296E-3</v>
      </c>
      <c r="D250">
        <f t="shared" si="13"/>
        <v>0</v>
      </c>
      <c r="E250">
        <v>0.72042517262047867</v>
      </c>
      <c r="F250">
        <f t="shared" si="14"/>
        <v>1</v>
      </c>
      <c r="G250" t="b">
        <f t="shared" si="15"/>
        <v>0</v>
      </c>
      <c r="H250">
        <v>0.50898858580179873</v>
      </c>
    </row>
    <row r="251" spans="1:8" x14ac:dyDescent="0.35">
      <c r="A251" s="13">
        <v>42726</v>
      </c>
      <c r="B251" s="14">
        <v>4834.63</v>
      </c>
      <c r="C251" s="2">
        <f t="shared" si="12"/>
        <v>1.6756933439809885E-4</v>
      </c>
      <c r="D251">
        <f t="shared" si="13"/>
        <v>1</v>
      </c>
      <c r="E251">
        <v>0.57736276501094874</v>
      </c>
      <c r="F251">
        <f t="shared" si="14"/>
        <v>1</v>
      </c>
      <c r="G251" t="b">
        <f t="shared" si="15"/>
        <v>1</v>
      </c>
      <c r="H251">
        <v>0.50898865011571093</v>
      </c>
    </row>
    <row r="252" spans="1:8" x14ac:dyDescent="0.35">
      <c r="A252" s="13">
        <v>42727</v>
      </c>
      <c r="B252" s="14">
        <v>4839.68</v>
      </c>
      <c r="C252" s="2">
        <f t="shared" si="12"/>
        <v>1.0445473593636567E-3</v>
      </c>
      <c r="D252">
        <f t="shared" si="13"/>
        <v>1</v>
      </c>
      <c r="E252">
        <v>0.68193185585299032</v>
      </c>
      <c r="F252">
        <f t="shared" si="14"/>
        <v>1</v>
      </c>
      <c r="G252" t="b">
        <f t="shared" si="15"/>
        <v>1</v>
      </c>
      <c r="H252">
        <v>0.50898869301210736</v>
      </c>
    </row>
    <row r="253" spans="1:8" x14ac:dyDescent="0.35">
      <c r="A253" s="13">
        <v>42731</v>
      </c>
      <c r="B253" s="14">
        <v>4848.28</v>
      </c>
      <c r="C253" s="2">
        <f t="shared" si="12"/>
        <v>1.7769769902140631E-3</v>
      </c>
      <c r="D253">
        <f t="shared" si="13"/>
        <v>1</v>
      </c>
      <c r="E253">
        <v>0.74354729352992821</v>
      </c>
      <c r="F253">
        <f t="shared" si="14"/>
        <v>1</v>
      </c>
      <c r="G253" t="b">
        <f t="shared" si="15"/>
        <v>1</v>
      </c>
      <c r="H253">
        <v>0.5089887228313984</v>
      </c>
    </row>
    <row r="254" spans="1:8" x14ac:dyDescent="0.35">
      <c r="A254" s="13">
        <v>42732</v>
      </c>
      <c r="B254" s="14">
        <v>4848.01</v>
      </c>
      <c r="C254" s="2">
        <f t="shared" si="12"/>
        <v>-5.5689852896168013E-5</v>
      </c>
      <c r="D254">
        <f t="shared" si="13"/>
        <v>0</v>
      </c>
      <c r="E254">
        <v>0.78220757342308345</v>
      </c>
      <c r="F254">
        <f t="shared" si="14"/>
        <v>1</v>
      </c>
      <c r="G254" t="b">
        <f t="shared" si="15"/>
        <v>0</v>
      </c>
      <c r="H254">
        <v>0.50898863999112387</v>
      </c>
    </row>
    <row r="255" spans="1:8" x14ac:dyDescent="0.35">
      <c r="A255" s="13">
        <v>42733</v>
      </c>
      <c r="B255" s="14">
        <v>4838.47</v>
      </c>
      <c r="C255" s="2">
        <f t="shared" si="12"/>
        <v>-1.9678177231482463E-3</v>
      </c>
      <c r="D255">
        <f t="shared" si="13"/>
        <v>0</v>
      </c>
      <c r="E255">
        <v>0.66713493660699208</v>
      </c>
      <c r="F255">
        <f t="shared" si="14"/>
        <v>1</v>
      </c>
      <c r="G255" t="b">
        <f t="shared" si="15"/>
        <v>0</v>
      </c>
      <c r="H255">
        <v>0.50898854578981967</v>
      </c>
    </row>
    <row r="256" spans="1:8" x14ac:dyDescent="0.35">
      <c r="A256" s="13">
        <v>42734</v>
      </c>
      <c r="B256" s="14">
        <v>4862.3100000000004</v>
      </c>
      <c r="C256" s="2">
        <f t="shared" si="12"/>
        <v>4.9271773928536433E-3</v>
      </c>
      <c r="D256">
        <f t="shared" si="13"/>
        <v>1</v>
      </c>
      <c r="E256">
        <v>0.5119408055612662</v>
      </c>
      <c r="F256">
        <f t="shared" si="14"/>
        <v>1</v>
      </c>
      <c r="G256" t="b">
        <f t="shared" si="15"/>
        <v>1</v>
      </c>
      <c r="H256">
        <v>0.50898862351606533</v>
      </c>
    </row>
    <row r="257" spans="1:8" x14ac:dyDescent="0.35">
      <c r="A257" s="13">
        <v>42737</v>
      </c>
      <c r="B257" s="14">
        <v>4882.38</v>
      </c>
      <c r="C257" s="2">
        <f t="shared" si="12"/>
        <v>4.1276677134940432E-3</v>
      </c>
      <c r="D257">
        <f t="shared" si="13"/>
        <v>1</v>
      </c>
      <c r="E257">
        <v>0.64114868614611342</v>
      </c>
      <c r="F257">
        <f t="shared" si="14"/>
        <v>1</v>
      </c>
      <c r="G257" t="b">
        <f t="shared" si="15"/>
        <v>1</v>
      </c>
      <c r="H257">
        <v>0.50898867541517923</v>
      </c>
    </row>
    <row r="258" spans="1:8" x14ac:dyDescent="0.35">
      <c r="A258" s="13">
        <v>42738</v>
      </c>
      <c r="B258" s="14">
        <v>4899.33</v>
      </c>
      <c r="C258" s="2">
        <f t="shared" si="12"/>
        <v>3.4716675064210278E-3</v>
      </c>
      <c r="D258">
        <f t="shared" si="13"/>
        <v>1</v>
      </c>
      <c r="E258">
        <v>0.71938372578902221</v>
      </c>
      <c r="F258">
        <f t="shared" si="14"/>
        <v>1</v>
      </c>
      <c r="G258" t="b">
        <f t="shared" si="15"/>
        <v>1</v>
      </c>
      <c r="H258">
        <v>0.50898871034669824</v>
      </c>
    </row>
    <row r="259" spans="1:8" x14ac:dyDescent="0.35">
      <c r="A259" s="13">
        <v>42739</v>
      </c>
      <c r="B259" s="14">
        <v>4899.3999999999996</v>
      </c>
      <c r="C259" s="2">
        <f t="shared" si="12"/>
        <v>1.4287667905454882E-5</v>
      </c>
      <c r="D259">
        <f t="shared" si="13"/>
        <v>1</v>
      </c>
      <c r="E259">
        <v>0.76662279515908571</v>
      </c>
      <c r="F259">
        <f t="shared" si="14"/>
        <v>1</v>
      </c>
      <c r="G259" t="b">
        <f t="shared" si="15"/>
        <v>1</v>
      </c>
      <c r="H259">
        <v>0.50898873590418192</v>
      </c>
    </row>
    <row r="260" spans="1:8" x14ac:dyDescent="0.35">
      <c r="A260" s="13">
        <v>42740</v>
      </c>
      <c r="B260" s="14">
        <v>4900.6400000000003</v>
      </c>
      <c r="C260" s="2">
        <f t="shared" ref="C260:C323" si="16">(B260/B259)-1</f>
        <v>2.530922153733961E-4</v>
      </c>
      <c r="D260">
        <f t="shared" si="13"/>
        <v>1</v>
      </c>
      <c r="E260">
        <v>0.79773319303994528</v>
      </c>
      <c r="F260">
        <f t="shared" si="14"/>
        <v>1</v>
      </c>
      <c r="G260" t="b">
        <f t="shared" si="15"/>
        <v>1</v>
      </c>
      <c r="H260">
        <v>0.50898875566439294</v>
      </c>
    </row>
    <row r="261" spans="1:8" x14ac:dyDescent="0.35">
      <c r="A261" s="13">
        <v>42741</v>
      </c>
      <c r="B261" s="14">
        <v>4909.84</v>
      </c>
      <c r="C261" s="2">
        <f t="shared" si="16"/>
        <v>1.8773058212804283E-3</v>
      </c>
      <c r="D261">
        <f t="shared" si="13"/>
        <v>1</v>
      </c>
      <c r="E261">
        <v>0.81982567019974428</v>
      </c>
      <c r="F261">
        <f t="shared" si="14"/>
        <v>1</v>
      </c>
      <c r="G261" t="b">
        <f t="shared" si="15"/>
        <v>1</v>
      </c>
      <c r="H261">
        <v>0.50898877171717738</v>
      </c>
    </row>
    <row r="262" spans="1:8" x14ac:dyDescent="0.35">
      <c r="A262" s="13">
        <v>42744</v>
      </c>
      <c r="B262" s="14">
        <v>4887.57</v>
      </c>
      <c r="C262" s="2">
        <f t="shared" si="16"/>
        <v>-4.5357893536246419E-3</v>
      </c>
      <c r="D262">
        <f t="shared" ref="D262:D325" si="17">IF(C262&gt;=0,1,0)</f>
        <v>0</v>
      </c>
      <c r="E262">
        <v>0.83641581030643808</v>
      </c>
      <c r="F262">
        <f t="shared" si="14"/>
        <v>1</v>
      </c>
      <c r="G262" t="b">
        <f t="shared" si="15"/>
        <v>0</v>
      </c>
      <c r="H262">
        <v>0.50898870178815481</v>
      </c>
    </row>
    <row r="263" spans="1:8" x14ac:dyDescent="0.35">
      <c r="A263" s="13">
        <v>42745</v>
      </c>
      <c r="B263" s="14">
        <v>4888.2299999999996</v>
      </c>
      <c r="C263" s="2">
        <f t="shared" si="16"/>
        <v>1.3503642914569625E-4</v>
      </c>
      <c r="D263">
        <f t="shared" si="17"/>
        <v>1</v>
      </c>
      <c r="E263">
        <v>0.75590740057400863</v>
      </c>
      <c r="F263">
        <f t="shared" si="14"/>
        <v>1</v>
      </c>
      <c r="G263" t="b">
        <f t="shared" si="15"/>
        <v>1</v>
      </c>
      <c r="H263">
        <v>0.50898872938002337</v>
      </c>
    </row>
    <row r="264" spans="1:8" x14ac:dyDescent="0.35">
      <c r="A264" s="13">
        <v>42746</v>
      </c>
      <c r="B264" s="14">
        <v>4888.71</v>
      </c>
      <c r="C264" s="2">
        <f t="shared" si="16"/>
        <v>9.8195052196992094E-5</v>
      </c>
      <c r="D264">
        <f t="shared" si="17"/>
        <v>1</v>
      </c>
      <c r="E264">
        <v>0.79043882148971234</v>
      </c>
      <c r="F264">
        <f t="shared" si="14"/>
        <v>1</v>
      </c>
      <c r="G264" t="b">
        <f t="shared" si="15"/>
        <v>1</v>
      </c>
      <c r="H264">
        <v>0.50898875051760528</v>
      </c>
    </row>
    <row r="265" spans="1:8" x14ac:dyDescent="0.35">
      <c r="A265" s="13">
        <v>42747</v>
      </c>
      <c r="B265" s="14">
        <v>4863.97</v>
      </c>
      <c r="C265" s="2">
        <f t="shared" si="16"/>
        <v>-5.0606397188623919E-3</v>
      </c>
      <c r="D265">
        <f t="shared" si="17"/>
        <v>0</v>
      </c>
      <c r="E265">
        <v>0.81451706384446609</v>
      </c>
      <c r="F265">
        <f t="shared" ref="F265:F328" si="18">IF(E265&gt;=0.5,1,0)</f>
        <v>1</v>
      </c>
      <c r="G265" t="b">
        <f t="shared" ref="G265:G328" si="19">IF(D265=F265,TRUE,FALSE)</f>
        <v>0</v>
      </c>
      <c r="H265">
        <v>0.50898867495500255</v>
      </c>
    </row>
    <row r="266" spans="1:8" x14ac:dyDescent="0.35">
      <c r="A266" s="13">
        <v>42748</v>
      </c>
      <c r="B266" s="14">
        <v>4922.49</v>
      </c>
      <c r="C266" s="2">
        <f t="shared" si="16"/>
        <v>1.2031324206358107E-2</v>
      </c>
      <c r="D266">
        <f t="shared" si="17"/>
        <v>1</v>
      </c>
      <c r="E266">
        <v>0.71923639323415234</v>
      </c>
      <c r="F266">
        <f t="shared" si="18"/>
        <v>1</v>
      </c>
      <c r="G266" t="b">
        <f t="shared" si="19"/>
        <v>1</v>
      </c>
      <c r="H266">
        <v>0.50898871005996138</v>
      </c>
    </row>
    <row r="267" spans="1:8" x14ac:dyDescent="0.35">
      <c r="A267" s="13">
        <v>42751</v>
      </c>
      <c r="B267" s="14">
        <v>4882.18</v>
      </c>
      <c r="C267" s="2">
        <f t="shared" si="16"/>
        <v>-8.1889450257897067E-3</v>
      </c>
      <c r="D267">
        <f t="shared" si="17"/>
        <v>0</v>
      </c>
      <c r="E267">
        <v>0.76652940503319844</v>
      </c>
      <c r="F267">
        <f t="shared" si="18"/>
        <v>1</v>
      </c>
      <c r="G267" t="b">
        <f t="shared" si="19"/>
        <v>0</v>
      </c>
      <c r="H267">
        <v>0.50898862399163491</v>
      </c>
    </row>
    <row r="268" spans="1:8" x14ac:dyDescent="0.35">
      <c r="A268" s="13">
        <v>42752</v>
      </c>
      <c r="B268" s="14">
        <v>4859.6899999999996</v>
      </c>
      <c r="C268" s="2">
        <f t="shared" si="16"/>
        <v>-4.6065487138943206E-3</v>
      </c>
      <c r="D268">
        <f t="shared" si="17"/>
        <v>0</v>
      </c>
      <c r="E268">
        <v>0.64301461890207812</v>
      </c>
      <c r="F268">
        <f t="shared" si="18"/>
        <v>1</v>
      </c>
      <c r="G268" t="b">
        <f t="shared" si="19"/>
        <v>0</v>
      </c>
      <c r="H268">
        <v>0.50898852892683433</v>
      </c>
    </row>
    <row r="269" spans="1:8" x14ac:dyDescent="0.35">
      <c r="A269" s="13">
        <v>42753</v>
      </c>
      <c r="B269" s="14">
        <v>4853.3999999999996</v>
      </c>
      <c r="C269" s="2">
        <f t="shared" si="16"/>
        <v>-1.2943212427130035E-3</v>
      </c>
      <c r="D269">
        <f t="shared" si="17"/>
        <v>0</v>
      </c>
      <c r="E269">
        <v>0.48589750748376859</v>
      </c>
      <c r="F269">
        <f t="shared" si="18"/>
        <v>0</v>
      </c>
      <c r="G269" t="b">
        <f t="shared" si="19"/>
        <v>1</v>
      </c>
      <c r="H269">
        <v>0.50898844793198261</v>
      </c>
    </row>
    <row r="270" spans="1:8" x14ac:dyDescent="0.35">
      <c r="A270" s="13">
        <v>42754</v>
      </c>
      <c r="B270" s="14">
        <v>4841.1400000000003</v>
      </c>
      <c r="C270" s="2">
        <f t="shared" si="16"/>
        <v>-2.5260642024146351E-3</v>
      </c>
      <c r="D270">
        <f t="shared" si="17"/>
        <v>0</v>
      </c>
      <c r="E270">
        <v>0.35759620306235068</v>
      </c>
      <c r="F270">
        <f t="shared" si="18"/>
        <v>0</v>
      </c>
      <c r="G270" t="b">
        <f t="shared" si="19"/>
        <v>1</v>
      </c>
      <c r="H270">
        <v>0.50898839195795587</v>
      </c>
    </row>
    <row r="271" spans="1:8" x14ac:dyDescent="0.35">
      <c r="A271" s="13">
        <v>42755</v>
      </c>
      <c r="B271" s="14">
        <v>4850.67</v>
      </c>
      <c r="C271" s="2">
        <f t="shared" si="16"/>
        <v>1.9685445989994221E-3</v>
      </c>
      <c r="D271">
        <f t="shared" si="17"/>
        <v>1</v>
      </c>
      <c r="E271">
        <v>0.2801798870557537</v>
      </c>
      <c r="F271">
        <f t="shared" si="18"/>
        <v>0</v>
      </c>
      <c r="G271" t="b">
        <f t="shared" si="19"/>
        <v>0</v>
      </c>
      <c r="H271">
        <v>0.50898848998441049</v>
      </c>
    </row>
    <row r="272" spans="1:8" x14ac:dyDescent="0.35">
      <c r="A272" s="13">
        <v>42758</v>
      </c>
      <c r="B272" s="14">
        <v>4821.41</v>
      </c>
      <c r="C272" s="2">
        <f t="shared" si="16"/>
        <v>-6.032156382520415E-3</v>
      </c>
      <c r="D272">
        <f t="shared" si="17"/>
        <v>0</v>
      </c>
      <c r="E272">
        <v>0.42277583360085358</v>
      </c>
      <c r="F272">
        <f t="shared" si="18"/>
        <v>0</v>
      </c>
      <c r="G272" t="b">
        <f t="shared" si="19"/>
        <v>1</v>
      </c>
      <c r="H272">
        <v>0.50898842031343672</v>
      </c>
    </row>
    <row r="273" spans="1:8" x14ac:dyDescent="0.35">
      <c r="A273" s="13">
        <v>42759</v>
      </c>
      <c r="B273" s="14">
        <v>4830.03</v>
      </c>
      <c r="C273" s="2">
        <f t="shared" si="16"/>
        <v>1.7878587384188016E-3</v>
      </c>
      <c r="D273">
        <f t="shared" si="17"/>
        <v>1</v>
      </c>
      <c r="E273">
        <v>0.31841695274413101</v>
      </c>
      <c r="F273">
        <f t="shared" si="18"/>
        <v>0</v>
      </c>
      <c r="G273" t="b">
        <f t="shared" si="19"/>
        <v>0</v>
      </c>
      <c r="H273">
        <v>0.5089885184617422</v>
      </c>
    </row>
    <row r="274" spans="1:8" x14ac:dyDescent="0.35">
      <c r="A274" s="13">
        <v>42760</v>
      </c>
      <c r="B274" s="14">
        <v>4877.67</v>
      </c>
      <c r="C274" s="2">
        <f t="shared" si="16"/>
        <v>9.8632927745792021E-3</v>
      </c>
      <c r="D274">
        <f t="shared" si="17"/>
        <v>1</v>
      </c>
      <c r="E274">
        <v>0.47090201662322995</v>
      </c>
      <c r="F274">
        <f t="shared" si="18"/>
        <v>0</v>
      </c>
      <c r="G274" t="b">
        <f t="shared" si="19"/>
        <v>0</v>
      </c>
      <c r="H274">
        <v>0.50898860438124938</v>
      </c>
    </row>
    <row r="275" spans="1:8" x14ac:dyDescent="0.35">
      <c r="A275" s="13">
        <v>42761</v>
      </c>
      <c r="B275" s="14">
        <v>4867.24</v>
      </c>
      <c r="C275" s="2">
        <f t="shared" si="16"/>
        <v>-2.1383160402406176E-3</v>
      </c>
      <c r="D275">
        <f t="shared" si="17"/>
        <v>0</v>
      </c>
      <c r="E275">
        <v>0.6127646176849294</v>
      </c>
      <c r="F275">
        <f t="shared" si="18"/>
        <v>1</v>
      </c>
      <c r="G275" t="b">
        <f t="shared" si="19"/>
        <v>0</v>
      </c>
      <c r="H275">
        <v>0.50898850970734633</v>
      </c>
    </row>
    <row r="276" spans="1:8" x14ac:dyDescent="0.35">
      <c r="A276" s="13">
        <v>42762</v>
      </c>
      <c r="B276" s="14">
        <v>4839.9799999999996</v>
      </c>
      <c r="C276" s="2">
        <f t="shared" si="16"/>
        <v>-5.6007100533361776E-3</v>
      </c>
      <c r="D276">
        <f t="shared" si="17"/>
        <v>0</v>
      </c>
      <c r="E276">
        <v>0.45609139700956591</v>
      </c>
      <c r="F276">
        <f t="shared" si="18"/>
        <v>0</v>
      </c>
      <c r="G276" t="b">
        <f t="shared" si="19"/>
        <v>1</v>
      </c>
      <c r="H276">
        <v>0.50898843373484326</v>
      </c>
    </row>
    <row r="277" spans="1:8" x14ac:dyDescent="0.35">
      <c r="A277" s="13">
        <v>42765</v>
      </c>
      <c r="B277" s="14">
        <v>4784.6400000000003</v>
      </c>
      <c r="C277" s="2">
        <f t="shared" si="16"/>
        <v>-1.1433931545171472E-2</v>
      </c>
      <c r="D277">
        <f t="shared" si="17"/>
        <v>0</v>
      </c>
      <c r="E277">
        <v>0.33863354061535494</v>
      </c>
      <c r="F277">
        <f t="shared" si="18"/>
        <v>0</v>
      </c>
      <c r="G277" t="b">
        <f t="shared" si="19"/>
        <v>1</v>
      </c>
      <c r="H277">
        <v>0.50898838194112339</v>
      </c>
    </row>
    <row r="278" spans="1:8" x14ac:dyDescent="0.35">
      <c r="A278" s="13">
        <v>42766</v>
      </c>
      <c r="B278" s="14">
        <v>4748.8999999999996</v>
      </c>
      <c r="C278" s="2">
        <f t="shared" si="16"/>
        <v>-7.4697364901018526E-3</v>
      </c>
      <c r="D278">
        <f t="shared" si="17"/>
        <v>0</v>
      </c>
      <c r="E278">
        <v>0.26902155933924032</v>
      </c>
      <c r="F278">
        <f t="shared" si="18"/>
        <v>0</v>
      </c>
      <c r="G278" t="b">
        <f t="shared" si="19"/>
        <v>1</v>
      </c>
      <c r="H278">
        <v>0.50898834529537584</v>
      </c>
    </row>
    <row r="279" spans="1:8" x14ac:dyDescent="0.35">
      <c r="A279" s="13">
        <v>42767</v>
      </c>
      <c r="B279" s="14">
        <v>4794.58</v>
      </c>
      <c r="C279" s="2">
        <f t="shared" si="16"/>
        <v>9.6190696792941566E-3</v>
      </c>
      <c r="D279">
        <f t="shared" si="17"/>
        <v>1</v>
      </c>
      <c r="E279">
        <v>0.22623431653415396</v>
      </c>
      <c r="F279">
        <f t="shared" si="18"/>
        <v>0</v>
      </c>
      <c r="G279" t="b">
        <f t="shared" si="19"/>
        <v>0</v>
      </c>
      <c r="H279">
        <v>0.50898843884143607</v>
      </c>
    </row>
    <row r="280" spans="1:8" x14ac:dyDescent="0.35">
      <c r="A280" s="13">
        <v>42768</v>
      </c>
      <c r="B280" s="14">
        <v>4794.29</v>
      </c>
      <c r="C280" s="2">
        <f t="shared" si="16"/>
        <v>-6.0484964272133901E-5</v>
      </c>
      <c r="D280">
        <f t="shared" si="17"/>
        <v>0</v>
      </c>
      <c r="E280">
        <v>0.34514316207209089</v>
      </c>
      <c r="F280">
        <f t="shared" si="18"/>
        <v>0</v>
      </c>
      <c r="G280" t="b">
        <f t="shared" si="19"/>
        <v>1</v>
      </c>
      <c r="H280">
        <v>0.50898838532538626</v>
      </c>
    </row>
    <row r="281" spans="1:8" x14ac:dyDescent="0.35">
      <c r="A281" s="13">
        <v>42769</v>
      </c>
      <c r="B281" s="14">
        <v>4825.42</v>
      </c>
      <c r="C281" s="2">
        <f t="shared" si="16"/>
        <v>6.4931407987418588E-3</v>
      </c>
      <c r="D281">
        <f t="shared" si="17"/>
        <v>1</v>
      </c>
      <c r="E281">
        <v>0.27286647193084979</v>
      </c>
      <c r="F281">
        <f t="shared" si="18"/>
        <v>0</v>
      </c>
      <c r="G281" t="b">
        <f t="shared" si="19"/>
        <v>0</v>
      </c>
      <c r="H281">
        <v>0.50898848216676806</v>
      </c>
    </row>
    <row r="282" spans="1:8" x14ac:dyDescent="0.35">
      <c r="A282" s="13">
        <v>42772</v>
      </c>
      <c r="B282" s="14">
        <v>4778.08</v>
      </c>
      <c r="C282" s="2">
        <f t="shared" si="16"/>
        <v>-9.81054498883005E-3</v>
      </c>
      <c r="D282">
        <f t="shared" si="17"/>
        <v>0</v>
      </c>
      <c r="E282">
        <v>0.41290479377321865</v>
      </c>
      <c r="F282">
        <f t="shared" si="18"/>
        <v>0</v>
      </c>
      <c r="G282" t="b">
        <f t="shared" si="19"/>
        <v>1</v>
      </c>
      <c r="H282">
        <v>0.50898841514419513</v>
      </c>
    </row>
    <row r="283" spans="1:8" x14ac:dyDescent="0.35">
      <c r="A283" s="13">
        <v>42773</v>
      </c>
      <c r="B283" s="14">
        <v>4754.47</v>
      </c>
      <c r="C283" s="2">
        <f t="shared" si="16"/>
        <v>-4.9413153400528209E-3</v>
      </c>
      <c r="D283">
        <f t="shared" si="17"/>
        <v>0</v>
      </c>
      <c r="E283">
        <v>0.31256429337166541</v>
      </c>
      <c r="F283">
        <f t="shared" si="18"/>
        <v>0</v>
      </c>
      <c r="G283" t="b">
        <f t="shared" si="19"/>
        <v>1</v>
      </c>
      <c r="H283">
        <v>0.50898836927310631</v>
      </c>
    </row>
    <row r="284" spans="1:8" x14ac:dyDescent="0.35">
      <c r="A284" s="13">
        <v>42774</v>
      </c>
      <c r="B284" s="14">
        <v>4766.6000000000004</v>
      </c>
      <c r="C284" s="2">
        <f t="shared" si="16"/>
        <v>2.5512833186454031E-3</v>
      </c>
      <c r="D284">
        <f t="shared" si="17"/>
        <v>1</v>
      </c>
      <c r="E284">
        <v>0.25341898217399539</v>
      </c>
      <c r="F284">
        <f t="shared" si="18"/>
        <v>0</v>
      </c>
      <c r="G284" t="b">
        <f t="shared" si="19"/>
        <v>0</v>
      </c>
      <c r="H284">
        <v>0.50898846649942708</v>
      </c>
    </row>
    <row r="285" spans="1:8" x14ac:dyDescent="0.35">
      <c r="A285" s="13">
        <v>42775</v>
      </c>
      <c r="B285" s="14">
        <v>4826.24</v>
      </c>
      <c r="C285" s="2">
        <f t="shared" si="16"/>
        <v>1.2512063105777571E-2</v>
      </c>
      <c r="D285">
        <f t="shared" si="17"/>
        <v>1</v>
      </c>
      <c r="E285">
        <v>0.38564294173396713</v>
      </c>
      <c r="F285">
        <f t="shared" si="18"/>
        <v>0</v>
      </c>
      <c r="G285" t="b">
        <f t="shared" si="19"/>
        <v>0</v>
      </c>
      <c r="H285">
        <v>0.50898856393184899</v>
      </c>
    </row>
    <row r="286" spans="1:8" x14ac:dyDescent="0.35">
      <c r="A286" s="13">
        <v>42776</v>
      </c>
      <c r="B286" s="14">
        <v>4828.32</v>
      </c>
      <c r="C286" s="2">
        <f t="shared" si="16"/>
        <v>4.30977323962356E-4</v>
      </c>
      <c r="D286">
        <f t="shared" si="17"/>
        <v>1</v>
      </c>
      <c r="E286">
        <v>0.54217522065667956</v>
      </c>
      <c r="F286">
        <f t="shared" si="18"/>
        <v>1</v>
      </c>
      <c r="G286" t="b">
        <f t="shared" si="19"/>
        <v>1</v>
      </c>
      <c r="H286">
        <v>0.50898863694367935</v>
      </c>
    </row>
    <row r="287" spans="1:8" x14ac:dyDescent="0.35">
      <c r="A287" s="13">
        <v>42779</v>
      </c>
      <c r="B287" s="14">
        <v>4888.1899999999996</v>
      </c>
      <c r="C287" s="2">
        <f t="shared" si="16"/>
        <v>1.2399758093912583E-2</v>
      </c>
      <c r="D287">
        <f t="shared" si="17"/>
        <v>1</v>
      </c>
      <c r="E287">
        <v>0.6605041014096118</v>
      </c>
      <c r="F287">
        <f t="shared" si="18"/>
        <v>1</v>
      </c>
      <c r="G287" t="b">
        <f t="shared" si="19"/>
        <v>1</v>
      </c>
      <c r="H287">
        <v>0.50898868437294997</v>
      </c>
    </row>
    <row r="288" spans="1:8" x14ac:dyDescent="0.35">
      <c r="A288" s="13">
        <v>42780</v>
      </c>
      <c r="B288" s="14">
        <v>4895.82</v>
      </c>
      <c r="C288" s="2">
        <f t="shared" si="16"/>
        <v>1.5609049566405186E-3</v>
      </c>
      <c r="D288">
        <f t="shared" si="17"/>
        <v>1</v>
      </c>
      <c r="E288">
        <v>0.73076362012930718</v>
      </c>
      <c r="F288">
        <f t="shared" si="18"/>
        <v>1</v>
      </c>
      <c r="G288" t="b">
        <f t="shared" si="19"/>
        <v>1</v>
      </c>
      <c r="H288">
        <v>0.50898871659228551</v>
      </c>
    </row>
    <row r="289" spans="1:8" x14ac:dyDescent="0.35">
      <c r="A289" s="13">
        <v>42781</v>
      </c>
      <c r="B289" s="14">
        <v>4924.8599999999997</v>
      </c>
      <c r="C289" s="2">
        <f t="shared" si="16"/>
        <v>5.9315906222041637E-3</v>
      </c>
      <c r="D289">
        <f t="shared" si="17"/>
        <v>1</v>
      </c>
      <c r="E289">
        <v>0.77388148778052712</v>
      </c>
      <c r="F289">
        <f t="shared" si="18"/>
        <v>1</v>
      </c>
      <c r="G289" t="b">
        <f t="shared" si="19"/>
        <v>1</v>
      </c>
      <c r="H289">
        <v>0.50898874068271649</v>
      </c>
    </row>
    <row r="290" spans="1:8" x14ac:dyDescent="0.35">
      <c r="A290" s="13">
        <v>42782</v>
      </c>
      <c r="B290" s="14">
        <v>4899.46</v>
      </c>
      <c r="C290" s="2">
        <f t="shared" si="16"/>
        <v>-5.1575070154278313E-3</v>
      </c>
      <c r="D290">
        <f t="shared" si="17"/>
        <v>0</v>
      </c>
      <c r="E290">
        <v>0.80276122758394775</v>
      </c>
      <c r="F290">
        <f t="shared" si="18"/>
        <v>1</v>
      </c>
      <c r="G290" t="b">
        <f t="shared" si="19"/>
        <v>0</v>
      </c>
      <c r="H290">
        <v>0.50898866234085138</v>
      </c>
    </row>
    <row r="291" spans="1:8" x14ac:dyDescent="0.35">
      <c r="A291" s="13">
        <v>42783</v>
      </c>
      <c r="B291" s="14">
        <v>4867.58</v>
      </c>
      <c r="C291" s="2">
        <f t="shared" si="16"/>
        <v>-6.506839529254238E-3</v>
      </c>
      <c r="D291">
        <f t="shared" si="17"/>
        <v>0</v>
      </c>
      <c r="E291">
        <v>0.6999566171395496</v>
      </c>
      <c r="F291">
        <f t="shared" si="18"/>
        <v>1</v>
      </c>
      <c r="G291" t="b">
        <f t="shared" si="19"/>
        <v>0</v>
      </c>
      <c r="H291">
        <v>0.50898856891737221</v>
      </c>
    </row>
    <row r="292" spans="1:8" x14ac:dyDescent="0.35">
      <c r="A292" s="13">
        <v>42786</v>
      </c>
      <c r="B292" s="14">
        <v>4864.99</v>
      </c>
      <c r="C292" s="2">
        <f t="shared" si="16"/>
        <v>-5.3209192247483106E-4</v>
      </c>
      <c r="D292">
        <f t="shared" si="17"/>
        <v>0</v>
      </c>
      <c r="E292">
        <v>0.55092012410404501</v>
      </c>
      <c r="F292">
        <f t="shared" si="18"/>
        <v>1</v>
      </c>
      <c r="G292" t="b">
        <f t="shared" si="19"/>
        <v>0</v>
      </c>
      <c r="H292">
        <v>0.50898848048239698</v>
      </c>
    </row>
    <row r="293" spans="1:8" x14ac:dyDescent="0.35">
      <c r="A293" s="13">
        <v>42787</v>
      </c>
      <c r="B293" s="14">
        <v>4888.76</v>
      </c>
      <c r="C293" s="2">
        <f t="shared" si="16"/>
        <v>4.8859298785814964E-3</v>
      </c>
      <c r="D293">
        <f t="shared" si="17"/>
        <v>1</v>
      </c>
      <c r="E293">
        <v>0.40360251038364497</v>
      </c>
      <c r="F293">
        <f t="shared" si="18"/>
        <v>0</v>
      </c>
      <c r="G293" t="b">
        <f t="shared" si="19"/>
        <v>0</v>
      </c>
      <c r="H293">
        <v>0.50898857314401935</v>
      </c>
    </row>
    <row r="294" spans="1:8" x14ac:dyDescent="0.35">
      <c r="A294" s="13">
        <v>42788</v>
      </c>
      <c r="B294" s="14">
        <v>4895.88</v>
      </c>
      <c r="C294" s="2">
        <f t="shared" si="16"/>
        <v>1.4564020324172589E-3</v>
      </c>
      <c r="D294">
        <f t="shared" si="17"/>
        <v>1</v>
      </c>
      <c r="E294">
        <v>0.55865439573431175</v>
      </c>
      <c r="F294">
        <f t="shared" si="18"/>
        <v>1</v>
      </c>
      <c r="G294" t="b">
        <f t="shared" si="19"/>
        <v>1</v>
      </c>
      <c r="H294">
        <v>0.50898864122536636</v>
      </c>
    </row>
    <row r="295" spans="1:8" x14ac:dyDescent="0.35">
      <c r="A295" s="13">
        <v>42789</v>
      </c>
      <c r="B295" s="14">
        <v>4891.29</v>
      </c>
      <c r="C295" s="2">
        <f t="shared" si="16"/>
        <v>-9.3752297850435706E-4</v>
      </c>
      <c r="D295">
        <f t="shared" si="17"/>
        <v>0</v>
      </c>
      <c r="E295">
        <v>0.670652901793375</v>
      </c>
      <c r="F295">
        <f t="shared" si="18"/>
        <v>1</v>
      </c>
      <c r="G295" t="b">
        <f t="shared" si="19"/>
        <v>0</v>
      </c>
      <c r="H295">
        <v>0.5089885469173675</v>
      </c>
    </row>
    <row r="296" spans="1:8" x14ac:dyDescent="0.35">
      <c r="A296" s="13">
        <v>42790</v>
      </c>
      <c r="B296" s="14">
        <v>4845.24</v>
      </c>
      <c r="C296" s="2">
        <f t="shared" si="16"/>
        <v>-9.4146942831032643E-3</v>
      </c>
      <c r="D296">
        <f t="shared" si="17"/>
        <v>0</v>
      </c>
      <c r="E296">
        <v>0.51593211517911253</v>
      </c>
      <c r="F296">
        <f t="shared" si="18"/>
        <v>1</v>
      </c>
      <c r="G296" t="b">
        <f t="shared" si="19"/>
        <v>0</v>
      </c>
      <c r="H296">
        <v>0.50898846290721067</v>
      </c>
    </row>
    <row r="297" spans="1:8" x14ac:dyDescent="0.35">
      <c r="A297" s="13">
        <v>42793</v>
      </c>
      <c r="B297" s="14">
        <v>4845.18</v>
      </c>
      <c r="C297" s="2">
        <f t="shared" si="16"/>
        <v>-1.2383287515072006E-5</v>
      </c>
      <c r="D297">
        <f t="shared" si="17"/>
        <v>0</v>
      </c>
      <c r="E297">
        <v>0.37792133260980371</v>
      </c>
      <c r="F297">
        <f t="shared" si="18"/>
        <v>0</v>
      </c>
      <c r="G297" t="b">
        <f t="shared" si="19"/>
        <v>1</v>
      </c>
      <c r="H297">
        <v>0.50898840269635082</v>
      </c>
    </row>
    <row r="298" spans="1:8" x14ac:dyDescent="0.35">
      <c r="A298" s="13">
        <v>42794</v>
      </c>
      <c r="B298" s="14">
        <v>4858.58</v>
      </c>
      <c r="C298" s="2">
        <f t="shared" si="16"/>
        <v>2.7656351260427758E-3</v>
      </c>
      <c r="D298">
        <f t="shared" si="17"/>
        <v>1</v>
      </c>
      <c r="E298">
        <v>0.29206304499171781</v>
      </c>
      <c r="F298">
        <f t="shared" si="18"/>
        <v>0</v>
      </c>
      <c r="G298" t="b">
        <f t="shared" si="19"/>
        <v>0</v>
      </c>
      <c r="H298">
        <v>0.50898850156460196</v>
      </c>
    </row>
    <row r="299" spans="1:8" x14ac:dyDescent="0.35">
      <c r="A299" s="13">
        <v>42795</v>
      </c>
      <c r="B299" s="14">
        <v>4960.83</v>
      </c>
      <c r="C299" s="2">
        <f t="shared" si="16"/>
        <v>2.1045243672019431E-2</v>
      </c>
      <c r="D299">
        <f t="shared" si="17"/>
        <v>1</v>
      </c>
      <c r="E299">
        <v>0.43834091630606681</v>
      </c>
      <c r="F299">
        <f t="shared" si="18"/>
        <v>0</v>
      </c>
      <c r="G299" t="b">
        <f t="shared" si="19"/>
        <v>0</v>
      </c>
      <c r="H299">
        <v>0.50898859253519646</v>
      </c>
    </row>
    <row r="300" spans="1:8" x14ac:dyDescent="0.35">
      <c r="A300" s="13">
        <v>42796</v>
      </c>
      <c r="B300" s="14">
        <v>4963.8</v>
      </c>
      <c r="C300" s="2">
        <f t="shared" si="16"/>
        <v>5.9869013854552122E-4</v>
      </c>
      <c r="D300">
        <f t="shared" si="17"/>
        <v>1</v>
      </c>
      <c r="E300">
        <v>0.58794819248769614</v>
      </c>
      <c r="F300">
        <f t="shared" si="18"/>
        <v>1</v>
      </c>
      <c r="G300" t="b">
        <f t="shared" si="19"/>
        <v>1</v>
      </c>
      <c r="H300">
        <v>0.5089886558141391</v>
      </c>
    </row>
    <row r="301" spans="1:8" x14ac:dyDescent="0.35">
      <c r="A301" s="13">
        <v>42797</v>
      </c>
      <c r="B301" s="14">
        <v>4995.13</v>
      </c>
      <c r="C301" s="2">
        <f t="shared" si="16"/>
        <v>6.3116966839920075E-3</v>
      </c>
      <c r="D301">
        <f t="shared" si="17"/>
        <v>1</v>
      </c>
      <c r="E301">
        <v>0.68820888859680429</v>
      </c>
      <c r="F301">
        <f t="shared" si="18"/>
        <v>1</v>
      </c>
      <c r="G301" t="b">
        <f t="shared" si="19"/>
        <v>1</v>
      </c>
      <c r="H301">
        <v>0.50898869695416715</v>
      </c>
    </row>
    <row r="302" spans="1:8" x14ac:dyDescent="0.35">
      <c r="A302" s="13">
        <v>42800</v>
      </c>
      <c r="B302" s="14">
        <v>4972.1899999999996</v>
      </c>
      <c r="C302" s="2">
        <f t="shared" si="16"/>
        <v>-4.5924730687690873E-3</v>
      </c>
      <c r="D302">
        <f t="shared" si="17"/>
        <v>0</v>
      </c>
      <c r="E302">
        <v>0.74733495761345925</v>
      </c>
      <c r="F302">
        <f t="shared" si="18"/>
        <v>1</v>
      </c>
      <c r="G302" t="b">
        <f t="shared" si="19"/>
        <v>0</v>
      </c>
      <c r="H302">
        <v>0.50898860906370524</v>
      </c>
    </row>
    <row r="303" spans="1:8" x14ac:dyDescent="0.35">
      <c r="A303" s="13">
        <v>42801</v>
      </c>
      <c r="B303" s="14">
        <v>4955</v>
      </c>
      <c r="C303" s="2">
        <f t="shared" si="16"/>
        <v>-3.4572291083002638E-3</v>
      </c>
      <c r="D303">
        <f t="shared" si="17"/>
        <v>0</v>
      </c>
      <c r="E303">
        <v>0.61469773099649638</v>
      </c>
      <c r="F303">
        <f t="shared" si="18"/>
        <v>1</v>
      </c>
      <c r="G303" t="b">
        <f t="shared" si="19"/>
        <v>0</v>
      </c>
      <c r="H303">
        <v>0.50898851489863861</v>
      </c>
    </row>
    <row r="304" spans="1:8" x14ac:dyDescent="0.35">
      <c r="A304" s="13">
        <v>42802</v>
      </c>
      <c r="B304" s="14">
        <v>4960.4799999999996</v>
      </c>
      <c r="C304" s="2">
        <f t="shared" si="16"/>
        <v>1.1059535822399713E-3</v>
      </c>
      <c r="D304">
        <f t="shared" si="17"/>
        <v>1</v>
      </c>
      <c r="E304">
        <v>0.4579179234308014</v>
      </c>
      <c r="F304">
        <f t="shared" si="18"/>
        <v>0</v>
      </c>
      <c r="G304" t="b">
        <f t="shared" si="19"/>
        <v>0</v>
      </c>
      <c r="H304">
        <v>0.50898860192879314</v>
      </c>
    </row>
    <row r="305" spans="1:8" x14ac:dyDescent="0.35">
      <c r="A305" s="13">
        <v>42803</v>
      </c>
      <c r="B305" s="14">
        <v>4981.51</v>
      </c>
      <c r="C305" s="2">
        <f t="shared" si="16"/>
        <v>4.2395090797666679E-3</v>
      </c>
      <c r="D305">
        <f t="shared" si="17"/>
        <v>1</v>
      </c>
      <c r="E305">
        <v>0.60313664183936655</v>
      </c>
      <c r="F305">
        <f t="shared" si="18"/>
        <v>1</v>
      </c>
      <c r="G305" t="b">
        <f t="shared" si="19"/>
        <v>1</v>
      </c>
      <c r="H305">
        <v>0.50898866203941162</v>
      </c>
    </row>
    <row r="306" spans="1:8" x14ac:dyDescent="0.35">
      <c r="A306" s="13">
        <v>42804</v>
      </c>
      <c r="B306" s="14">
        <v>4993.32</v>
      </c>
      <c r="C306" s="2">
        <f t="shared" si="16"/>
        <v>2.3707670967236805E-3</v>
      </c>
      <c r="D306">
        <f t="shared" si="17"/>
        <v>1</v>
      </c>
      <c r="E306">
        <v>0.69715028342189933</v>
      </c>
      <c r="F306">
        <f t="shared" si="18"/>
        <v>1</v>
      </c>
      <c r="G306" t="b">
        <f t="shared" si="19"/>
        <v>1</v>
      </c>
      <c r="H306">
        <v>0.50898870111750116</v>
      </c>
    </row>
    <row r="307" spans="1:8" x14ac:dyDescent="0.35">
      <c r="A307" s="13">
        <v>42807</v>
      </c>
      <c r="B307" s="14">
        <v>4999.6000000000004</v>
      </c>
      <c r="C307" s="2">
        <f t="shared" si="16"/>
        <v>1.2576802608286197E-3</v>
      </c>
      <c r="D307">
        <f t="shared" si="17"/>
        <v>1</v>
      </c>
      <c r="E307">
        <v>0.75278465649949267</v>
      </c>
      <c r="F307">
        <f t="shared" si="18"/>
        <v>1</v>
      </c>
      <c r="G307" t="b">
        <f t="shared" si="19"/>
        <v>1</v>
      </c>
      <c r="H307">
        <v>0.50898872897878855</v>
      </c>
    </row>
    <row r="308" spans="1:8" x14ac:dyDescent="0.35">
      <c r="A308" s="13">
        <v>42808</v>
      </c>
      <c r="B308" s="14">
        <v>4974.26</v>
      </c>
      <c r="C308" s="2">
        <f t="shared" si="16"/>
        <v>-5.0684054724378091E-3</v>
      </c>
      <c r="D308">
        <f t="shared" si="17"/>
        <v>0</v>
      </c>
      <c r="E308">
        <v>0.78833814973420813</v>
      </c>
      <c r="F308">
        <f t="shared" si="18"/>
        <v>1</v>
      </c>
      <c r="G308" t="b">
        <f t="shared" si="19"/>
        <v>0</v>
      </c>
      <c r="H308">
        <v>0.50898864862576243</v>
      </c>
    </row>
    <row r="309" spans="1:8" x14ac:dyDescent="0.35">
      <c r="A309" s="13">
        <v>42809</v>
      </c>
      <c r="B309" s="14">
        <v>4985.4799999999996</v>
      </c>
      <c r="C309" s="2">
        <f t="shared" si="16"/>
        <v>2.2556118900096678E-3</v>
      </c>
      <c r="D309">
        <f t="shared" si="17"/>
        <v>1</v>
      </c>
      <c r="E309">
        <v>0.6768026974492739</v>
      </c>
      <c r="F309">
        <f t="shared" si="18"/>
        <v>1</v>
      </c>
      <c r="G309" t="b">
        <f t="shared" si="19"/>
        <v>1</v>
      </c>
      <c r="H309">
        <v>0.50898869285181292</v>
      </c>
    </row>
    <row r="310" spans="1:8" x14ac:dyDescent="0.35">
      <c r="A310" s="13">
        <v>42810</v>
      </c>
      <c r="B310" s="14">
        <v>5013.38</v>
      </c>
      <c r="C310" s="2">
        <f t="shared" si="16"/>
        <v>5.5962515143979097E-3</v>
      </c>
      <c r="D310">
        <f t="shared" si="17"/>
        <v>1</v>
      </c>
      <c r="E310">
        <v>0.74045951674169719</v>
      </c>
      <c r="F310">
        <f t="shared" si="18"/>
        <v>1</v>
      </c>
      <c r="G310" t="b">
        <f t="shared" si="19"/>
        <v>1</v>
      </c>
      <c r="H310">
        <v>0.50898872381326699</v>
      </c>
    </row>
    <row r="311" spans="1:8" x14ac:dyDescent="0.35">
      <c r="A311" s="13">
        <v>42811</v>
      </c>
      <c r="B311" s="14">
        <v>5029.24</v>
      </c>
      <c r="C311" s="2">
        <f t="shared" si="16"/>
        <v>3.1635343819937933E-3</v>
      </c>
      <c r="D311">
        <f t="shared" si="17"/>
        <v>1</v>
      </c>
      <c r="E311">
        <v>0.78017600375057472</v>
      </c>
      <c r="F311">
        <f t="shared" si="18"/>
        <v>1</v>
      </c>
      <c r="G311" t="b">
        <f t="shared" si="19"/>
        <v>1</v>
      </c>
      <c r="H311">
        <v>0.50898874704580155</v>
      </c>
    </row>
    <row r="312" spans="1:8" x14ac:dyDescent="0.35">
      <c r="A312" s="13">
        <v>42814</v>
      </c>
      <c r="B312" s="14">
        <v>5012.16</v>
      </c>
      <c r="C312" s="2">
        <f t="shared" si="16"/>
        <v>-3.3961393769237347E-3</v>
      </c>
      <c r="D312">
        <f t="shared" si="17"/>
        <v>0</v>
      </c>
      <c r="E312">
        <v>0.80718168876939433</v>
      </c>
      <c r="F312">
        <f t="shared" si="18"/>
        <v>1</v>
      </c>
      <c r="G312" t="b">
        <f t="shared" si="19"/>
        <v>0</v>
      </c>
      <c r="H312">
        <v>0.50898866940864651</v>
      </c>
    </row>
    <row r="313" spans="1:8" x14ac:dyDescent="0.35">
      <c r="A313" s="13">
        <v>42815</v>
      </c>
      <c r="B313" s="14">
        <v>5002.43</v>
      </c>
      <c r="C313" s="2">
        <f t="shared" si="16"/>
        <v>-1.9412788099341105E-3</v>
      </c>
      <c r="D313">
        <f t="shared" si="17"/>
        <v>0</v>
      </c>
      <c r="E313">
        <v>0.70717377591598241</v>
      </c>
      <c r="F313">
        <f t="shared" si="18"/>
        <v>1</v>
      </c>
      <c r="G313" t="b">
        <f t="shared" si="19"/>
        <v>0</v>
      </c>
      <c r="H313">
        <v>0.5089885767116995</v>
      </c>
    </row>
    <row r="314" spans="1:8" x14ac:dyDescent="0.35">
      <c r="A314" s="13">
        <v>42816</v>
      </c>
      <c r="B314" s="14">
        <v>4994.7</v>
      </c>
      <c r="C314" s="2">
        <f t="shared" si="16"/>
        <v>-1.5452490089816751E-3</v>
      </c>
      <c r="D314">
        <f t="shared" si="17"/>
        <v>0</v>
      </c>
      <c r="E314">
        <v>0.56006420346085573</v>
      </c>
      <c r="F314">
        <f t="shared" si="18"/>
        <v>1</v>
      </c>
      <c r="G314" t="b">
        <f t="shared" si="19"/>
        <v>0</v>
      </c>
      <c r="H314">
        <v>0.5089884865298111</v>
      </c>
    </row>
    <row r="315" spans="1:8" x14ac:dyDescent="0.35">
      <c r="A315" s="13">
        <v>42817</v>
      </c>
      <c r="B315" s="14">
        <v>5032.76</v>
      </c>
      <c r="C315" s="2">
        <f t="shared" si="16"/>
        <v>7.6200772819188245E-3</v>
      </c>
      <c r="D315">
        <f t="shared" si="17"/>
        <v>1</v>
      </c>
      <c r="E315">
        <v>0.41075017678867182</v>
      </c>
      <c r="F315">
        <f t="shared" si="18"/>
        <v>0</v>
      </c>
      <c r="G315" t="b">
        <f t="shared" si="19"/>
        <v>0</v>
      </c>
      <c r="H315">
        <v>0.50898857984436796</v>
      </c>
    </row>
    <row r="316" spans="1:8" x14ac:dyDescent="0.35">
      <c r="A316" s="13">
        <v>42818</v>
      </c>
      <c r="B316" s="14">
        <v>5020.8999999999996</v>
      </c>
      <c r="C316" s="2">
        <f t="shared" si="16"/>
        <v>-2.356559820059112E-3</v>
      </c>
      <c r="D316">
        <f t="shared" si="17"/>
        <v>0</v>
      </c>
      <c r="E316">
        <v>0.56494082533734225</v>
      </c>
      <c r="F316">
        <f t="shared" si="18"/>
        <v>1</v>
      </c>
      <c r="G316" t="b">
        <f t="shared" si="19"/>
        <v>0</v>
      </c>
      <c r="H316">
        <v>0.50898848865798452</v>
      </c>
    </row>
    <row r="317" spans="1:8" x14ac:dyDescent="0.35">
      <c r="A317" s="13">
        <v>42821</v>
      </c>
      <c r="B317" s="14">
        <v>5017.43</v>
      </c>
      <c r="C317" s="2">
        <f t="shared" si="16"/>
        <v>-6.9111115537046075E-4</v>
      </c>
      <c r="D317">
        <f t="shared" si="17"/>
        <v>0</v>
      </c>
      <c r="E317">
        <v>0.41463953628000494</v>
      </c>
      <c r="F317">
        <f t="shared" si="18"/>
        <v>0</v>
      </c>
      <c r="G317" t="b">
        <f t="shared" si="19"/>
        <v>1</v>
      </c>
      <c r="H317">
        <v>0.5089884213193</v>
      </c>
    </row>
    <row r="318" spans="1:8" x14ac:dyDescent="0.35">
      <c r="A318" s="13">
        <v>42822</v>
      </c>
      <c r="B318" s="14">
        <v>5046.2</v>
      </c>
      <c r="C318" s="2">
        <f t="shared" si="16"/>
        <v>5.7340112368282625E-3</v>
      </c>
      <c r="D318">
        <f t="shared" si="17"/>
        <v>1</v>
      </c>
      <c r="E318">
        <v>0.31359889740650659</v>
      </c>
      <c r="F318">
        <f t="shared" si="18"/>
        <v>0</v>
      </c>
      <c r="G318" t="b">
        <f t="shared" si="19"/>
        <v>0</v>
      </c>
      <c r="H318">
        <v>0.50898851891032348</v>
      </c>
    </row>
    <row r="319" spans="1:8" x14ac:dyDescent="0.35">
      <c r="A319" s="13">
        <v>42823</v>
      </c>
      <c r="B319" s="14">
        <v>5069.04</v>
      </c>
      <c r="C319" s="2">
        <f t="shared" si="16"/>
        <v>4.5261781142245106E-3</v>
      </c>
      <c r="D319">
        <f t="shared" si="17"/>
        <v>1</v>
      </c>
      <c r="E319">
        <v>0.46513508523982272</v>
      </c>
      <c r="F319">
        <f t="shared" si="18"/>
        <v>0</v>
      </c>
      <c r="G319" t="b">
        <f t="shared" si="19"/>
        <v>0</v>
      </c>
      <c r="H319">
        <v>0.50898860466545093</v>
      </c>
    </row>
    <row r="320" spans="1:8" x14ac:dyDescent="0.35">
      <c r="A320" s="13">
        <v>42824</v>
      </c>
      <c r="B320" s="14">
        <v>5089.6400000000003</v>
      </c>
      <c r="C320" s="2">
        <f t="shared" si="16"/>
        <v>4.063885863990091E-3</v>
      </c>
      <c r="D320">
        <f t="shared" si="17"/>
        <v>1</v>
      </c>
      <c r="E320">
        <v>0.60852010670080758</v>
      </c>
      <c r="F320">
        <f t="shared" si="18"/>
        <v>1</v>
      </c>
      <c r="G320" t="b">
        <f t="shared" si="19"/>
        <v>1</v>
      </c>
      <c r="H320">
        <v>0.50898866355694616</v>
      </c>
    </row>
    <row r="321" spans="1:8" x14ac:dyDescent="0.35">
      <c r="A321" s="13">
        <v>42825</v>
      </c>
      <c r="B321" s="14">
        <v>5122.51</v>
      </c>
      <c r="C321" s="2">
        <f t="shared" si="16"/>
        <v>6.4582170841158693E-3</v>
      </c>
      <c r="D321">
        <f t="shared" si="17"/>
        <v>1</v>
      </c>
      <c r="E321">
        <v>0.7003018267208807</v>
      </c>
      <c r="F321">
        <f t="shared" si="18"/>
        <v>1</v>
      </c>
      <c r="G321" t="b">
        <f t="shared" si="19"/>
        <v>1</v>
      </c>
      <c r="H321">
        <v>0.5089887027228932</v>
      </c>
    </row>
    <row r="322" spans="1:8" x14ac:dyDescent="0.35">
      <c r="A322" s="13">
        <v>42828</v>
      </c>
      <c r="B322" s="14">
        <v>5085.91</v>
      </c>
      <c r="C322" s="2">
        <f t="shared" si="16"/>
        <v>-7.1449348073503449E-3</v>
      </c>
      <c r="D322">
        <f t="shared" si="17"/>
        <v>0</v>
      </c>
      <c r="E322">
        <v>0.75471851669159784</v>
      </c>
      <c r="F322">
        <f t="shared" si="18"/>
        <v>1</v>
      </c>
      <c r="G322" t="b">
        <f t="shared" si="19"/>
        <v>0</v>
      </c>
      <c r="H322">
        <v>0.50898861554158337</v>
      </c>
    </row>
    <row r="323" spans="1:8" x14ac:dyDescent="0.35">
      <c r="A323" s="13">
        <v>42829</v>
      </c>
      <c r="B323" s="14">
        <v>5101.13</v>
      </c>
      <c r="C323" s="2">
        <f t="shared" si="16"/>
        <v>2.9925814652638216E-3</v>
      </c>
      <c r="D323">
        <f t="shared" si="17"/>
        <v>1</v>
      </c>
      <c r="E323">
        <v>0.62543716744438849</v>
      </c>
      <c r="F323">
        <f t="shared" si="18"/>
        <v>1</v>
      </c>
      <c r="G323" t="b">
        <f t="shared" si="19"/>
        <v>1</v>
      </c>
      <c r="H323">
        <v>0.5089886704287766</v>
      </c>
    </row>
    <row r="324" spans="1:8" x14ac:dyDescent="0.35">
      <c r="A324" s="13">
        <v>42830</v>
      </c>
      <c r="B324" s="14">
        <v>5091.8500000000004</v>
      </c>
      <c r="C324" s="2">
        <f t="shared" ref="C324:C387" si="20">(B324/B323)-1</f>
        <v>-1.8192047644345344E-3</v>
      </c>
      <c r="D324">
        <f t="shared" si="17"/>
        <v>0</v>
      </c>
      <c r="E324">
        <v>0.71018847862853884</v>
      </c>
      <c r="F324">
        <f t="shared" si="18"/>
        <v>1</v>
      </c>
      <c r="G324" t="b">
        <f t="shared" si="19"/>
        <v>0</v>
      </c>
      <c r="H324">
        <v>0.50898857779412754</v>
      </c>
    </row>
    <row r="325" spans="1:8" x14ac:dyDescent="0.35">
      <c r="A325" s="13">
        <v>42831</v>
      </c>
      <c r="B325" s="14">
        <v>5121.4399999999996</v>
      </c>
      <c r="C325" s="2">
        <f t="shared" si="20"/>
        <v>5.8112473855276292E-3</v>
      </c>
      <c r="D325">
        <f t="shared" si="17"/>
        <v>1</v>
      </c>
      <c r="E325">
        <v>0.56394663349656815</v>
      </c>
      <c r="F325">
        <f t="shared" si="18"/>
        <v>1</v>
      </c>
      <c r="G325" t="b">
        <f t="shared" si="19"/>
        <v>1</v>
      </c>
      <c r="H325">
        <v>0.50898864578778791</v>
      </c>
    </row>
    <row r="326" spans="1:8" x14ac:dyDescent="0.35">
      <c r="A326" s="13">
        <v>42832</v>
      </c>
      <c r="B326" s="14">
        <v>5135.28</v>
      </c>
      <c r="C326" s="2">
        <f t="shared" si="20"/>
        <v>2.7023649598549859E-3</v>
      </c>
      <c r="D326">
        <f t="shared" ref="D326:D389" si="21">IF(C326&gt;=0,1,0)</f>
        <v>1</v>
      </c>
      <c r="E326">
        <v>0.6738577583625136</v>
      </c>
      <c r="F326">
        <f t="shared" si="18"/>
        <v>1</v>
      </c>
      <c r="G326" t="b">
        <f t="shared" si="19"/>
        <v>1</v>
      </c>
      <c r="H326">
        <v>0.50898869033377092</v>
      </c>
    </row>
    <row r="327" spans="1:8" x14ac:dyDescent="0.35">
      <c r="A327" s="13">
        <v>42835</v>
      </c>
      <c r="B327" s="14">
        <v>5107.45</v>
      </c>
      <c r="C327" s="2">
        <f t="shared" si="20"/>
        <v>-5.4193734324126108E-3</v>
      </c>
      <c r="D327">
        <f t="shared" si="21"/>
        <v>0</v>
      </c>
      <c r="E327">
        <v>0.73869495916341033</v>
      </c>
      <c r="F327">
        <f t="shared" si="18"/>
        <v>1</v>
      </c>
      <c r="G327" t="b">
        <f t="shared" si="19"/>
        <v>0</v>
      </c>
      <c r="H327">
        <v>0.50898860123480516</v>
      </c>
    </row>
    <row r="328" spans="1:8" x14ac:dyDescent="0.35">
      <c r="A328" s="13">
        <v>42836</v>
      </c>
      <c r="B328" s="14">
        <v>5101.8599999999997</v>
      </c>
      <c r="C328" s="2">
        <f t="shared" si="20"/>
        <v>-1.0944796326934902E-3</v>
      </c>
      <c r="D328">
        <f t="shared" si="21"/>
        <v>0</v>
      </c>
      <c r="E328">
        <v>0.6024122571430014</v>
      </c>
      <c r="F328">
        <f t="shared" si="18"/>
        <v>1</v>
      </c>
      <c r="G328" t="b">
        <f t="shared" si="19"/>
        <v>0</v>
      </c>
      <c r="H328">
        <v>0.50898850819969665</v>
      </c>
    </row>
    <row r="329" spans="1:8" x14ac:dyDescent="0.35">
      <c r="A329" s="13">
        <v>42837</v>
      </c>
      <c r="B329" s="14">
        <v>5101.1099999999997</v>
      </c>
      <c r="C329" s="2">
        <f t="shared" si="20"/>
        <v>-1.4700520986465904E-4</v>
      </c>
      <c r="D329">
        <f t="shared" si="21"/>
        <v>0</v>
      </c>
      <c r="E329">
        <v>0.44658261400312294</v>
      </c>
      <c r="F329">
        <f t="shared" ref="F329:F392" si="22">IF(E329&gt;=0.5,1,0)</f>
        <v>0</v>
      </c>
      <c r="G329" t="b">
        <f t="shared" ref="G329:G392" si="23">IF(D329=F329,TRUE,FALSE)</f>
        <v>1</v>
      </c>
      <c r="H329">
        <v>0.50898843434330354</v>
      </c>
    </row>
    <row r="330" spans="1:8" x14ac:dyDescent="0.35">
      <c r="A330" s="13">
        <v>42838</v>
      </c>
      <c r="B330" s="14">
        <v>5071.1000000000004</v>
      </c>
      <c r="C330" s="2">
        <f t="shared" si="20"/>
        <v>-5.8830333005952529E-3</v>
      </c>
      <c r="D330">
        <f t="shared" si="21"/>
        <v>0</v>
      </c>
      <c r="E330">
        <v>0.33279166604319838</v>
      </c>
      <c r="F330">
        <f t="shared" si="22"/>
        <v>0</v>
      </c>
      <c r="G330" t="b">
        <f t="shared" si="23"/>
        <v>1</v>
      </c>
      <c r="H330">
        <v>0.50898838398700086</v>
      </c>
    </row>
    <row r="331" spans="1:8" x14ac:dyDescent="0.35">
      <c r="A331" s="13">
        <v>42843</v>
      </c>
      <c r="B331" s="14">
        <v>4990.25</v>
      </c>
      <c r="C331" s="2">
        <f t="shared" si="20"/>
        <v>-1.594328646644716E-2</v>
      </c>
      <c r="D331">
        <f t="shared" si="21"/>
        <v>0</v>
      </c>
      <c r="E331">
        <v>0.26556566834610335</v>
      </c>
      <c r="F331">
        <f t="shared" si="22"/>
        <v>0</v>
      </c>
      <c r="G331" t="b">
        <f t="shared" si="23"/>
        <v>1</v>
      </c>
      <c r="H331">
        <v>0.50898834794554693</v>
      </c>
    </row>
    <row r="332" spans="1:8" x14ac:dyDescent="0.35">
      <c r="A332" s="13">
        <v>42844</v>
      </c>
      <c r="B332" s="14">
        <v>5003.7299999999996</v>
      </c>
      <c r="C332" s="2">
        <f t="shared" si="20"/>
        <v>2.7012674715694018E-3</v>
      </c>
      <c r="D332">
        <f t="shared" si="21"/>
        <v>1</v>
      </c>
      <c r="E332">
        <v>0.22400417762905345</v>
      </c>
      <c r="F332">
        <f t="shared" si="22"/>
        <v>0</v>
      </c>
      <c r="G332" t="b">
        <f t="shared" si="23"/>
        <v>0</v>
      </c>
      <c r="H332">
        <v>0.50898844036732649</v>
      </c>
    </row>
    <row r="333" spans="1:8" x14ac:dyDescent="0.35">
      <c r="A333" s="13">
        <v>42845</v>
      </c>
      <c r="B333" s="14">
        <v>5077.91</v>
      </c>
      <c r="C333" s="2">
        <f t="shared" si="20"/>
        <v>1.4824940594316605E-2</v>
      </c>
      <c r="D333">
        <f t="shared" si="21"/>
        <v>1</v>
      </c>
      <c r="E333">
        <v>0.34168361120755875</v>
      </c>
      <c r="F333">
        <f t="shared" si="22"/>
        <v>0</v>
      </c>
      <c r="G333" t="b">
        <f t="shared" si="23"/>
        <v>0</v>
      </c>
      <c r="H333">
        <v>0.50898853972014158</v>
      </c>
    </row>
    <row r="334" spans="1:8" x14ac:dyDescent="0.35">
      <c r="A334" s="13">
        <v>42846</v>
      </c>
      <c r="B334" s="14">
        <v>5059.2</v>
      </c>
      <c r="C334" s="2">
        <f t="shared" si="20"/>
        <v>-3.6845867689659917E-3</v>
      </c>
      <c r="D334">
        <f t="shared" si="21"/>
        <v>0</v>
      </c>
      <c r="E334">
        <v>0.49738089665720886</v>
      </c>
      <c r="F334">
        <f t="shared" si="22"/>
        <v>0</v>
      </c>
      <c r="G334" t="b">
        <f t="shared" si="23"/>
        <v>1</v>
      </c>
      <c r="H334">
        <v>0.50898845651778679</v>
      </c>
    </row>
    <row r="335" spans="1:8" x14ac:dyDescent="0.35">
      <c r="A335" s="13">
        <v>42849</v>
      </c>
      <c r="B335" s="14">
        <v>5268.85</v>
      </c>
      <c r="C335" s="2">
        <f t="shared" si="20"/>
        <v>4.1439358001265081E-2</v>
      </c>
      <c r="D335">
        <f t="shared" si="21"/>
        <v>1</v>
      </c>
      <c r="E335">
        <v>0.3652224276275618</v>
      </c>
      <c r="F335">
        <f t="shared" si="22"/>
        <v>0</v>
      </c>
      <c r="G335" t="b">
        <f t="shared" si="23"/>
        <v>0</v>
      </c>
      <c r="H335">
        <v>0.50898855383152197</v>
      </c>
    </row>
    <row r="336" spans="1:8" x14ac:dyDescent="0.35">
      <c r="A336" s="13">
        <v>42850</v>
      </c>
      <c r="B336" s="14">
        <v>5277.88</v>
      </c>
      <c r="C336" s="2">
        <f t="shared" si="20"/>
        <v>1.7138464750372506E-3</v>
      </c>
      <c r="D336">
        <f t="shared" si="21"/>
        <v>1</v>
      </c>
      <c r="E336">
        <v>0.52217646484759139</v>
      </c>
      <c r="F336">
        <f t="shared" si="22"/>
        <v>1</v>
      </c>
      <c r="G336" t="b">
        <f t="shared" si="23"/>
        <v>1</v>
      </c>
      <c r="H336">
        <v>0.50898863012801121</v>
      </c>
    </row>
    <row r="337" spans="1:8" x14ac:dyDescent="0.35">
      <c r="A337" s="13">
        <v>42851</v>
      </c>
      <c r="B337" s="14">
        <v>5287.88</v>
      </c>
      <c r="C337" s="2">
        <f t="shared" si="20"/>
        <v>1.8947001447551237E-3</v>
      </c>
      <c r="D337">
        <f t="shared" si="21"/>
        <v>1</v>
      </c>
      <c r="E337">
        <v>0.64780543974319227</v>
      </c>
      <c r="F337">
        <f t="shared" si="22"/>
        <v>1</v>
      </c>
      <c r="G337" t="b">
        <f t="shared" si="23"/>
        <v>1</v>
      </c>
      <c r="H337">
        <v>0.50898867963085515</v>
      </c>
    </row>
    <row r="338" spans="1:8" x14ac:dyDescent="0.35">
      <c r="A338" s="13">
        <v>42852</v>
      </c>
      <c r="B338" s="14">
        <v>5271.7</v>
      </c>
      <c r="C338" s="2">
        <f t="shared" si="20"/>
        <v>-3.0598273788361441E-3</v>
      </c>
      <c r="D338">
        <f t="shared" si="21"/>
        <v>0</v>
      </c>
      <c r="E338">
        <v>0.72327491735628735</v>
      </c>
      <c r="F338">
        <f t="shared" si="22"/>
        <v>1</v>
      </c>
      <c r="G338" t="b">
        <f t="shared" si="23"/>
        <v>0</v>
      </c>
      <c r="H338">
        <v>0.50898858839552297</v>
      </c>
    </row>
    <row r="339" spans="1:8" x14ac:dyDescent="0.35">
      <c r="A339" s="13">
        <v>42853</v>
      </c>
      <c r="B339" s="14">
        <v>5267.33</v>
      </c>
      <c r="C339" s="2">
        <f t="shared" si="20"/>
        <v>-8.2895460667331555E-4</v>
      </c>
      <c r="D339">
        <f t="shared" si="21"/>
        <v>0</v>
      </c>
      <c r="E339">
        <v>0.58120714604069346</v>
      </c>
      <c r="F339">
        <f t="shared" si="22"/>
        <v>1</v>
      </c>
      <c r="G339" t="b">
        <f t="shared" si="23"/>
        <v>0</v>
      </c>
      <c r="H339">
        <v>0.50898849673677804</v>
      </c>
    </row>
    <row r="340" spans="1:8" x14ac:dyDescent="0.35">
      <c r="A340" s="13">
        <v>42857</v>
      </c>
      <c r="B340" s="14">
        <v>5304.15</v>
      </c>
      <c r="C340" s="2">
        <f t="shared" si="20"/>
        <v>6.9902588218317963E-3</v>
      </c>
      <c r="D340">
        <f t="shared" si="21"/>
        <v>1</v>
      </c>
      <c r="E340">
        <v>0.42804767732891613</v>
      </c>
      <c r="F340">
        <f t="shared" si="22"/>
        <v>0</v>
      </c>
      <c r="G340" t="b">
        <f t="shared" si="23"/>
        <v>0</v>
      </c>
      <c r="H340">
        <v>0.50898858642048195</v>
      </c>
    </row>
    <row r="341" spans="1:8" x14ac:dyDescent="0.35">
      <c r="A341" s="13">
        <v>42858</v>
      </c>
      <c r="B341" s="14">
        <v>5301</v>
      </c>
      <c r="C341" s="2">
        <f t="shared" si="20"/>
        <v>-5.938746076185053E-4</v>
      </c>
      <c r="D341">
        <f t="shared" si="21"/>
        <v>0</v>
      </c>
      <c r="E341">
        <v>0.57958189360840462</v>
      </c>
      <c r="F341">
        <f t="shared" si="22"/>
        <v>1</v>
      </c>
      <c r="G341" t="b">
        <f t="shared" si="23"/>
        <v>0</v>
      </c>
      <c r="H341">
        <v>0.508988496192328</v>
      </c>
    </row>
    <row r="342" spans="1:8" x14ac:dyDescent="0.35">
      <c r="A342" s="13">
        <v>42859</v>
      </c>
      <c r="B342" s="14">
        <v>5372.42</v>
      </c>
      <c r="C342" s="2">
        <f t="shared" si="20"/>
        <v>1.347292963591773E-2</v>
      </c>
      <c r="D342">
        <f t="shared" si="21"/>
        <v>1</v>
      </c>
      <c r="E342">
        <v>0.42667918190693599</v>
      </c>
      <c r="F342">
        <f t="shared" si="22"/>
        <v>0</v>
      </c>
      <c r="G342" t="b">
        <f t="shared" si="23"/>
        <v>0</v>
      </c>
      <c r="H342">
        <v>0.50898858305104733</v>
      </c>
    </row>
    <row r="343" spans="1:8" x14ac:dyDescent="0.35">
      <c r="A343" s="13">
        <v>42860</v>
      </c>
      <c r="B343" s="14">
        <v>5432.4</v>
      </c>
      <c r="C343" s="2">
        <f t="shared" si="20"/>
        <v>1.1164428693214434E-2</v>
      </c>
      <c r="D343">
        <f t="shared" si="21"/>
        <v>1</v>
      </c>
      <c r="E343">
        <v>0.57845041139535636</v>
      </c>
      <c r="F343">
        <f t="shared" si="22"/>
        <v>1</v>
      </c>
      <c r="G343" t="b">
        <f t="shared" si="23"/>
        <v>1</v>
      </c>
      <c r="H343">
        <v>0.50898864635145891</v>
      </c>
    </row>
    <row r="344" spans="1:8" x14ac:dyDescent="0.35">
      <c r="A344" s="13">
        <v>42863</v>
      </c>
      <c r="B344" s="14">
        <v>5382.95</v>
      </c>
      <c r="C344" s="2">
        <f t="shared" si="20"/>
        <v>-9.1027906634267852E-3</v>
      </c>
      <c r="D344">
        <f t="shared" si="21"/>
        <v>0</v>
      </c>
      <c r="E344">
        <v>0.68256033891731216</v>
      </c>
      <c r="F344">
        <f t="shared" si="22"/>
        <v>1</v>
      </c>
      <c r="G344" t="b">
        <f t="shared" si="23"/>
        <v>0</v>
      </c>
      <c r="H344">
        <v>0.50898855571775437</v>
      </c>
    </row>
    <row r="345" spans="1:8" x14ac:dyDescent="0.35">
      <c r="A345" s="13">
        <v>42864</v>
      </c>
      <c r="B345" s="14">
        <v>5398.01</v>
      </c>
      <c r="C345" s="2">
        <f t="shared" si="20"/>
        <v>2.797722438439898E-3</v>
      </c>
      <c r="D345">
        <f t="shared" si="21"/>
        <v>1</v>
      </c>
      <c r="E345">
        <v>0.52976611561371745</v>
      </c>
      <c r="F345">
        <f t="shared" si="22"/>
        <v>1</v>
      </c>
      <c r="G345" t="b">
        <f t="shared" si="23"/>
        <v>1</v>
      </c>
      <c r="H345">
        <v>0.5089886298409998</v>
      </c>
    </row>
    <row r="346" spans="1:8" x14ac:dyDescent="0.35">
      <c r="A346" s="13">
        <v>42865</v>
      </c>
      <c r="B346" s="14">
        <v>5400.46</v>
      </c>
      <c r="C346" s="2">
        <f t="shared" si="20"/>
        <v>4.5387096355886669E-4</v>
      </c>
      <c r="D346">
        <f t="shared" si="21"/>
        <v>1</v>
      </c>
      <c r="E346">
        <v>0.65266957819593852</v>
      </c>
      <c r="F346">
        <f t="shared" si="22"/>
        <v>1</v>
      </c>
      <c r="G346" t="b">
        <f t="shared" si="23"/>
        <v>1</v>
      </c>
      <c r="H346">
        <v>0.50898867911641865</v>
      </c>
    </row>
    <row r="347" spans="1:8" x14ac:dyDescent="0.35">
      <c r="A347" s="13">
        <v>42866</v>
      </c>
      <c r="B347" s="14">
        <v>5383.42</v>
      </c>
      <c r="C347" s="2">
        <f t="shared" si="20"/>
        <v>-3.1552867718676048E-3</v>
      </c>
      <c r="D347">
        <f t="shared" si="21"/>
        <v>0</v>
      </c>
      <c r="E347">
        <v>0.72613270107950789</v>
      </c>
      <c r="F347">
        <f t="shared" si="22"/>
        <v>1</v>
      </c>
      <c r="G347" t="b">
        <f t="shared" si="23"/>
        <v>0</v>
      </c>
      <c r="H347">
        <v>0.50898858798060553</v>
      </c>
    </row>
    <row r="348" spans="1:8" x14ac:dyDescent="0.35">
      <c r="A348" s="13">
        <v>42867</v>
      </c>
      <c r="B348" s="14">
        <v>5405.42</v>
      </c>
      <c r="C348" s="2">
        <f t="shared" si="20"/>
        <v>4.0866215156907248E-3</v>
      </c>
      <c r="D348">
        <f t="shared" si="21"/>
        <v>1</v>
      </c>
      <c r="E348">
        <v>0.58507028092038882</v>
      </c>
      <c r="F348">
        <f t="shared" si="22"/>
        <v>1</v>
      </c>
      <c r="G348" t="b">
        <f t="shared" si="23"/>
        <v>1</v>
      </c>
      <c r="H348">
        <v>0.50898865154534756</v>
      </c>
    </row>
    <row r="349" spans="1:8" x14ac:dyDescent="0.35">
      <c r="A349" s="13">
        <v>42870</v>
      </c>
      <c r="B349" s="14">
        <v>5417.4</v>
      </c>
      <c r="C349" s="2">
        <f t="shared" si="20"/>
        <v>2.2162940160059819E-3</v>
      </c>
      <c r="D349">
        <f t="shared" si="21"/>
        <v>1</v>
      </c>
      <c r="E349">
        <v>0.68649394147774556</v>
      </c>
      <c r="F349">
        <f t="shared" si="22"/>
        <v>1</v>
      </c>
      <c r="G349" t="b">
        <f t="shared" si="23"/>
        <v>1</v>
      </c>
      <c r="H349">
        <v>0.50898869311341832</v>
      </c>
    </row>
    <row r="350" spans="1:8" x14ac:dyDescent="0.35">
      <c r="A350" s="13">
        <v>42871</v>
      </c>
      <c r="B350" s="14">
        <v>5406.1</v>
      </c>
      <c r="C350" s="2">
        <f t="shared" si="20"/>
        <v>-2.0858714512494991E-3</v>
      </c>
      <c r="D350">
        <f t="shared" si="21"/>
        <v>0</v>
      </c>
      <c r="E350">
        <v>0.74629001299952258</v>
      </c>
      <c r="F350">
        <f t="shared" si="22"/>
        <v>1</v>
      </c>
      <c r="G350" t="b">
        <f t="shared" si="23"/>
        <v>0</v>
      </c>
      <c r="H350">
        <v>0.50898860506062993</v>
      </c>
    </row>
    <row r="351" spans="1:8" x14ac:dyDescent="0.35">
      <c r="A351" s="13">
        <v>42872</v>
      </c>
      <c r="B351" s="14">
        <v>5317.89</v>
      </c>
      <c r="C351" s="2">
        <f t="shared" si="20"/>
        <v>-1.6316753297201281E-2</v>
      </c>
      <c r="D351">
        <f t="shared" si="21"/>
        <v>0</v>
      </c>
      <c r="E351">
        <v>0.61321138429630762</v>
      </c>
      <c r="F351">
        <f t="shared" si="22"/>
        <v>1</v>
      </c>
      <c r="G351" t="b">
        <f t="shared" si="23"/>
        <v>0</v>
      </c>
      <c r="H351">
        <v>0.50898851124176392</v>
      </c>
    </row>
    <row r="352" spans="1:8" x14ac:dyDescent="0.35">
      <c r="A352" s="13">
        <v>42873</v>
      </c>
      <c r="B352" s="14">
        <v>5289.73</v>
      </c>
      <c r="C352" s="2">
        <f t="shared" si="20"/>
        <v>-5.2953332994855051E-3</v>
      </c>
      <c r="D352">
        <f t="shared" si="21"/>
        <v>0</v>
      </c>
      <c r="E352">
        <v>0.45653956956033598</v>
      </c>
      <c r="F352">
        <f t="shared" si="22"/>
        <v>0</v>
      </c>
      <c r="G352" t="b">
        <f t="shared" si="23"/>
        <v>1</v>
      </c>
      <c r="H352">
        <v>0.50898843534193494</v>
      </c>
    </row>
    <row r="353" spans="1:8" x14ac:dyDescent="0.35">
      <c r="A353" s="13">
        <v>42874</v>
      </c>
      <c r="B353" s="14">
        <v>5324.4</v>
      </c>
      <c r="C353" s="2">
        <f t="shared" si="20"/>
        <v>6.5542097611788197E-3</v>
      </c>
      <c r="D353">
        <f t="shared" si="21"/>
        <v>1</v>
      </c>
      <c r="E353">
        <v>0.33893448729636833</v>
      </c>
      <c r="F353">
        <f t="shared" si="22"/>
        <v>0</v>
      </c>
      <c r="G353" t="b">
        <f t="shared" si="23"/>
        <v>0</v>
      </c>
      <c r="H353">
        <v>0.50898853552732837</v>
      </c>
    </row>
    <row r="354" spans="1:8" x14ac:dyDescent="0.35">
      <c r="A354" s="13">
        <v>42877</v>
      </c>
      <c r="B354" s="14">
        <v>5322.88</v>
      </c>
      <c r="C354" s="2">
        <f t="shared" si="20"/>
        <v>-2.854781759445979E-4</v>
      </c>
      <c r="D354">
        <f t="shared" si="21"/>
        <v>0</v>
      </c>
      <c r="E354">
        <v>0.49434445466731597</v>
      </c>
      <c r="F354">
        <f t="shared" si="22"/>
        <v>0</v>
      </c>
      <c r="G354" t="b">
        <f t="shared" si="23"/>
        <v>1</v>
      </c>
      <c r="H354">
        <v>0.50898845223154265</v>
      </c>
    </row>
    <row r="355" spans="1:8" x14ac:dyDescent="0.35">
      <c r="A355" s="13">
        <v>42879</v>
      </c>
      <c r="B355" s="14">
        <v>5341.34</v>
      </c>
      <c r="C355" s="2">
        <f t="shared" si="20"/>
        <v>3.4680473728507799E-3</v>
      </c>
      <c r="D355">
        <f t="shared" si="21"/>
        <v>1</v>
      </c>
      <c r="E355">
        <v>0.36320080186492143</v>
      </c>
      <c r="F355">
        <f t="shared" si="22"/>
        <v>0</v>
      </c>
      <c r="G355" t="b">
        <f t="shared" si="23"/>
        <v>0</v>
      </c>
      <c r="H355">
        <v>0.50898855008807442</v>
      </c>
    </row>
    <row r="356" spans="1:8" x14ac:dyDescent="0.35">
      <c r="A356" s="13">
        <v>42880</v>
      </c>
      <c r="B356" s="14">
        <v>5337.16</v>
      </c>
      <c r="C356" s="2">
        <f t="shared" si="20"/>
        <v>-7.8257515904256447E-4</v>
      </c>
      <c r="D356">
        <f t="shared" si="21"/>
        <v>0</v>
      </c>
      <c r="E356">
        <v>0.52011287809069584</v>
      </c>
      <c r="F356">
        <f t="shared" si="22"/>
        <v>1</v>
      </c>
      <c r="G356" t="b">
        <f t="shared" si="23"/>
        <v>0</v>
      </c>
      <c r="H356">
        <v>0.50898846357504623</v>
      </c>
    </row>
    <row r="357" spans="1:8" x14ac:dyDescent="0.35">
      <c r="A357" s="13">
        <v>42881</v>
      </c>
      <c r="B357" s="14">
        <v>5336.64</v>
      </c>
      <c r="C357" s="2">
        <f t="shared" si="20"/>
        <v>-9.7430093907502346E-5</v>
      </c>
      <c r="D357">
        <f t="shared" si="21"/>
        <v>0</v>
      </c>
      <c r="E357">
        <v>0.38088777417993791</v>
      </c>
      <c r="F357">
        <f t="shared" si="22"/>
        <v>0</v>
      </c>
      <c r="G357" t="b">
        <f t="shared" si="23"/>
        <v>1</v>
      </c>
      <c r="H357">
        <v>0.50898840256694611</v>
      </c>
    </row>
    <row r="358" spans="1:8" x14ac:dyDescent="0.35">
      <c r="A358" s="13">
        <v>42884</v>
      </c>
      <c r="B358" s="14">
        <v>5332.47</v>
      </c>
      <c r="C358" s="2">
        <f t="shared" si="20"/>
        <v>-7.8139053786652202E-4</v>
      </c>
      <c r="D358">
        <f t="shared" si="21"/>
        <v>0</v>
      </c>
      <c r="E358">
        <v>0.2938090601299882</v>
      </c>
      <c r="F358">
        <f t="shared" si="22"/>
        <v>0</v>
      </c>
      <c r="G358" t="b">
        <f t="shared" si="23"/>
        <v>1</v>
      </c>
      <c r="H358">
        <v>0.50898836000874559</v>
      </c>
    </row>
    <row r="359" spans="1:8" x14ac:dyDescent="0.35">
      <c r="A359" s="13">
        <v>42885</v>
      </c>
      <c r="B359" s="14">
        <v>5305.94</v>
      </c>
      <c r="C359" s="2">
        <f t="shared" si="20"/>
        <v>-4.9751803573204745E-3</v>
      </c>
      <c r="D359">
        <f t="shared" si="21"/>
        <v>0</v>
      </c>
      <c r="E359">
        <v>0.24192678387602412</v>
      </c>
      <c r="F359">
        <f t="shared" si="22"/>
        <v>0</v>
      </c>
      <c r="G359" t="b">
        <f t="shared" si="23"/>
        <v>1</v>
      </c>
      <c r="H359">
        <v>0.50898832865685417</v>
      </c>
    </row>
    <row r="360" spans="1:8" x14ac:dyDescent="0.35">
      <c r="A360" s="13">
        <v>42886</v>
      </c>
      <c r="B360" s="14">
        <v>5283.63</v>
      </c>
      <c r="C360" s="2">
        <f t="shared" si="20"/>
        <v>-4.2047215008084171E-3</v>
      </c>
      <c r="D360">
        <f t="shared" si="21"/>
        <v>0</v>
      </c>
      <c r="E360">
        <v>0.20833433670890114</v>
      </c>
      <c r="F360">
        <f t="shared" si="22"/>
        <v>0</v>
      </c>
      <c r="G360" t="b">
        <f t="shared" si="23"/>
        <v>1</v>
      </c>
      <c r="H360">
        <v>0.50898830426499586</v>
      </c>
    </row>
    <row r="361" spans="1:8" x14ac:dyDescent="0.35">
      <c r="A361" s="13">
        <v>42887</v>
      </c>
      <c r="B361" s="14">
        <v>5318.67</v>
      </c>
      <c r="C361" s="2">
        <f t="shared" si="20"/>
        <v>6.631804270927466E-3</v>
      </c>
      <c r="D361">
        <f t="shared" si="21"/>
        <v>1</v>
      </c>
      <c r="E361">
        <v>0.18478640391557039</v>
      </c>
      <c r="F361">
        <f t="shared" si="22"/>
        <v>0</v>
      </c>
      <c r="G361" t="b">
        <f t="shared" si="23"/>
        <v>0</v>
      </c>
      <c r="H361">
        <v>0.50898838966218996</v>
      </c>
    </row>
    <row r="362" spans="1:8" x14ac:dyDescent="0.35">
      <c r="A362" s="13">
        <v>42888</v>
      </c>
      <c r="B362" s="14">
        <v>5343.41</v>
      </c>
      <c r="C362" s="2">
        <f t="shared" si="20"/>
        <v>4.6515388245558231E-3</v>
      </c>
      <c r="D362">
        <f t="shared" si="21"/>
        <v>1</v>
      </c>
      <c r="E362">
        <v>0.27875150900788548</v>
      </c>
      <c r="F362">
        <f t="shared" si="22"/>
        <v>0</v>
      </c>
      <c r="G362" t="b">
        <f t="shared" si="23"/>
        <v>0</v>
      </c>
      <c r="H362">
        <v>0.50898848703414123</v>
      </c>
    </row>
    <row r="363" spans="1:8" x14ac:dyDescent="0.35">
      <c r="A363" s="13">
        <v>42891</v>
      </c>
      <c r="B363" s="14">
        <v>5307.89</v>
      </c>
      <c r="C363" s="2">
        <f t="shared" si="20"/>
        <v>-6.6474404921200714E-3</v>
      </c>
      <c r="D363">
        <f t="shared" si="21"/>
        <v>0</v>
      </c>
      <c r="E363">
        <v>0.42082436150291125</v>
      </c>
      <c r="F363">
        <f t="shared" si="22"/>
        <v>0</v>
      </c>
      <c r="G363" t="b">
        <f t="shared" si="23"/>
        <v>1</v>
      </c>
      <c r="H363">
        <v>0.50898841799595451</v>
      </c>
    </row>
    <row r="364" spans="1:8" x14ac:dyDescent="0.35">
      <c r="A364" s="13">
        <v>42892</v>
      </c>
      <c r="B364" s="14">
        <v>5269.22</v>
      </c>
      <c r="C364" s="2">
        <f t="shared" si="20"/>
        <v>-7.2853808198738434E-3</v>
      </c>
      <c r="D364">
        <f t="shared" si="21"/>
        <v>0</v>
      </c>
      <c r="E364">
        <v>0.31728036064563425</v>
      </c>
      <c r="F364">
        <f t="shared" si="22"/>
        <v>0</v>
      </c>
      <c r="G364" t="b">
        <f t="shared" si="23"/>
        <v>1</v>
      </c>
      <c r="H364">
        <v>0.50898837098162275</v>
      </c>
    </row>
    <row r="365" spans="1:8" x14ac:dyDescent="0.35">
      <c r="A365" s="13">
        <v>42893</v>
      </c>
      <c r="B365" s="14">
        <v>5265.53</v>
      </c>
      <c r="C365" s="2">
        <f t="shared" si="20"/>
        <v>-7.002934020595708E-4</v>
      </c>
      <c r="D365">
        <f t="shared" si="21"/>
        <v>0</v>
      </c>
      <c r="E365">
        <v>0.25628494054195733</v>
      </c>
      <c r="F365">
        <f t="shared" si="22"/>
        <v>0</v>
      </c>
      <c r="G365" t="b">
        <f t="shared" si="23"/>
        <v>1</v>
      </c>
      <c r="H365">
        <v>0.50898833685985156</v>
      </c>
    </row>
    <row r="366" spans="1:8" x14ac:dyDescent="0.35">
      <c r="A366" s="13">
        <v>42894</v>
      </c>
      <c r="B366" s="14">
        <v>5264.24</v>
      </c>
      <c r="C366" s="2">
        <f t="shared" si="20"/>
        <v>-2.4498958319485453E-4</v>
      </c>
      <c r="D366">
        <f t="shared" si="21"/>
        <v>0</v>
      </c>
      <c r="E366">
        <v>0.21793536045089273</v>
      </c>
      <c r="F366">
        <f t="shared" si="22"/>
        <v>0</v>
      </c>
      <c r="G366" t="b">
        <f t="shared" si="23"/>
        <v>1</v>
      </c>
      <c r="H366">
        <v>0.50898831054539095</v>
      </c>
    </row>
    <row r="367" spans="1:8" x14ac:dyDescent="0.35">
      <c r="A367" s="13">
        <v>42895</v>
      </c>
      <c r="B367" s="14">
        <v>5299.71</v>
      </c>
      <c r="C367" s="2">
        <f t="shared" si="20"/>
        <v>6.7379146847408311E-3</v>
      </c>
      <c r="D367">
        <f t="shared" si="21"/>
        <v>1</v>
      </c>
      <c r="E367">
        <v>0.19168241974650513</v>
      </c>
      <c r="F367">
        <f t="shared" si="22"/>
        <v>0</v>
      </c>
      <c r="G367" t="b">
        <f t="shared" si="23"/>
        <v>0</v>
      </c>
      <c r="H367">
        <v>0.50898839813994179</v>
      </c>
    </row>
    <row r="368" spans="1:8" x14ac:dyDescent="0.35">
      <c r="A368" s="13">
        <v>42898</v>
      </c>
      <c r="B368" s="14">
        <v>5240.59</v>
      </c>
      <c r="C368" s="2">
        <f t="shared" si="20"/>
        <v>-1.1155327366969114E-2</v>
      </c>
      <c r="D368">
        <f t="shared" si="21"/>
        <v>0</v>
      </c>
      <c r="E368">
        <v>0.29010919955690556</v>
      </c>
      <c r="F368">
        <f t="shared" si="22"/>
        <v>0</v>
      </c>
      <c r="G368" t="b">
        <f t="shared" si="23"/>
        <v>1</v>
      </c>
      <c r="H368">
        <v>0.50898835677420329</v>
      </c>
    </row>
    <row r="369" spans="1:8" x14ac:dyDescent="0.35">
      <c r="A369" s="13">
        <v>42899</v>
      </c>
      <c r="B369" s="14">
        <v>5261.74</v>
      </c>
      <c r="C369" s="2">
        <f t="shared" si="20"/>
        <v>4.0358051288118535E-3</v>
      </c>
      <c r="D369">
        <f t="shared" si="21"/>
        <v>1</v>
      </c>
      <c r="E369">
        <v>0.23962406634496627</v>
      </c>
      <c r="F369">
        <f t="shared" si="22"/>
        <v>0</v>
      </c>
      <c r="G369" t="b">
        <f t="shared" si="23"/>
        <v>0</v>
      </c>
      <c r="H369">
        <v>0.50898845098147405</v>
      </c>
    </row>
    <row r="370" spans="1:8" x14ac:dyDescent="0.35">
      <c r="A370" s="13">
        <v>42900</v>
      </c>
      <c r="B370" s="14">
        <v>5243.29</v>
      </c>
      <c r="C370" s="2">
        <f t="shared" si="20"/>
        <v>-3.506444636184991E-3</v>
      </c>
      <c r="D370">
        <f t="shared" si="21"/>
        <v>0</v>
      </c>
      <c r="E370">
        <v>0.36539132822939491</v>
      </c>
      <c r="F370">
        <f t="shared" si="22"/>
        <v>0</v>
      </c>
      <c r="G370" t="b">
        <f t="shared" si="23"/>
        <v>1</v>
      </c>
      <c r="H370">
        <v>0.50898839305285448</v>
      </c>
    </row>
    <row r="371" spans="1:8" x14ac:dyDescent="0.35">
      <c r="A371" s="13">
        <v>42901</v>
      </c>
      <c r="B371" s="14">
        <v>5216.88</v>
      </c>
      <c r="C371" s="2">
        <f t="shared" si="20"/>
        <v>-5.0369138460775176E-3</v>
      </c>
      <c r="D371">
        <f t="shared" si="21"/>
        <v>0</v>
      </c>
      <c r="E371">
        <v>0.28476188452951035</v>
      </c>
      <c r="F371">
        <f t="shared" si="22"/>
        <v>0</v>
      </c>
      <c r="G371" t="b">
        <f t="shared" si="23"/>
        <v>1</v>
      </c>
      <c r="H371">
        <v>0.50898835261079811</v>
      </c>
    </row>
    <row r="372" spans="1:8" x14ac:dyDescent="0.35">
      <c r="A372" s="13">
        <v>42902</v>
      </c>
      <c r="B372" s="14">
        <v>5263.31</v>
      </c>
      <c r="C372" s="2">
        <f t="shared" si="20"/>
        <v>8.8999555289752674E-3</v>
      </c>
      <c r="D372">
        <f t="shared" si="21"/>
        <v>1</v>
      </c>
      <c r="E372">
        <v>0.23627311590746788</v>
      </c>
      <c r="F372">
        <f t="shared" si="22"/>
        <v>0</v>
      </c>
      <c r="G372" t="b">
        <f t="shared" si="23"/>
        <v>0</v>
      </c>
      <c r="H372">
        <v>0.50898844804142307</v>
      </c>
    </row>
    <row r="373" spans="1:8" x14ac:dyDescent="0.35">
      <c r="A373" s="13">
        <v>42905</v>
      </c>
      <c r="B373" s="14">
        <v>5310.72</v>
      </c>
      <c r="C373" s="2">
        <f t="shared" si="20"/>
        <v>9.0076396792131419E-3</v>
      </c>
      <c r="D373">
        <f t="shared" si="21"/>
        <v>1</v>
      </c>
      <c r="E373">
        <v>0.36037367970736972</v>
      </c>
      <c r="F373">
        <f t="shared" si="22"/>
        <v>0</v>
      </c>
      <c r="G373" t="b">
        <f t="shared" si="23"/>
        <v>0</v>
      </c>
      <c r="H373">
        <v>0.50898854661959081</v>
      </c>
    </row>
    <row r="374" spans="1:8" x14ac:dyDescent="0.35">
      <c r="A374" s="13">
        <v>42906</v>
      </c>
      <c r="B374" s="14">
        <v>5293.65</v>
      </c>
      <c r="C374" s="2">
        <f t="shared" si="20"/>
        <v>-3.2142534345626084E-3</v>
      </c>
      <c r="D374">
        <f t="shared" si="21"/>
        <v>0</v>
      </c>
      <c r="E374">
        <v>0.51721168888226865</v>
      </c>
      <c r="F374">
        <f t="shared" si="22"/>
        <v>1</v>
      </c>
      <c r="G374" t="b">
        <f t="shared" si="23"/>
        <v>0</v>
      </c>
      <c r="H374">
        <v>0.50898846131268305</v>
      </c>
    </row>
    <row r="375" spans="1:8" x14ac:dyDescent="0.35">
      <c r="A375" s="13">
        <v>42907</v>
      </c>
      <c r="B375" s="14">
        <v>5274.26</v>
      </c>
      <c r="C375" s="2">
        <f t="shared" si="20"/>
        <v>-3.6628791098768376E-3</v>
      </c>
      <c r="D375">
        <f t="shared" si="21"/>
        <v>0</v>
      </c>
      <c r="E375">
        <v>0.37884584406836963</v>
      </c>
      <c r="F375">
        <f t="shared" si="22"/>
        <v>0</v>
      </c>
      <c r="G375" t="b">
        <f t="shared" si="23"/>
        <v>1</v>
      </c>
      <c r="H375">
        <v>0.5089884009062513</v>
      </c>
    </row>
    <row r="376" spans="1:8" x14ac:dyDescent="0.35">
      <c r="A376" s="13">
        <v>42908</v>
      </c>
      <c r="B376" s="14">
        <v>5281.93</v>
      </c>
      <c r="C376" s="2">
        <f t="shared" si="20"/>
        <v>1.4542324420867558E-3</v>
      </c>
      <c r="D376">
        <f t="shared" si="21"/>
        <v>1</v>
      </c>
      <c r="E376">
        <v>0.29262020603143912</v>
      </c>
      <c r="F376">
        <f t="shared" si="22"/>
        <v>0</v>
      </c>
      <c r="G376" t="b">
        <f t="shared" si="23"/>
        <v>0</v>
      </c>
      <c r="H376">
        <v>0.50898849891900511</v>
      </c>
    </row>
    <row r="377" spans="1:8" x14ac:dyDescent="0.35">
      <c r="A377" s="13">
        <v>42909</v>
      </c>
      <c r="B377" s="14">
        <v>5266.12</v>
      </c>
      <c r="C377" s="2">
        <f t="shared" si="20"/>
        <v>-2.9932240677177369E-3</v>
      </c>
      <c r="D377">
        <f t="shared" si="21"/>
        <v>0</v>
      </c>
      <c r="E377">
        <v>0.43902292030006052</v>
      </c>
      <c r="F377">
        <f t="shared" si="22"/>
        <v>0</v>
      </c>
      <c r="G377" t="b">
        <f t="shared" si="23"/>
        <v>1</v>
      </c>
      <c r="H377">
        <v>0.50898842559140134</v>
      </c>
    </row>
    <row r="378" spans="1:8" x14ac:dyDescent="0.35">
      <c r="A378" s="13">
        <v>42912</v>
      </c>
      <c r="B378" s="14">
        <v>5295.75</v>
      </c>
      <c r="C378" s="2">
        <f t="shared" si="20"/>
        <v>5.6265333870098022E-3</v>
      </c>
      <c r="D378">
        <f t="shared" si="21"/>
        <v>1</v>
      </c>
      <c r="E378">
        <v>0.32820282485745217</v>
      </c>
      <c r="F378">
        <f t="shared" si="22"/>
        <v>0</v>
      </c>
      <c r="G378" t="b">
        <f t="shared" si="23"/>
        <v>0</v>
      </c>
      <c r="H378">
        <v>0.5089885243816773</v>
      </c>
    </row>
    <row r="379" spans="1:8" x14ac:dyDescent="0.35">
      <c r="A379" s="13">
        <v>42913</v>
      </c>
      <c r="B379" s="14">
        <v>5258.58</v>
      </c>
      <c r="C379" s="2">
        <f t="shared" si="20"/>
        <v>-7.0188358589434729E-3</v>
      </c>
      <c r="D379">
        <f t="shared" si="21"/>
        <v>0</v>
      </c>
      <c r="E379">
        <v>0.48225242181556421</v>
      </c>
      <c r="F379">
        <f t="shared" si="22"/>
        <v>0</v>
      </c>
      <c r="G379" t="b">
        <f t="shared" si="23"/>
        <v>1</v>
      </c>
      <c r="H379">
        <v>0.50898844404449384</v>
      </c>
    </row>
    <row r="380" spans="1:8" x14ac:dyDescent="0.35">
      <c r="A380" s="13">
        <v>42914</v>
      </c>
      <c r="B380" s="14">
        <v>5252.9</v>
      </c>
      <c r="C380" s="2">
        <f t="shared" si="20"/>
        <v>-1.0801395053418039E-3</v>
      </c>
      <c r="D380">
        <f t="shared" si="21"/>
        <v>0</v>
      </c>
      <c r="E380">
        <v>0.35525547202188817</v>
      </c>
      <c r="F380">
        <f t="shared" si="22"/>
        <v>0</v>
      </c>
      <c r="G380" t="b">
        <f t="shared" si="23"/>
        <v>1</v>
      </c>
      <c r="H380">
        <v>0.50898838902851251</v>
      </c>
    </row>
    <row r="381" spans="1:8" x14ac:dyDescent="0.35">
      <c r="A381" s="13">
        <v>42915</v>
      </c>
      <c r="B381" s="14">
        <v>5154.3500000000004</v>
      </c>
      <c r="C381" s="2">
        <f t="shared" si="20"/>
        <v>-1.8761065316301284E-2</v>
      </c>
      <c r="D381">
        <f t="shared" si="21"/>
        <v>0</v>
      </c>
      <c r="E381">
        <v>0.27883071678307153</v>
      </c>
      <c r="F381">
        <f t="shared" si="22"/>
        <v>0</v>
      </c>
      <c r="G381" t="b">
        <f t="shared" si="23"/>
        <v>1</v>
      </c>
      <c r="H381">
        <v>0.50898835047084512</v>
      </c>
    </row>
    <row r="382" spans="1:8" x14ac:dyDescent="0.35">
      <c r="A382" s="13">
        <v>42916</v>
      </c>
      <c r="B382" s="14">
        <v>5120.68</v>
      </c>
      <c r="C382" s="2">
        <f t="shared" si="20"/>
        <v>-6.5323464646366292E-3</v>
      </c>
      <c r="D382">
        <f t="shared" si="21"/>
        <v>0</v>
      </c>
      <c r="E382">
        <v>0.23252557561814316</v>
      </c>
      <c r="F382">
        <f t="shared" si="22"/>
        <v>0</v>
      </c>
      <c r="G382" t="b">
        <f t="shared" si="23"/>
        <v>1</v>
      </c>
      <c r="H382">
        <v>0.50898832127607985</v>
      </c>
    </row>
    <row r="383" spans="1:8" x14ac:dyDescent="0.35">
      <c r="A383" s="13">
        <v>42919</v>
      </c>
      <c r="B383" s="14">
        <v>5195.72</v>
      </c>
      <c r="C383" s="2">
        <f t="shared" si="20"/>
        <v>1.4654303725286422E-2</v>
      </c>
      <c r="D383">
        <f t="shared" si="21"/>
        <v>1</v>
      </c>
      <c r="E383">
        <v>0.20190574622624557</v>
      </c>
      <c r="F383">
        <f t="shared" si="22"/>
        <v>0</v>
      </c>
      <c r="G383" t="b">
        <f t="shared" si="23"/>
        <v>0</v>
      </c>
      <c r="H383">
        <v>0.50898841199132283</v>
      </c>
    </row>
    <row r="384" spans="1:8" x14ac:dyDescent="0.35">
      <c r="A384" s="13">
        <v>42920</v>
      </c>
      <c r="B384" s="14">
        <v>5174.8999999999996</v>
      </c>
      <c r="C384" s="2">
        <f t="shared" si="20"/>
        <v>-4.0071443418815411E-3</v>
      </c>
      <c r="D384">
        <f t="shared" si="21"/>
        <v>0</v>
      </c>
      <c r="E384">
        <v>0.30673335453078082</v>
      </c>
      <c r="F384">
        <f t="shared" si="22"/>
        <v>0</v>
      </c>
      <c r="G384" t="b">
        <f t="shared" si="23"/>
        <v>1</v>
      </c>
      <c r="H384">
        <v>0.50898836629310129</v>
      </c>
    </row>
    <row r="385" spans="1:8" x14ac:dyDescent="0.35">
      <c r="A385" s="13">
        <v>42921</v>
      </c>
      <c r="B385" s="14">
        <v>5180.1000000000004</v>
      </c>
      <c r="C385" s="2">
        <f t="shared" si="20"/>
        <v>1.0048503352724225E-3</v>
      </c>
      <c r="D385">
        <f t="shared" si="21"/>
        <v>1</v>
      </c>
      <c r="E385">
        <v>0.24988716197703936</v>
      </c>
      <c r="F385">
        <f t="shared" si="22"/>
        <v>0</v>
      </c>
      <c r="G385" t="b">
        <f t="shared" si="23"/>
        <v>0</v>
      </c>
      <c r="H385">
        <v>0.50898846213754623</v>
      </c>
    </row>
    <row r="386" spans="1:8" x14ac:dyDescent="0.35">
      <c r="A386" s="13">
        <v>42922</v>
      </c>
      <c r="B386" s="14">
        <v>5152.3999999999996</v>
      </c>
      <c r="C386" s="2">
        <f t="shared" si="20"/>
        <v>-5.347387116078961E-3</v>
      </c>
      <c r="D386">
        <f t="shared" si="21"/>
        <v>0</v>
      </c>
      <c r="E386">
        <v>0.38049257403695413</v>
      </c>
      <c r="F386">
        <f t="shared" si="22"/>
        <v>0</v>
      </c>
      <c r="G386" t="b">
        <f t="shared" si="23"/>
        <v>1</v>
      </c>
      <c r="H386">
        <v>0.50898840051525762</v>
      </c>
    </row>
    <row r="387" spans="1:8" x14ac:dyDescent="0.35">
      <c r="A387" s="13">
        <v>42923</v>
      </c>
      <c r="B387" s="14">
        <v>5145.16</v>
      </c>
      <c r="C387" s="2">
        <f t="shared" si="20"/>
        <v>-1.4051704060242809E-3</v>
      </c>
      <c r="D387">
        <f t="shared" si="21"/>
        <v>0</v>
      </c>
      <c r="E387">
        <v>0.29358387155997723</v>
      </c>
      <c r="F387">
        <f t="shared" si="22"/>
        <v>0</v>
      </c>
      <c r="G387" t="b">
        <f t="shared" si="23"/>
        <v>1</v>
      </c>
      <c r="H387">
        <v>0.50898835815357379</v>
      </c>
    </row>
    <row r="388" spans="1:8" x14ac:dyDescent="0.35">
      <c r="A388" s="13">
        <v>42926</v>
      </c>
      <c r="B388" s="14">
        <v>5165.6400000000003</v>
      </c>
      <c r="C388" s="2">
        <f t="shared" ref="C388:C451" si="24">(B388/B387)-1</f>
        <v>3.9804398697029786E-3</v>
      </c>
      <c r="D388">
        <f t="shared" si="21"/>
        <v>1</v>
      </c>
      <c r="E388">
        <v>0.2417904374780665</v>
      </c>
      <c r="F388">
        <f t="shared" si="22"/>
        <v>0</v>
      </c>
      <c r="G388" t="b">
        <f t="shared" si="23"/>
        <v>0</v>
      </c>
      <c r="H388">
        <v>0.50898845538389703</v>
      </c>
    </row>
    <row r="389" spans="1:8" x14ac:dyDescent="0.35">
      <c r="A389" s="13">
        <v>42927</v>
      </c>
      <c r="B389" s="14">
        <v>5140.6000000000004</v>
      </c>
      <c r="C389" s="2">
        <f t="shared" si="24"/>
        <v>-4.8474148411425944E-3</v>
      </c>
      <c r="D389">
        <f t="shared" si="21"/>
        <v>0</v>
      </c>
      <c r="E389">
        <v>0.36860529493473793</v>
      </c>
      <c r="F389">
        <f t="shared" si="22"/>
        <v>0</v>
      </c>
      <c r="G389" t="b">
        <f t="shared" si="23"/>
        <v>1</v>
      </c>
      <c r="H389">
        <v>0.50898839582640221</v>
      </c>
    </row>
    <row r="390" spans="1:8" x14ac:dyDescent="0.35">
      <c r="A390" s="13">
        <v>42928</v>
      </c>
      <c r="B390" s="14">
        <v>5222.13</v>
      </c>
      <c r="C390" s="2">
        <f t="shared" si="24"/>
        <v>1.5860016340504934E-2</v>
      </c>
      <c r="D390">
        <f t="shared" ref="D390:D453" si="25">IF(C390&gt;=0,1,0)</f>
        <v>1</v>
      </c>
      <c r="E390">
        <v>0.2866438389275367</v>
      </c>
      <c r="F390">
        <f t="shared" si="22"/>
        <v>0</v>
      </c>
      <c r="G390" t="b">
        <f t="shared" si="23"/>
        <v>0</v>
      </c>
      <c r="H390">
        <v>0.50898849494250953</v>
      </c>
    </row>
    <row r="391" spans="1:8" x14ac:dyDescent="0.35">
      <c r="A391" s="13">
        <v>42929</v>
      </c>
      <c r="B391" s="14">
        <v>5235.3999999999996</v>
      </c>
      <c r="C391" s="2">
        <f t="shared" si="24"/>
        <v>2.5411087046856018E-3</v>
      </c>
      <c r="D391">
        <f t="shared" si="25"/>
        <v>1</v>
      </c>
      <c r="E391">
        <v>0.43126665703905193</v>
      </c>
      <c r="F391">
        <f t="shared" si="22"/>
        <v>0</v>
      </c>
      <c r="G391" t="b">
        <f t="shared" si="23"/>
        <v>0</v>
      </c>
      <c r="H391">
        <v>0.50898858603301644</v>
      </c>
    </row>
    <row r="392" spans="1:8" x14ac:dyDescent="0.35">
      <c r="A392" s="13">
        <v>42930</v>
      </c>
      <c r="B392" s="14">
        <v>5235.3100000000004</v>
      </c>
      <c r="C392" s="2">
        <f t="shared" si="24"/>
        <v>-1.7190663559429886E-5</v>
      </c>
      <c r="D392">
        <f t="shared" si="25"/>
        <v>0</v>
      </c>
      <c r="E392">
        <v>0.58220304695794034</v>
      </c>
      <c r="F392">
        <f t="shared" si="22"/>
        <v>1</v>
      </c>
      <c r="G392" t="b">
        <f t="shared" si="23"/>
        <v>0</v>
      </c>
      <c r="H392">
        <v>0.50898849440295901</v>
      </c>
    </row>
    <row r="393" spans="1:8" x14ac:dyDescent="0.35">
      <c r="A393" s="13">
        <v>42933</v>
      </c>
      <c r="B393" s="14">
        <v>5230.17</v>
      </c>
      <c r="C393" s="2">
        <f t="shared" si="24"/>
        <v>-9.8179477433046891E-4</v>
      </c>
      <c r="D393">
        <f t="shared" si="25"/>
        <v>0</v>
      </c>
      <c r="E393">
        <v>0.42891014837576563</v>
      </c>
      <c r="F393">
        <f t="shared" ref="F393:F456" si="26">IF(E393&gt;=0.5,1,0)</f>
        <v>0</v>
      </c>
      <c r="G393" t="b">
        <f t="shared" ref="G393:G456" si="27">IF(D393=F393,TRUE,FALSE)</f>
        <v>1</v>
      </c>
      <c r="H393">
        <v>0.50898842365964447</v>
      </c>
    </row>
    <row r="394" spans="1:8" x14ac:dyDescent="0.35">
      <c r="A394" s="13">
        <v>42934</v>
      </c>
      <c r="B394" s="14">
        <v>5173.2700000000004</v>
      </c>
      <c r="C394" s="2">
        <f t="shared" si="24"/>
        <v>-1.0879187483389563E-2</v>
      </c>
      <c r="D394">
        <f t="shared" si="25"/>
        <v>0</v>
      </c>
      <c r="E394">
        <v>0.32211420226298848</v>
      </c>
      <c r="F394">
        <f t="shared" si="26"/>
        <v>0</v>
      </c>
      <c r="G394" t="b">
        <f t="shared" si="27"/>
        <v>1</v>
      </c>
      <c r="H394">
        <v>0.5089883755649105</v>
      </c>
    </row>
    <row r="395" spans="1:8" x14ac:dyDescent="0.35">
      <c r="A395" s="13">
        <v>42935</v>
      </c>
      <c r="B395" s="14">
        <v>5216.07</v>
      </c>
      <c r="C395" s="2">
        <f t="shared" si="24"/>
        <v>8.2732971602099692E-3</v>
      </c>
      <c r="D395">
        <f t="shared" si="25"/>
        <v>1</v>
      </c>
      <c r="E395">
        <v>0.25919872472713162</v>
      </c>
      <c r="F395">
        <f t="shared" si="26"/>
        <v>0</v>
      </c>
      <c r="G395" t="b">
        <f t="shared" si="27"/>
        <v>0</v>
      </c>
      <c r="H395">
        <v>0.50898847200302522</v>
      </c>
    </row>
    <row r="396" spans="1:8" x14ac:dyDescent="0.35">
      <c r="A396" s="13">
        <v>42936</v>
      </c>
      <c r="B396" s="14">
        <v>5199.22</v>
      </c>
      <c r="C396" s="2">
        <f t="shared" si="24"/>
        <v>-3.2304014324959773E-3</v>
      </c>
      <c r="D396">
        <f t="shared" si="25"/>
        <v>0</v>
      </c>
      <c r="E396">
        <v>0.39385077635113658</v>
      </c>
      <c r="F396">
        <f t="shared" si="26"/>
        <v>0</v>
      </c>
      <c r="G396" t="b">
        <f t="shared" si="27"/>
        <v>1</v>
      </c>
      <c r="H396">
        <v>0.50898840808178003</v>
      </c>
    </row>
    <row r="397" spans="1:8" x14ac:dyDescent="0.35">
      <c r="A397" s="13">
        <v>42937</v>
      </c>
      <c r="B397" s="14">
        <v>5117.66</v>
      </c>
      <c r="C397" s="2">
        <f t="shared" si="24"/>
        <v>-1.5686968429879933E-2</v>
      </c>
      <c r="D397">
        <f t="shared" si="25"/>
        <v>0</v>
      </c>
      <c r="E397">
        <v>0.30139290352584958</v>
      </c>
      <c r="F397">
        <f t="shared" si="26"/>
        <v>0</v>
      </c>
      <c r="G397" t="b">
        <f t="shared" si="27"/>
        <v>1</v>
      </c>
      <c r="H397">
        <v>0.50898836492667976</v>
      </c>
    </row>
    <row r="398" spans="1:8" x14ac:dyDescent="0.35">
      <c r="A398" s="13">
        <v>42940</v>
      </c>
      <c r="B398" s="14">
        <v>5127.7</v>
      </c>
      <c r="C398" s="2">
        <f t="shared" si="24"/>
        <v>1.9618341195000166E-3</v>
      </c>
      <c r="D398">
        <f t="shared" si="25"/>
        <v>1</v>
      </c>
      <c r="E398">
        <v>0.24661739965040996</v>
      </c>
      <c r="F398">
        <f t="shared" si="26"/>
        <v>0</v>
      </c>
      <c r="G398" t="b">
        <f t="shared" si="27"/>
        <v>0</v>
      </c>
      <c r="H398">
        <v>0.50898846001567022</v>
      </c>
    </row>
    <row r="399" spans="1:8" x14ac:dyDescent="0.35">
      <c r="A399" s="13">
        <v>42941</v>
      </c>
      <c r="B399" s="14">
        <v>5161.08</v>
      </c>
      <c r="C399" s="2">
        <f t="shared" si="24"/>
        <v>6.5097412095092011E-3</v>
      </c>
      <c r="D399">
        <f t="shared" si="25"/>
        <v>1</v>
      </c>
      <c r="E399">
        <v>0.37571637548201481</v>
      </c>
      <c r="F399">
        <f t="shared" si="26"/>
        <v>0</v>
      </c>
      <c r="G399" t="b">
        <f t="shared" si="27"/>
        <v>0</v>
      </c>
      <c r="H399">
        <v>0.50898855683838828</v>
      </c>
    </row>
    <row r="400" spans="1:8" x14ac:dyDescent="0.35">
      <c r="A400" s="13">
        <v>42942</v>
      </c>
      <c r="B400" s="14">
        <v>5190.17</v>
      </c>
      <c r="C400" s="2">
        <f t="shared" si="24"/>
        <v>5.6364171840002086E-3</v>
      </c>
      <c r="D400">
        <f t="shared" si="25"/>
        <v>1</v>
      </c>
      <c r="E400">
        <v>0.53258669655280488</v>
      </c>
      <c r="F400">
        <f t="shared" si="26"/>
        <v>1</v>
      </c>
      <c r="G400" t="b">
        <f t="shared" si="27"/>
        <v>1</v>
      </c>
      <c r="H400">
        <v>0.50898863247245374</v>
      </c>
    </row>
    <row r="401" spans="1:8" x14ac:dyDescent="0.35">
      <c r="A401" s="13">
        <v>42943</v>
      </c>
      <c r="B401" s="14">
        <v>5186.95</v>
      </c>
      <c r="C401" s="2">
        <f t="shared" si="24"/>
        <v>-6.2040357059600648E-4</v>
      </c>
      <c r="D401">
        <f t="shared" si="25"/>
        <v>0</v>
      </c>
      <c r="E401">
        <v>0.6544466197176908</v>
      </c>
      <c r="F401">
        <f t="shared" si="26"/>
        <v>1</v>
      </c>
      <c r="G401" t="b">
        <f t="shared" si="27"/>
        <v>0</v>
      </c>
      <c r="H401">
        <v>0.50898853526324783</v>
      </c>
    </row>
    <row r="402" spans="1:8" x14ac:dyDescent="0.35">
      <c r="A402" s="13">
        <v>42944</v>
      </c>
      <c r="B402" s="14">
        <v>5131.3900000000003</v>
      </c>
      <c r="C402" s="2">
        <f t="shared" si="24"/>
        <v>-1.0711497122586344E-2</v>
      </c>
      <c r="D402">
        <f t="shared" si="25"/>
        <v>0</v>
      </c>
      <c r="E402">
        <v>0.49802999998602998</v>
      </c>
      <c r="F402">
        <f t="shared" si="26"/>
        <v>0</v>
      </c>
      <c r="G402" t="b">
        <f t="shared" si="27"/>
        <v>1</v>
      </c>
      <c r="H402">
        <v>0.50898845203307552</v>
      </c>
    </row>
    <row r="403" spans="1:8" x14ac:dyDescent="0.35">
      <c r="A403" s="13">
        <v>42947</v>
      </c>
      <c r="B403" s="14">
        <v>5093.7700000000004</v>
      </c>
      <c r="C403" s="2">
        <f t="shared" si="24"/>
        <v>-7.3313468670281878E-3</v>
      </c>
      <c r="D403">
        <f t="shared" si="25"/>
        <v>0</v>
      </c>
      <c r="E403">
        <v>0.36568092589569928</v>
      </c>
      <c r="F403">
        <f t="shared" si="26"/>
        <v>0</v>
      </c>
      <c r="G403" t="b">
        <f t="shared" si="27"/>
        <v>1</v>
      </c>
      <c r="H403">
        <v>0.50898839368066728</v>
      </c>
    </row>
    <row r="404" spans="1:8" x14ac:dyDescent="0.35">
      <c r="A404" s="13">
        <v>42948</v>
      </c>
      <c r="B404" s="14">
        <v>5127.03</v>
      </c>
      <c r="C404" s="2">
        <f t="shared" si="24"/>
        <v>6.5295449146700602E-3</v>
      </c>
      <c r="D404">
        <f t="shared" si="25"/>
        <v>1</v>
      </c>
      <c r="E404">
        <v>0.2849384661242198</v>
      </c>
      <c r="F404">
        <f t="shared" si="26"/>
        <v>0</v>
      </c>
      <c r="G404" t="b">
        <f t="shared" si="27"/>
        <v>0</v>
      </c>
      <c r="H404">
        <v>0.50898849341437979</v>
      </c>
    </row>
    <row r="405" spans="1:8" x14ac:dyDescent="0.35">
      <c r="A405" s="13">
        <v>42949</v>
      </c>
      <c r="B405" s="14">
        <v>5107.25</v>
      </c>
      <c r="C405" s="2">
        <f t="shared" si="24"/>
        <v>-3.8579840570466262E-3</v>
      </c>
      <c r="D405">
        <f t="shared" si="25"/>
        <v>0</v>
      </c>
      <c r="E405">
        <v>0.42902174568721679</v>
      </c>
      <c r="F405">
        <f t="shared" si="26"/>
        <v>0</v>
      </c>
      <c r="G405" t="b">
        <f t="shared" si="27"/>
        <v>1</v>
      </c>
      <c r="H405">
        <v>0.50898842115779541</v>
      </c>
    </row>
    <row r="406" spans="1:8" x14ac:dyDescent="0.35">
      <c r="A406" s="13">
        <v>42950</v>
      </c>
      <c r="B406" s="14">
        <v>5130.49</v>
      </c>
      <c r="C406" s="2">
        <f t="shared" si="24"/>
        <v>4.5503940476772087E-3</v>
      </c>
      <c r="D406">
        <f t="shared" si="25"/>
        <v>1</v>
      </c>
      <c r="E406">
        <v>0.32218467807144574</v>
      </c>
      <c r="F406">
        <f t="shared" si="26"/>
        <v>0</v>
      </c>
      <c r="G406" t="b">
        <f t="shared" si="27"/>
        <v>0</v>
      </c>
      <c r="H406">
        <v>0.50898852104571224</v>
      </c>
    </row>
    <row r="407" spans="1:8" x14ac:dyDescent="0.35">
      <c r="A407" s="13">
        <v>42951</v>
      </c>
      <c r="B407" s="14">
        <v>5203.4399999999996</v>
      </c>
      <c r="C407" s="2">
        <f t="shared" si="24"/>
        <v>1.4218914762527568E-2</v>
      </c>
      <c r="D407">
        <f t="shared" si="25"/>
        <v>1</v>
      </c>
      <c r="E407">
        <v>0.47527377888129058</v>
      </c>
      <c r="F407">
        <f t="shared" si="26"/>
        <v>0</v>
      </c>
      <c r="G407" t="b">
        <f t="shared" si="27"/>
        <v>0</v>
      </c>
      <c r="H407">
        <v>0.508988605758534</v>
      </c>
    </row>
    <row r="408" spans="1:8" x14ac:dyDescent="0.35">
      <c r="A408" s="13">
        <v>42954</v>
      </c>
      <c r="B408" s="14">
        <v>5207.8900000000003</v>
      </c>
      <c r="C408" s="2">
        <f t="shared" si="24"/>
        <v>8.5520348077450237E-4</v>
      </c>
      <c r="D408">
        <f t="shared" si="25"/>
        <v>1</v>
      </c>
      <c r="E408">
        <v>0.61588178826122852</v>
      </c>
      <c r="F408">
        <f t="shared" si="26"/>
        <v>1</v>
      </c>
      <c r="G408" t="b">
        <f t="shared" si="27"/>
        <v>1</v>
      </c>
      <c r="H408">
        <v>0.50898866313968683</v>
      </c>
    </row>
    <row r="409" spans="1:8" x14ac:dyDescent="0.35">
      <c r="A409" s="13">
        <v>42955</v>
      </c>
      <c r="B409" s="14">
        <v>5218.8900000000003</v>
      </c>
      <c r="C409" s="2">
        <f t="shared" si="24"/>
        <v>2.1121797887435623E-3</v>
      </c>
      <c r="D409">
        <f t="shared" si="25"/>
        <v>1</v>
      </c>
      <c r="E409">
        <v>0.7045901499923769</v>
      </c>
      <c r="F409">
        <f t="shared" si="26"/>
        <v>1</v>
      </c>
      <c r="G409" t="b">
        <f t="shared" si="27"/>
        <v>1</v>
      </c>
      <c r="H409">
        <v>0.50898870158897913</v>
      </c>
    </row>
    <row r="410" spans="1:8" x14ac:dyDescent="0.35">
      <c r="A410" s="13">
        <v>42956</v>
      </c>
      <c r="B410" s="14">
        <v>5145.7</v>
      </c>
      <c r="C410" s="2">
        <f t="shared" si="24"/>
        <v>-1.4024054923556628E-2</v>
      </c>
      <c r="D410">
        <f t="shared" si="25"/>
        <v>0</v>
      </c>
      <c r="E410">
        <v>0.757355181975506</v>
      </c>
      <c r="F410">
        <f t="shared" si="26"/>
        <v>1</v>
      </c>
      <c r="G410" t="b">
        <f t="shared" si="27"/>
        <v>0</v>
      </c>
      <c r="H410">
        <v>0.5089886129007406</v>
      </c>
    </row>
    <row r="411" spans="1:8" x14ac:dyDescent="0.35">
      <c r="A411" s="13">
        <v>42957</v>
      </c>
      <c r="B411" s="14">
        <v>5115.2299999999996</v>
      </c>
      <c r="C411" s="2">
        <f t="shared" si="24"/>
        <v>-5.9214489768156797E-3</v>
      </c>
      <c r="D411">
        <f t="shared" si="25"/>
        <v>0</v>
      </c>
      <c r="E411">
        <v>0.62934792362136616</v>
      </c>
      <c r="F411">
        <f t="shared" si="26"/>
        <v>1</v>
      </c>
      <c r="G411" t="b">
        <f t="shared" si="27"/>
        <v>0</v>
      </c>
      <c r="H411">
        <v>0.5089885166470417</v>
      </c>
    </row>
    <row r="412" spans="1:8" x14ac:dyDescent="0.35">
      <c r="A412" s="13">
        <v>42958</v>
      </c>
      <c r="B412" s="14">
        <v>5060.92</v>
      </c>
      <c r="C412" s="2">
        <f t="shared" si="24"/>
        <v>-1.0617313395487549E-2</v>
      </c>
      <c r="D412">
        <f t="shared" si="25"/>
        <v>0</v>
      </c>
      <c r="E412">
        <v>0.4721094743154412</v>
      </c>
      <c r="F412">
        <f t="shared" si="26"/>
        <v>0</v>
      </c>
      <c r="G412" t="b">
        <f t="shared" si="27"/>
        <v>1</v>
      </c>
      <c r="H412">
        <v>0.50898843705818941</v>
      </c>
    </row>
    <row r="413" spans="1:8" x14ac:dyDescent="0.35">
      <c r="A413" s="13">
        <v>42961</v>
      </c>
      <c r="B413" s="14">
        <v>5121.67</v>
      </c>
      <c r="C413" s="2">
        <f t="shared" si="24"/>
        <v>1.200374635441781E-2</v>
      </c>
      <c r="D413">
        <f t="shared" si="25"/>
        <v>1</v>
      </c>
      <c r="E413">
        <v>0.34874144642836158</v>
      </c>
      <c r="F413">
        <f t="shared" si="26"/>
        <v>0</v>
      </c>
      <c r="G413" t="b">
        <f t="shared" si="27"/>
        <v>0</v>
      </c>
      <c r="H413">
        <v>0.50898853570519964</v>
      </c>
    </row>
    <row r="414" spans="1:8" x14ac:dyDescent="0.35">
      <c r="A414" s="13">
        <v>42962</v>
      </c>
      <c r="B414" s="14">
        <v>5140.25</v>
      </c>
      <c r="C414" s="2">
        <f t="shared" si="24"/>
        <v>3.6277229887906604E-3</v>
      </c>
      <c r="D414">
        <f t="shared" si="25"/>
        <v>1</v>
      </c>
      <c r="E414">
        <v>0.50498653898217305</v>
      </c>
      <c r="F414">
        <f t="shared" si="26"/>
        <v>1</v>
      </c>
      <c r="G414" t="b">
        <f t="shared" si="27"/>
        <v>1</v>
      </c>
      <c r="H414">
        <v>0.50898861593544109</v>
      </c>
    </row>
    <row r="415" spans="1:8" x14ac:dyDescent="0.35">
      <c r="A415" s="13">
        <v>42963</v>
      </c>
      <c r="B415" s="14">
        <v>5176.6099999999997</v>
      </c>
      <c r="C415" s="2">
        <f t="shared" si="24"/>
        <v>7.0735859150818925E-3</v>
      </c>
      <c r="D415">
        <f t="shared" si="25"/>
        <v>1</v>
      </c>
      <c r="E415">
        <v>0.63648176392240519</v>
      </c>
      <c r="F415">
        <f t="shared" si="26"/>
        <v>1</v>
      </c>
      <c r="G415" t="b">
        <f t="shared" si="27"/>
        <v>1</v>
      </c>
      <c r="H415">
        <v>0.50898866886734329</v>
      </c>
    </row>
    <row r="416" spans="1:8" x14ac:dyDescent="0.35">
      <c r="A416" s="13">
        <v>42964</v>
      </c>
      <c r="B416" s="14">
        <v>5146.8500000000004</v>
      </c>
      <c r="C416" s="2">
        <f t="shared" si="24"/>
        <v>-5.7489360797895461E-3</v>
      </c>
      <c r="D416">
        <f t="shared" si="25"/>
        <v>0</v>
      </c>
      <c r="E416">
        <v>0.71662626229434778</v>
      </c>
      <c r="F416">
        <f t="shared" si="26"/>
        <v>1</v>
      </c>
      <c r="G416" t="b">
        <f t="shared" si="27"/>
        <v>0</v>
      </c>
      <c r="H416">
        <v>0.50898857643416517</v>
      </c>
    </row>
    <row r="417" spans="1:8" x14ac:dyDescent="0.35">
      <c r="A417" s="13">
        <v>42965</v>
      </c>
      <c r="B417" s="14">
        <v>5114.1499999999996</v>
      </c>
      <c r="C417" s="2">
        <f t="shared" si="24"/>
        <v>-6.3534006236826146E-3</v>
      </c>
      <c r="D417">
        <f t="shared" si="25"/>
        <v>0</v>
      </c>
      <c r="E417">
        <v>0.57238319106958535</v>
      </c>
      <c r="F417">
        <f t="shared" si="26"/>
        <v>1</v>
      </c>
      <c r="G417" t="b">
        <f t="shared" si="27"/>
        <v>0</v>
      </c>
      <c r="H417">
        <v>0.50898848320477996</v>
      </c>
    </row>
    <row r="418" spans="1:8" x14ac:dyDescent="0.35">
      <c r="A418" s="13">
        <v>42968</v>
      </c>
      <c r="B418" s="14">
        <v>5087.59</v>
      </c>
      <c r="C418" s="2">
        <f t="shared" si="24"/>
        <v>-5.1934339039721999E-3</v>
      </c>
      <c r="D418">
        <f t="shared" si="25"/>
        <v>0</v>
      </c>
      <c r="E418">
        <v>0.42072522551282759</v>
      </c>
      <c r="F418">
        <f t="shared" si="26"/>
        <v>0</v>
      </c>
      <c r="G418" t="b">
        <f t="shared" si="27"/>
        <v>1</v>
      </c>
      <c r="H418">
        <v>0.50898841281103213</v>
      </c>
    </row>
    <row r="419" spans="1:8" x14ac:dyDescent="0.35">
      <c r="A419" s="13">
        <v>42969</v>
      </c>
      <c r="B419" s="14">
        <v>5131.8599999999997</v>
      </c>
      <c r="C419" s="2">
        <f t="shared" si="24"/>
        <v>8.7015659673832513E-3</v>
      </c>
      <c r="D419">
        <f t="shared" si="25"/>
        <v>1</v>
      </c>
      <c r="E419">
        <v>0.31723633073522334</v>
      </c>
      <c r="F419">
        <f t="shared" si="26"/>
        <v>0</v>
      </c>
      <c r="G419" t="b">
        <f t="shared" si="27"/>
        <v>0</v>
      </c>
      <c r="H419">
        <v>0.50898851443314519</v>
      </c>
    </row>
    <row r="420" spans="1:8" x14ac:dyDescent="0.35">
      <c r="A420" s="13">
        <v>42970</v>
      </c>
      <c r="B420" s="14">
        <v>5115.3900000000003</v>
      </c>
      <c r="C420" s="2">
        <f t="shared" si="24"/>
        <v>-3.2093626872127246E-3</v>
      </c>
      <c r="D420">
        <f t="shared" si="25"/>
        <v>0</v>
      </c>
      <c r="E420">
        <v>0.46943535003585324</v>
      </c>
      <c r="F420">
        <f t="shared" si="26"/>
        <v>0</v>
      </c>
      <c r="G420" t="b">
        <f t="shared" si="27"/>
        <v>1</v>
      </c>
      <c r="H420">
        <v>0.50898843545617789</v>
      </c>
    </row>
    <row r="421" spans="1:8" x14ac:dyDescent="0.35">
      <c r="A421" s="13">
        <v>42971</v>
      </c>
      <c r="B421" s="14">
        <v>5113.13</v>
      </c>
      <c r="C421" s="2">
        <f t="shared" si="24"/>
        <v>-4.4180404622129466E-4</v>
      </c>
      <c r="D421">
        <f t="shared" si="25"/>
        <v>0</v>
      </c>
      <c r="E421">
        <v>0.34704465750294938</v>
      </c>
      <c r="F421">
        <f t="shared" si="26"/>
        <v>0</v>
      </c>
      <c r="G421" t="b">
        <f t="shared" si="27"/>
        <v>1</v>
      </c>
      <c r="H421">
        <v>0.50898838174788386</v>
      </c>
    </row>
    <row r="422" spans="1:8" x14ac:dyDescent="0.35">
      <c r="A422" s="13">
        <v>42972</v>
      </c>
      <c r="B422" s="14">
        <v>5104.33</v>
      </c>
      <c r="C422" s="2">
        <f t="shared" si="24"/>
        <v>-1.721059312006612E-3</v>
      </c>
      <c r="D422">
        <f t="shared" si="25"/>
        <v>0</v>
      </c>
      <c r="E422">
        <v>0.27401483776500823</v>
      </c>
      <c r="F422">
        <f t="shared" si="26"/>
        <v>0</v>
      </c>
      <c r="G422" t="b">
        <f t="shared" si="27"/>
        <v>1</v>
      </c>
      <c r="H422">
        <v>0.50898834440759744</v>
      </c>
    </row>
    <row r="423" spans="1:8" x14ac:dyDescent="0.35">
      <c r="A423" s="13">
        <v>42975</v>
      </c>
      <c r="B423" s="14">
        <v>5079.75</v>
      </c>
      <c r="C423" s="2">
        <f t="shared" si="24"/>
        <v>-4.8155193727678069E-3</v>
      </c>
      <c r="D423">
        <f t="shared" si="25"/>
        <v>0</v>
      </c>
      <c r="E423">
        <v>0.22946115963668279</v>
      </c>
      <c r="F423">
        <f t="shared" si="26"/>
        <v>0</v>
      </c>
      <c r="G423" t="b">
        <f t="shared" si="27"/>
        <v>1</v>
      </c>
      <c r="H423">
        <v>0.50898831593930627</v>
      </c>
    </row>
    <row r="424" spans="1:8" x14ac:dyDescent="0.35">
      <c r="A424" s="13">
        <v>42976</v>
      </c>
      <c r="B424" s="14">
        <v>5031.92</v>
      </c>
      <c r="C424" s="2">
        <f t="shared" si="24"/>
        <v>-9.415817707564389E-3</v>
      </c>
      <c r="D424">
        <f t="shared" si="25"/>
        <v>0</v>
      </c>
      <c r="E424">
        <v>0.19978759410000171</v>
      </c>
      <c r="F424">
        <f t="shared" si="26"/>
        <v>0</v>
      </c>
      <c r="G424" t="b">
        <f t="shared" si="27"/>
        <v>1</v>
      </c>
      <c r="H424">
        <v>0.50898829320006833</v>
      </c>
    </row>
    <row r="425" spans="1:8" x14ac:dyDescent="0.35">
      <c r="A425" s="13">
        <v>42977</v>
      </c>
      <c r="B425" s="14">
        <v>5056.34</v>
      </c>
      <c r="C425" s="2">
        <f t="shared" si="24"/>
        <v>4.8530183309751784E-3</v>
      </c>
      <c r="D425">
        <f t="shared" si="25"/>
        <v>1</v>
      </c>
      <c r="E425">
        <v>0.17853412798708326</v>
      </c>
      <c r="F425">
        <f t="shared" si="26"/>
        <v>0</v>
      </c>
      <c r="G425" t="b">
        <f t="shared" si="27"/>
        <v>0</v>
      </c>
      <c r="H425">
        <v>0.5089883788504338</v>
      </c>
    </row>
    <row r="426" spans="1:8" x14ac:dyDescent="0.35">
      <c r="A426" s="13">
        <v>42978</v>
      </c>
      <c r="B426" s="14">
        <v>5085.59</v>
      </c>
      <c r="C426" s="2">
        <f t="shared" si="24"/>
        <v>5.7848166855867245E-3</v>
      </c>
      <c r="D426">
        <f t="shared" si="25"/>
        <v>1</v>
      </c>
      <c r="E426">
        <v>0.26834584737509232</v>
      </c>
      <c r="F426">
        <f t="shared" si="26"/>
        <v>0</v>
      </c>
      <c r="G426" t="b">
        <f t="shared" si="27"/>
        <v>0</v>
      </c>
      <c r="H426">
        <v>0.5089884774190141</v>
      </c>
    </row>
    <row r="427" spans="1:8" x14ac:dyDescent="0.35">
      <c r="A427" s="13">
        <v>42979</v>
      </c>
      <c r="B427" s="14">
        <v>5123.26</v>
      </c>
      <c r="C427" s="2">
        <f t="shared" si="24"/>
        <v>7.4072034906471629E-3</v>
      </c>
      <c r="D427">
        <f t="shared" si="25"/>
        <v>1</v>
      </c>
      <c r="E427">
        <v>0.40663612047779957</v>
      </c>
      <c r="F427">
        <f t="shared" si="26"/>
        <v>0</v>
      </c>
      <c r="G427" t="b">
        <f t="shared" si="27"/>
        <v>0</v>
      </c>
      <c r="H427">
        <v>0.508988572215893</v>
      </c>
    </row>
    <row r="428" spans="1:8" x14ac:dyDescent="0.35">
      <c r="A428" s="13">
        <v>42982</v>
      </c>
      <c r="B428" s="14">
        <v>5103.97</v>
      </c>
      <c r="C428" s="2">
        <f t="shared" si="24"/>
        <v>-3.7651807638104939E-3</v>
      </c>
      <c r="D428">
        <f t="shared" si="25"/>
        <v>0</v>
      </c>
      <c r="E428">
        <v>0.56128904811031277</v>
      </c>
      <c r="F428">
        <f t="shared" si="26"/>
        <v>1</v>
      </c>
      <c r="G428" t="b">
        <f t="shared" si="27"/>
        <v>0</v>
      </c>
      <c r="H428">
        <v>0.50898848111160466</v>
      </c>
    </row>
    <row r="429" spans="1:8" x14ac:dyDescent="0.35">
      <c r="A429" s="13">
        <v>42983</v>
      </c>
      <c r="B429" s="14">
        <v>5086.5600000000004</v>
      </c>
      <c r="C429" s="2">
        <f t="shared" si="24"/>
        <v>-3.4110702061336262E-3</v>
      </c>
      <c r="D429">
        <f t="shared" si="25"/>
        <v>0</v>
      </c>
      <c r="E429">
        <v>0.41176496813349606</v>
      </c>
      <c r="F429">
        <f t="shared" si="26"/>
        <v>0</v>
      </c>
      <c r="G429" t="b">
        <f t="shared" si="27"/>
        <v>1</v>
      </c>
      <c r="H429">
        <v>0.50898841341347989</v>
      </c>
    </row>
    <row r="430" spans="1:8" x14ac:dyDescent="0.35">
      <c r="A430" s="13">
        <v>42984</v>
      </c>
      <c r="B430" s="14">
        <v>5101.41</v>
      </c>
      <c r="C430" s="2">
        <f t="shared" si="24"/>
        <v>2.9194583372651461E-3</v>
      </c>
      <c r="D430">
        <f t="shared" si="25"/>
        <v>1</v>
      </c>
      <c r="E430">
        <v>0.31192939600185438</v>
      </c>
      <c r="F430">
        <f t="shared" si="26"/>
        <v>0</v>
      </c>
      <c r="G430" t="b">
        <f t="shared" si="27"/>
        <v>0</v>
      </c>
      <c r="H430">
        <v>0.5089885130349362</v>
      </c>
    </row>
    <row r="431" spans="1:8" x14ac:dyDescent="0.35">
      <c r="A431" s="13">
        <v>42985</v>
      </c>
      <c r="B431" s="14">
        <v>5114.62</v>
      </c>
      <c r="C431" s="2">
        <f t="shared" si="24"/>
        <v>2.5894801633274955E-3</v>
      </c>
      <c r="D431">
        <f t="shared" si="25"/>
        <v>1</v>
      </c>
      <c r="E431">
        <v>0.46307095156715922</v>
      </c>
      <c r="F431">
        <f t="shared" si="26"/>
        <v>0</v>
      </c>
      <c r="G431" t="b">
        <f t="shared" si="27"/>
        <v>0</v>
      </c>
      <c r="H431">
        <v>0.50898860107247657</v>
      </c>
    </row>
    <row r="432" spans="1:8" x14ac:dyDescent="0.35">
      <c r="A432" s="13">
        <v>42986</v>
      </c>
      <c r="B432" s="14">
        <v>5113.49</v>
      </c>
      <c r="C432" s="2">
        <f t="shared" si="24"/>
        <v>-2.2093527964939241E-4</v>
      </c>
      <c r="D432">
        <f t="shared" si="25"/>
        <v>0</v>
      </c>
      <c r="E432">
        <v>0.60694958672966737</v>
      </c>
      <c r="F432">
        <f t="shared" si="26"/>
        <v>1</v>
      </c>
      <c r="G432" t="b">
        <f t="shared" si="27"/>
        <v>0</v>
      </c>
      <c r="H432">
        <v>0.50898850564298581</v>
      </c>
    </row>
    <row r="433" spans="1:8" x14ac:dyDescent="0.35">
      <c r="A433" s="13">
        <v>42989</v>
      </c>
      <c r="B433" s="14">
        <v>5176.71</v>
      </c>
      <c r="C433" s="2">
        <f t="shared" si="24"/>
        <v>1.2363376089520095E-2</v>
      </c>
      <c r="D433">
        <f t="shared" si="25"/>
        <v>1</v>
      </c>
      <c r="E433">
        <v>0.45076029103176823</v>
      </c>
      <c r="F433">
        <f t="shared" si="26"/>
        <v>0</v>
      </c>
      <c r="G433" t="b">
        <f t="shared" si="27"/>
        <v>0</v>
      </c>
      <c r="H433">
        <v>0.50898859421015663</v>
      </c>
    </row>
    <row r="434" spans="1:8" x14ac:dyDescent="0.35">
      <c r="A434" s="13">
        <v>42990</v>
      </c>
      <c r="B434" s="14">
        <v>5209.01</v>
      </c>
      <c r="C434" s="2">
        <f t="shared" si="24"/>
        <v>6.2394841511308474E-3</v>
      </c>
      <c r="D434">
        <f t="shared" si="25"/>
        <v>1</v>
      </c>
      <c r="E434">
        <v>0.59763533665813218</v>
      </c>
      <c r="F434">
        <f t="shared" si="26"/>
        <v>1</v>
      </c>
      <c r="G434" t="b">
        <f t="shared" si="27"/>
        <v>1</v>
      </c>
      <c r="H434">
        <v>0.50898865503416779</v>
      </c>
    </row>
    <row r="435" spans="1:8" x14ac:dyDescent="0.35">
      <c r="A435" s="13">
        <v>42991</v>
      </c>
      <c r="B435" s="14">
        <v>5217.59</v>
      </c>
      <c r="C435" s="2">
        <f t="shared" si="24"/>
        <v>1.6471460027913665E-3</v>
      </c>
      <c r="D435">
        <f t="shared" si="25"/>
        <v>1</v>
      </c>
      <c r="E435">
        <v>0.69389219832116844</v>
      </c>
      <c r="F435">
        <f t="shared" si="26"/>
        <v>1</v>
      </c>
      <c r="G435" t="b">
        <f t="shared" si="27"/>
        <v>1</v>
      </c>
      <c r="H435">
        <v>0.50898869530220459</v>
      </c>
    </row>
    <row r="436" spans="1:8" x14ac:dyDescent="0.35">
      <c r="A436" s="13">
        <v>42992</v>
      </c>
      <c r="B436" s="14">
        <v>5225.2</v>
      </c>
      <c r="C436" s="2">
        <f t="shared" si="24"/>
        <v>1.4585277877332548E-3</v>
      </c>
      <c r="D436">
        <f t="shared" si="25"/>
        <v>1</v>
      </c>
      <c r="E436">
        <v>0.75077648810078235</v>
      </c>
      <c r="F436">
        <f t="shared" si="26"/>
        <v>1</v>
      </c>
      <c r="G436" t="b">
        <f t="shared" si="27"/>
        <v>1</v>
      </c>
      <c r="H436">
        <v>0.50898872399190054</v>
      </c>
    </row>
    <row r="437" spans="1:8" x14ac:dyDescent="0.35">
      <c r="A437" s="13">
        <v>42993</v>
      </c>
      <c r="B437" s="14">
        <v>5213.91</v>
      </c>
      <c r="C437" s="2">
        <f t="shared" si="24"/>
        <v>-2.1606828446757431E-3</v>
      </c>
      <c r="D437">
        <f t="shared" si="25"/>
        <v>0</v>
      </c>
      <c r="E437">
        <v>0.78698613693973829</v>
      </c>
      <c r="F437">
        <f t="shared" si="26"/>
        <v>1</v>
      </c>
      <c r="G437" t="b">
        <f t="shared" si="27"/>
        <v>0</v>
      </c>
      <c r="H437">
        <v>0.50898864147090284</v>
      </c>
    </row>
    <row r="438" spans="1:8" x14ac:dyDescent="0.35">
      <c r="A438" s="13">
        <v>42996</v>
      </c>
      <c r="B438" s="14">
        <v>5229.32</v>
      </c>
      <c r="C438" s="2">
        <f t="shared" si="24"/>
        <v>2.9555554276923246E-3</v>
      </c>
      <c r="D438">
        <f t="shared" si="25"/>
        <v>1</v>
      </c>
      <c r="E438">
        <v>0.67469886063810436</v>
      </c>
      <c r="F438">
        <f t="shared" si="26"/>
        <v>1</v>
      </c>
      <c r="G438" t="b">
        <f t="shared" si="27"/>
        <v>1</v>
      </c>
      <c r="H438">
        <v>0.5089886861307138</v>
      </c>
    </row>
    <row r="439" spans="1:8" x14ac:dyDescent="0.35">
      <c r="A439" s="13">
        <v>42997</v>
      </c>
      <c r="B439" s="14">
        <v>5237.4399999999996</v>
      </c>
      <c r="C439" s="2">
        <f t="shared" si="24"/>
        <v>1.552783153450088E-3</v>
      </c>
      <c r="D439">
        <f t="shared" si="25"/>
        <v>1</v>
      </c>
      <c r="E439">
        <v>0.73918237197718384</v>
      </c>
      <c r="F439">
        <f t="shared" si="26"/>
        <v>1</v>
      </c>
      <c r="G439" t="b">
        <f t="shared" si="27"/>
        <v>1</v>
      </c>
      <c r="H439">
        <v>0.50898871719690908</v>
      </c>
    </row>
    <row r="440" spans="1:8" x14ac:dyDescent="0.35">
      <c r="A440" s="13">
        <v>42998</v>
      </c>
      <c r="B440" s="14">
        <v>5241.66</v>
      </c>
      <c r="C440" s="2">
        <f t="shared" si="24"/>
        <v>8.0573715402953994E-4</v>
      </c>
      <c r="D440">
        <f t="shared" si="25"/>
        <v>1</v>
      </c>
      <c r="E440">
        <v>0.77932996460611026</v>
      </c>
      <c r="F440">
        <f t="shared" si="26"/>
        <v>1</v>
      </c>
      <c r="G440" t="b">
        <f t="shared" si="27"/>
        <v>1</v>
      </c>
      <c r="H440">
        <v>0.50898874030620012</v>
      </c>
    </row>
    <row r="441" spans="1:8" x14ac:dyDescent="0.35">
      <c r="A441" s="13">
        <v>42999</v>
      </c>
      <c r="B441" s="14">
        <v>5267.29</v>
      </c>
      <c r="C441" s="2">
        <f t="shared" si="24"/>
        <v>4.8896723557041444E-3</v>
      </c>
      <c r="D441">
        <f t="shared" si="25"/>
        <v>1</v>
      </c>
      <c r="E441">
        <v>0.80657702416221988</v>
      </c>
      <c r="F441">
        <f t="shared" si="26"/>
        <v>1</v>
      </c>
      <c r="G441" t="b">
        <f t="shared" si="27"/>
        <v>1</v>
      </c>
      <c r="H441">
        <v>0.50898875858089132</v>
      </c>
    </row>
    <row r="442" spans="1:8" x14ac:dyDescent="0.35">
      <c r="A442" s="13">
        <v>43000</v>
      </c>
      <c r="B442" s="14">
        <v>5281.29</v>
      </c>
      <c r="C442" s="2">
        <f t="shared" si="24"/>
        <v>2.6579132722899246E-3</v>
      </c>
      <c r="D442">
        <f t="shared" si="25"/>
        <v>1</v>
      </c>
      <c r="E442">
        <v>0.82636614911468897</v>
      </c>
      <c r="F442">
        <f t="shared" si="26"/>
        <v>1</v>
      </c>
      <c r="G442" t="b">
        <f t="shared" si="27"/>
        <v>1</v>
      </c>
      <c r="H442">
        <v>0.50898877356481387</v>
      </c>
    </row>
    <row r="443" spans="1:8" x14ac:dyDescent="0.35">
      <c r="A443" s="13">
        <v>43003</v>
      </c>
      <c r="B443" s="14">
        <v>5267.13</v>
      </c>
      <c r="C443" s="2">
        <f t="shared" si="24"/>
        <v>-2.6811631249182843E-3</v>
      </c>
      <c r="D443">
        <f t="shared" si="25"/>
        <v>0</v>
      </c>
      <c r="E443">
        <v>0.84147489944084608</v>
      </c>
      <c r="F443">
        <f t="shared" si="26"/>
        <v>1</v>
      </c>
      <c r="G443" t="b">
        <f t="shared" si="27"/>
        <v>0</v>
      </c>
      <c r="H443">
        <v>0.50898870485881742</v>
      </c>
    </row>
    <row r="444" spans="1:8" x14ac:dyDescent="0.35">
      <c r="A444" s="13">
        <v>43004</v>
      </c>
      <c r="B444" s="14">
        <v>5268.76</v>
      </c>
      <c r="C444" s="2">
        <f t="shared" si="24"/>
        <v>3.094664456735341E-4</v>
      </c>
      <c r="D444">
        <f t="shared" si="25"/>
        <v>1</v>
      </c>
      <c r="E444">
        <v>0.76450787932121067</v>
      </c>
      <c r="F444">
        <f t="shared" si="26"/>
        <v>1</v>
      </c>
      <c r="G444" t="b">
        <f t="shared" si="27"/>
        <v>1</v>
      </c>
      <c r="H444">
        <v>0.508988731080114</v>
      </c>
    </row>
    <row r="445" spans="1:8" x14ac:dyDescent="0.35">
      <c r="A445" s="13">
        <v>43005</v>
      </c>
      <c r="B445" s="14">
        <v>5281.96</v>
      </c>
      <c r="C445" s="2">
        <f t="shared" si="24"/>
        <v>2.5053333232107899E-3</v>
      </c>
      <c r="D445">
        <f t="shared" si="25"/>
        <v>1</v>
      </c>
      <c r="E445">
        <v>0.79627017612714968</v>
      </c>
      <c r="F445">
        <f t="shared" si="26"/>
        <v>1</v>
      </c>
      <c r="G445" t="b">
        <f t="shared" si="27"/>
        <v>1</v>
      </c>
      <c r="H445">
        <v>0.50898875140219091</v>
      </c>
    </row>
    <row r="446" spans="1:8" x14ac:dyDescent="0.35">
      <c r="A446" s="13">
        <v>43006</v>
      </c>
      <c r="B446" s="14">
        <v>5293.77</v>
      </c>
      <c r="C446" s="2">
        <f t="shared" si="24"/>
        <v>2.2359124264479391E-3</v>
      </c>
      <c r="D446">
        <f t="shared" si="25"/>
        <v>1</v>
      </c>
      <c r="E446">
        <v>0.81874658377408072</v>
      </c>
      <c r="F446">
        <f t="shared" si="26"/>
        <v>1</v>
      </c>
      <c r="G446" t="b">
        <f t="shared" si="27"/>
        <v>1</v>
      </c>
      <c r="H446">
        <v>0.50898876785790548</v>
      </c>
    </row>
    <row r="447" spans="1:8" x14ac:dyDescent="0.35">
      <c r="A447" s="13">
        <v>43007</v>
      </c>
      <c r="B447" s="14">
        <v>5329.81</v>
      </c>
      <c r="C447" s="2">
        <f t="shared" si="24"/>
        <v>6.8080026143939598E-3</v>
      </c>
      <c r="D447">
        <f t="shared" si="25"/>
        <v>1</v>
      </c>
      <c r="E447">
        <v>0.83558135107544818</v>
      </c>
      <c r="F447">
        <f t="shared" si="26"/>
        <v>1</v>
      </c>
      <c r="G447" t="b">
        <f t="shared" si="27"/>
        <v>1</v>
      </c>
      <c r="H447">
        <v>0.5089887815629327</v>
      </c>
    </row>
    <row r="448" spans="1:8" x14ac:dyDescent="0.35">
      <c r="A448" s="13">
        <v>43010</v>
      </c>
      <c r="B448" s="14">
        <v>5350.44</v>
      </c>
      <c r="C448" s="2">
        <f t="shared" si="24"/>
        <v>3.8706820693419353E-3</v>
      </c>
      <c r="D448">
        <f t="shared" si="25"/>
        <v>1</v>
      </c>
      <c r="E448">
        <v>0.84873234431537714</v>
      </c>
      <c r="F448">
        <f t="shared" si="26"/>
        <v>1</v>
      </c>
      <c r="G448" t="b">
        <f t="shared" si="27"/>
        <v>1</v>
      </c>
      <c r="H448">
        <v>0.50898879326469249</v>
      </c>
    </row>
    <row r="449" spans="1:8" x14ac:dyDescent="0.35">
      <c r="A449" s="13">
        <v>43011</v>
      </c>
      <c r="B449" s="14">
        <v>5367.41</v>
      </c>
      <c r="C449" s="2">
        <f t="shared" si="24"/>
        <v>3.1717017665837677E-3</v>
      </c>
      <c r="D449">
        <f t="shared" si="25"/>
        <v>1</v>
      </c>
      <c r="E449">
        <v>0.85933904147859863</v>
      </c>
      <c r="F449">
        <f t="shared" si="26"/>
        <v>1</v>
      </c>
      <c r="G449" t="b">
        <f t="shared" si="27"/>
        <v>1</v>
      </c>
      <c r="H449">
        <v>0.50898880344590336</v>
      </c>
    </row>
    <row r="450" spans="1:8" x14ac:dyDescent="0.35">
      <c r="A450" s="13">
        <v>43013</v>
      </c>
      <c r="B450" s="14">
        <v>5379.21</v>
      </c>
      <c r="C450" s="2">
        <f t="shared" si="24"/>
        <v>2.1984532577166149E-3</v>
      </c>
      <c r="D450">
        <f t="shared" si="25"/>
        <v>1</v>
      </c>
      <c r="E450">
        <v>0.86810938669316218</v>
      </c>
      <c r="F450">
        <f t="shared" si="26"/>
        <v>1</v>
      </c>
      <c r="G450" t="b">
        <f t="shared" si="27"/>
        <v>1</v>
      </c>
      <c r="H450">
        <v>0.50898881247114869</v>
      </c>
    </row>
    <row r="451" spans="1:8" x14ac:dyDescent="0.35">
      <c r="A451" s="13">
        <v>43014</v>
      </c>
      <c r="B451" s="14">
        <v>5359.9</v>
      </c>
      <c r="C451" s="2">
        <f t="shared" si="24"/>
        <v>-3.5897464497575138E-3</v>
      </c>
      <c r="D451">
        <f t="shared" si="25"/>
        <v>0</v>
      </c>
      <c r="E451">
        <v>0.87550699110153052</v>
      </c>
      <c r="F451">
        <f t="shared" si="26"/>
        <v>1</v>
      </c>
      <c r="G451" t="b">
        <f t="shared" si="27"/>
        <v>0</v>
      </c>
      <c r="H451">
        <v>0.50898875474986549</v>
      </c>
    </row>
    <row r="452" spans="1:8" x14ac:dyDescent="0.35">
      <c r="A452" s="13">
        <v>43017</v>
      </c>
      <c r="B452" s="14">
        <v>5365.83</v>
      </c>
      <c r="C452" s="2">
        <f t="shared" ref="C452:C515" si="28">(B452/B451)-1</f>
        <v>1.1063639247002044E-3</v>
      </c>
      <c r="D452">
        <f t="shared" si="25"/>
        <v>1</v>
      </c>
      <c r="E452">
        <v>0.82233580789177063</v>
      </c>
      <c r="F452">
        <f t="shared" si="26"/>
        <v>1</v>
      </c>
      <c r="G452" t="b">
        <f t="shared" si="27"/>
        <v>1</v>
      </c>
      <c r="H452">
        <v>0.50898877055511682</v>
      </c>
    </row>
    <row r="453" spans="1:8" x14ac:dyDescent="0.35">
      <c r="A453" s="13">
        <v>43018</v>
      </c>
      <c r="B453" s="14">
        <v>5363.65</v>
      </c>
      <c r="C453" s="2">
        <f t="shared" si="28"/>
        <v>-4.0627451857411234E-4</v>
      </c>
      <c r="D453">
        <f t="shared" si="25"/>
        <v>0</v>
      </c>
      <c r="E453">
        <v>0.8383454857078102</v>
      </c>
      <c r="F453">
        <f t="shared" si="26"/>
        <v>1</v>
      </c>
      <c r="G453" t="b">
        <f t="shared" si="27"/>
        <v>0</v>
      </c>
      <c r="H453">
        <v>0.50898870062870238</v>
      </c>
    </row>
    <row r="454" spans="1:8" x14ac:dyDescent="0.35">
      <c r="A454" s="13">
        <v>43019</v>
      </c>
      <c r="B454" s="14">
        <v>5362.41</v>
      </c>
      <c r="C454" s="2">
        <f t="shared" si="28"/>
        <v>-2.3118585291725946E-4</v>
      </c>
      <c r="D454">
        <f t="shared" ref="D454:D517" si="29">IF(C454&gt;=0,1,0)</f>
        <v>0</v>
      </c>
      <c r="E454">
        <v>0.75920555962753133</v>
      </c>
      <c r="F454">
        <f t="shared" si="26"/>
        <v>1</v>
      </c>
      <c r="G454" t="b">
        <f t="shared" si="27"/>
        <v>0</v>
      </c>
      <c r="H454">
        <v>0.50898861333353229</v>
      </c>
    </row>
    <row r="455" spans="1:8" x14ac:dyDescent="0.35">
      <c r="A455" s="13">
        <v>43020</v>
      </c>
      <c r="B455" s="14">
        <v>5360.81</v>
      </c>
      <c r="C455" s="2">
        <f t="shared" si="28"/>
        <v>-2.9837330603210699E-4</v>
      </c>
      <c r="D455">
        <f t="shared" si="29"/>
        <v>0</v>
      </c>
      <c r="E455">
        <v>0.63209850452177163</v>
      </c>
      <c r="F455">
        <f t="shared" si="26"/>
        <v>1</v>
      </c>
      <c r="G455" t="b">
        <f t="shared" si="27"/>
        <v>0</v>
      </c>
      <c r="H455">
        <v>0.50898851805220879</v>
      </c>
    </row>
    <row r="456" spans="1:8" x14ac:dyDescent="0.35">
      <c r="A456" s="13">
        <v>43021</v>
      </c>
      <c r="B456" s="14">
        <v>5351.74</v>
      </c>
      <c r="C456" s="2">
        <f t="shared" si="28"/>
        <v>-1.6919084989023281E-3</v>
      </c>
      <c r="D456">
        <f t="shared" si="29"/>
        <v>0</v>
      </c>
      <c r="E456">
        <v>0.4748575554945863</v>
      </c>
      <c r="F456">
        <f t="shared" si="26"/>
        <v>0</v>
      </c>
      <c r="G456" t="b">
        <f t="shared" si="27"/>
        <v>1</v>
      </c>
      <c r="H456">
        <v>0.50898843921616954</v>
      </c>
    </row>
    <row r="457" spans="1:8" x14ac:dyDescent="0.35">
      <c r="A457" s="13">
        <v>43024</v>
      </c>
      <c r="B457" s="14">
        <v>5362.88</v>
      </c>
      <c r="C457" s="2">
        <f t="shared" si="28"/>
        <v>2.0815659953585808E-3</v>
      </c>
      <c r="D457">
        <f t="shared" si="29"/>
        <v>1</v>
      </c>
      <c r="E457">
        <v>0.35050740118646789</v>
      </c>
      <c r="F457">
        <f t="shared" ref="F457:F520" si="30">IF(E457&gt;=0.5,1,0)</f>
        <v>0</v>
      </c>
      <c r="G457" t="b">
        <f t="shared" ref="G457:G520" si="31">IF(D457=F457,TRUE,FALSE)</f>
        <v>0</v>
      </c>
      <c r="H457">
        <v>0.50898853729635596</v>
      </c>
    </row>
    <row r="458" spans="1:8" x14ac:dyDescent="0.35">
      <c r="A458" s="13">
        <v>43025</v>
      </c>
      <c r="B458" s="14">
        <v>5361.37</v>
      </c>
      <c r="C458" s="2">
        <f t="shared" si="28"/>
        <v>-2.8156512918431353E-4</v>
      </c>
      <c r="D458">
        <f t="shared" si="29"/>
        <v>0</v>
      </c>
      <c r="E458">
        <v>0.5068559075788962</v>
      </c>
      <c r="F458">
        <f t="shared" si="30"/>
        <v>1</v>
      </c>
      <c r="G458" t="b">
        <f t="shared" si="31"/>
        <v>0</v>
      </c>
      <c r="H458">
        <v>0.50898845245191882</v>
      </c>
    </row>
    <row r="459" spans="1:8" x14ac:dyDescent="0.35">
      <c r="A459" s="13">
        <v>43027</v>
      </c>
      <c r="B459" s="14">
        <v>5368.29</v>
      </c>
      <c r="C459" s="2">
        <f t="shared" si="28"/>
        <v>1.2907148732506091E-3</v>
      </c>
      <c r="D459">
        <f t="shared" si="29"/>
        <v>1</v>
      </c>
      <c r="E459">
        <v>0.37168445650477555</v>
      </c>
      <c r="F459">
        <f t="shared" si="30"/>
        <v>0</v>
      </c>
      <c r="G459" t="b">
        <f t="shared" si="31"/>
        <v>0</v>
      </c>
      <c r="H459">
        <v>0.5089885499108342</v>
      </c>
    </row>
    <row r="460" spans="1:8" x14ac:dyDescent="0.35">
      <c r="A460" s="13">
        <v>43028</v>
      </c>
      <c r="B460" s="14">
        <v>5372.38</v>
      </c>
      <c r="C460" s="2">
        <f t="shared" si="28"/>
        <v>7.6188134396626417E-4</v>
      </c>
      <c r="D460">
        <f t="shared" si="29"/>
        <v>1</v>
      </c>
      <c r="E460">
        <v>0.52859723962414817</v>
      </c>
      <c r="F460">
        <f t="shared" si="30"/>
        <v>1</v>
      </c>
      <c r="G460" t="b">
        <f t="shared" si="31"/>
        <v>1</v>
      </c>
      <c r="H460">
        <v>0.50898862613298823</v>
      </c>
    </row>
    <row r="461" spans="1:8" x14ac:dyDescent="0.35">
      <c r="A461" s="13">
        <v>43031</v>
      </c>
      <c r="B461" s="14">
        <v>5386.81</v>
      </c>
      <c r="C461" s="2">
        <f t="shared" si="28"/>
        <v>2.6859604123312675E-3</v>
      </c>
      <c r="D461">
        <f t="shared" si="29"/>
        <v>1</v>
      </c>
      <c r="E461">
        <v>0.65189453921462648</v>
      </c>
      <c r="F461">
        <f t="shared" si="30"/>
        <v>1</v>
      </c>
      <c r="G461" t="b">
        <f t="shared" si="31"/>
        <v>1</v>
      </c>
      <c r="H461">
        <v>0.50898867627625544</v>
      </c>
    </row>
    <row r="462" spans="1:8" x14ac:dyDescent="0.35">
      <c r="A462" s="13">
        <v>43032</v>
      </c>
      <c r="B462" s="14">
        <v>5394.8</v>
      </c>
      <c r="C462" s="2">
        <f t="shared" si="28"/>
        <v>1.4832526114714195E-3</v>
      </c>
      <c r="D462">
        <f t="shared" si="29"/>
        <v>1</v>
      </c>
      <c r="E462">
        <v>0.72566021249730273</v>
      </c>
      <c r="F462">
        <f t="shared" si="30"/>
        <v>1</v>
      </c>
      <c r="G462" t="b">
        <f t="shared" si="31"/>
        <v>1</v>
      </c>
      <c r="H462">
        <v>0.50898871052219563</v>
      </c>
    </row>
    <row r="463" spans="1:8" x14ac:dyDescent="0.35">
      <c r="A463" s="13">
        <v>43033</v>
      </c>
      <c r="B463" s="14">
        <v>5374.89</v>
      </c>
      <c r="C463" s="2">
        <f t="shared" si="28"/>
        <v>-3.690590939423144E-3</v>
      </c>
      <c r="D463">
        <f t="shared" si="29"/>
        <v>0</v>
      </c>
      <c r="E463">
        <v>0.77059362252659791</v>
      </c>
      <c r="F463">
        <f t="shared" si="30"/>
        <v>1</v>
      </c>
      <c r="G463" t="b">
        <f t="shared" si="31"/>
        <v>0</v>
      </c>
      <c r="H463">
        <v>0.50898862415746693</v>
      </c>
    </row>
    <row r="464" spans="1:8" x14ac:dyDescent="0.35">
      <c r="A464" s="13">
        <v>43034</v>
      </c>
      <c r="B464" s="14">
        <v>5455.4</v>
      </c>
      <c r="C464" s="2">
        <f t="shared" si="28"/>
        <v>1.4978911196322109E-2</v>
      </c>
      <c r="D464">
        <f t="shared" si="29"/>
        <v>1</v>
      </c>
      <c r="E464">
        <v>0.64924141494249232</v>
      </c>
      <c r="F464">
        <f t="shared" si="30"/>
        <v>1</v>
      </c>
      <c r="G464" t="b">
        <f t="shared" si="31"/>
        <v>1</v>
      </c>
      <c r="H464">
        <v>0.50898867481631593</v>
      </c>
    </row>
    <row r="465" spans="1:8" x14ac:dyDescent="0.35">
      <c r="A465" s="13">
        <v>43035</v>
      </c>
      <c r="B465" s="14">
        <v>5494.13</v>
      </c>
      <c r="C465" s="2">
        <f t="shared" si="28"/>
        <v>7.0993877625840085E-3</v>
      </c>
      <c r="D465">
        <f t="shared" si="29"/>
        <v>1</v>
      </c>
      <c r="E465">
        <v>0.72409966319441288</v>
      </c>
      <c r="F465">
        <f t="shared" si="30"/>
        <v>1</v>
      </c>
      <c r="G465" t="b">
        <f t="shared" si="31"/>
        <v>1</v>
      </c>
      <c r="H465">
        <v>0.50898870928017792</v>
      </c>
    </row>
    <row r="466" spans="1:8" x14ac:dyDescent="0.35">
      <c r="A466" s="13">
        <v>43039</v>
      </c>
      <c r="B466" s="14">
        <v>5503.29</v>
      </c>
      <c r="C466" s="2">
        <f t="shared" si="28"/>
        <v>1.6672339387673318E-3</v>
      </c>
      <c r="D466">
        <f t="shared" si="29"/>
        <v>1</v>
      </c>
      <c r="E466">
        <v>0.76959789546929813</v>
      </c>
      <c r="F466">
        <f t="shared" si="30"/>
        <v>1</v>
      </c>
      <c r="G466" t="b">
        <f t="shared" si="31"/>
        <v>1</v>
      </c>
      <c r="H466">
        <v>0.50898873431517344</v>
      </c>
    </row>
    <row r="467" spans="1:8" x14ac:dyDescent="0.35">
      <c r="A467" s="13">
        <v>43040</v>
      </c>
      <c r="B467" s="14">
        <v>5514.29</v>
      </c>
      <c r="C467" s="2">
        <f t="shared" si="28"/>
        <v>1.9988043515788423E-3</v>
      </c>
      <c r="D467">
        <f t="shared" si="29"/>
        <v>1</v>
      </c>
      <c r="E467">
        <v>0.79977428964191632</v>
      </c>
      <c r="F467">
        <f t="shared" si="30"/>
        <v>1</v>
      </c>
      <c r="G467" t="b">
        <f t="shared" si="31"/>
        <v>1</v>
      </c>
      <c r="H467">
        <v>0.50898875382362496</v>
      </c>
    </row>
    <row r="468" spans="1:8" x14ac:dyDescent="0.35">
      <c r="A468" s="13">
        <v>43041</v>
      </c>
      <c r="B468" s="14">
        <v>5510.5</v>
      </c>
      <c r="C468" s="2">
        <f t="shared" si="28"/>
        <v>-6.8730516530690622E-4</v>
      </c>
      <c r="D468">
        <f t="shared" si="29"/>
        <v>0</v>
      </c>
      <c r="E468">
        <v>0.82131776591999939</v>
      </c>
      <c r="F468">
        <f t="shared" si="30"/>
        <v>1</v>
      </c>
      <c r="G468" t="b">
        <f t="shared" si="31"/>
        <v>0</v>
      </c>
      <c r="H468">
        <v>0.50898867968820949</v>
      </c>
    </row>
    <row r="469" spans="1:8" x14ac:dyDescent="0.35">
      <c r="A469" s="13">
        <v>43042</v>
      </c>
      <c r="B469" s="14">
        <v>5517.97</v>
      </c>
      <c r="C469" s="2">
        <f t="shared" si="28"/>
        <v>1.355593866255278E-3</v>
      </c>
      <c r="D469">
        <f t="shared" si="29"/>
        <v>1</v>
      </c>
      <c r="E469">
        <v>0.73057548461351718</v>
      </c>
      <c r="F469">
        <f t="shared" si="30"/>
        <v>1</v>
      </c>
      <c r="G469" t="b">
        <f t="shared" si="31"/>
        <v>1</v>
      </c>
      <c r="H469">
        <v>0.5089887124775665</v>
      </c>
    </row>
    <row r="470" spans="1:8" x14ac:dyDescent="0.35">
      <c r="A470" s="13">
        <v>43045</v>
      </c>
      <c r="B470" s="14">
        <v>5507.25</v>
      </c>
      <c r="C470" s="2">
        <f t="shared" si="28"/>
        <v>-1.9427434364449603E-3</v>
      </c>
      <c r="D470">
        <f t="shared" si="29"/>
        <v>0</v>
      </c>
      <c r="E470">
        <v>0.7737456025229017</v>
      </c>
      <c r="F470">
        <f t="shared" si="30"/>
        <v>1</v>
      </c>
      <c r="G470" t="b">
        <f t="shared" si="31"/>
        <v>0</v>
      </c>
      <c r="H470">
        <v>0.50898862740002493</v>
      </c>
    </row>
    <row r="471" spans="1:8" x14ac:dyDescent="0.35">
      <c r="A471" s="13">
        <v>43046</v>
      </c>
      <c r="B471" s="14">
        <v>5480.64</v>
      </c>
      <c r="C471" s="2">
        <f t="shared" si="28"/>
        <v>-4.8318126106495773E-3</v>
      </c>
      <c r="D471">
        <f t="shared" si="29"/>
        <v>0</v>
      </c>
      <c r="E471">
        <v>0.654067867478625</v>
      </c>
      <c r="F471">
        <f t="shared" si="30"/>
        <v>1</v>
      </c>
      <c r="G471" t="b">
        <f t="shared" si="31"/>
        <v>0</v>
      </c>
      <c r="H471">
        <v>0.5089885323966532</v>
      </c>
    </row>
    <row r="472" spans="1:8" x14ac:dyDescent="0.35">
      <c r="A472" s="13">
        <v>43047</v>
      </c>
      <c r="B472" s="14">
        <v>5471.43</v>
      </c>
      <c r="C472" s="2">
        <f t="shared" si="28"/>
        <v>-1.6804606761253726E-3</v>
      </c>
      <c r="D472">
        <f t="shared" si="29"/>
        <v>0</v>
      </c>
      <c r="E472">
        <v>0.49764458493656216</v>
      </c>
      <c r="F472">
        <f t="shared" si="30"/>
        <v>0</v>
      </c>
      <c r="G472" t="b">
        <f t="shared" si="31"/>
        <v>1</v>
      </c>
      <c r="H472">
        <v>0.50898845006205162</v>
      </c>
    </row>
    <row r="473" spans="1:8" x14ac:dyDescent="0.35">
      <c r="A473" s="13">
        <v>43048</v>
      </c>
      <c r="B473" s="14">
        <v>5407.75</v>
      </c>
      <c r="C473" s="2">
        <f t="shared" si="28"/>
        <v>-1.163863925884101E-2</v>
      </c>
      <c r="D473">
        <f t="shared" si="29"/>
        <v>0</v>
      </c>
      <c r="E473">
        <v>0.36544143949139762</v>
      </c>
      <c r="F473">
        <f t="shared" si="30"/>
        <v>0</v>
      </c>
      <c r="G473" t="b">
        <f t="shared" si="31"/>
        <v>1</v>
      </c>
      <c r="H473">
        <v>0.5089883928435095</v>
      </c>
    </row>
    <row r="474" spans="1:8" x14ac:dyDescent="0.35">
      <c r="A474" s="13">
        <v>43049</v>
      </c>
      <c r="B474" s="14">
        <v>5380.72</v>
      </c>
      <c r="C474" s="2">
        <f t="shared" si="28"/>
        <v>-4.9983819518283346E-3</v>
      </c>
      <c r="D474">
        <f t="shared" si="29"/>
        <v>0</v>
      </c>
      <c r="E474">
        <v>0.28481095393885802</v>
      </c>
      <c r="F474">
        <f t="shared" si="30"/>
        <v>0</v>
      </c>
      <c r="G474" t="b">
        <f t="shared" si="31"/>
        <v>1</v>
      </c>
      <c r="H474">
        <v>0.50898835254939834</v>
      </c>
    </row>
    <row r="475" spans="1:8" x14ac:dyDescent="0.35">
      <c r="A475" s="13">
        <v>43052</v>
      </c>
      <c r="B475" s="14">
        <v>5341.63</v>
      </c>
      <c r="C475" s="2">
        <f t="shared" si="28"/>
        <v>-7.264827011998376E-3</v>
      </c>
      <c r="D475">
        <f t="shared" si="29"/>
        <v>0</v>
      </c>
      <c r="E475">
        <v>0.23631666722011713</v>
      </c>
      <c r="F475">
        <f t="shared" si="30"/>
        <v>0</v>
      </c>
      <c r="G475" t="b">
        <f t="shared" si="31"/>
        <v>1</v>
      </c>
      <c r="H475">
        <v>0.50898832225899904</v>
      </c>
    </row>
    <row r="476" spans="1:8" x14ac:dyDescent="0.35">
      <c r="A476" s="13">
        <v>43053</v>
      </c>
      <c r="B476" s="14">
        <v>5315.58</v>
      </c>
      <c r="C476" s="2">
        <f t="shared" si="28"/>
        <v>-4.8767885458184113E-3</v>
      </c>
      <c r="D476">
        <f t="shared" si="29"/>
        <v>0</v>
      </c>
      <c r="E476">
        <v>0.20452084095805145</v>
      </c>
      <c r="F476">
        <f t="shared" si="30"/>
        <v>0</v>
      </c>
      <c r="G476" t="b">
        <f t="shared" si="31"/>
        <v>1</v>
      </c>
      <c r="H476">
        <v>0.50898829838217052</v>
      </c>
    </row>
    <row r="477" spans="1:8" x14ac:dyDescent="0.35">
      <c r="A477" s="13">
        <v>43054</v>
      </c>
      <c r="B477" s="14">
        <v>5301.25</v>
      </c>
      <c r="C477" s="2">
        <f t="shared" si="28"/>
        <v>-2.6958488067153619E-3</v>
      </c>
      <c r="D477">
        <f t="shared" si="29"/>
        <v>0</v>
      </c>
      <c r="E477">
        <v>0.18201578473988433</v>
      </c>
      <c r="F477">
        <f t="shared" si="30"/>
        <v>0</v>
      </c>
      <c r="G477" t="b">
        <f t="shared" si="31"/>
        <v>1</v>
      </c>
      <c r="H477">
        <v>0.50898827870338637</v>
      </c>
    </row>
    <row r="478" spans="1:8" x14ac:dyDescent="0.35">
      <c r="A478" s="13">
        <v>43055</v>
      </c>
      <c r="B478" s="14">
        <v>5336.39</v>
      </c>
      <c r="C478" s="2">
        <f t="shared" si="28"/>
        <v>6.628625324216042E-3</v>
      </c>
      <c r="D478">
        <f t="shared" si="29"/>
        <v>1</v>
      </c>
      <c r="E478">
        <v>0.16515574153132567</v>
      </c>
      <c r="F478">
        <f t="shared" si="30"/>
        <v>0</v>
      </c>
      <c r="G478" t="b">
        <f t="shared" si="31"/>
        <v>0</v>
      </c>
      <c r="H478">
        <v>0.50898836139998282</v>
      </c>
    </row>
    <row r="479" spans="1:8" x14ac:dyDescent="0.35">
      <c r="A479" s="13">
        <v>43056</v>
      </c>
      <c r="B479" s="14">
        <v>5319.17</v>
      </c>
      <c r="C479" s="2">
        <f t="shared" si="28"/>
        <v>-3.2269005826036645E-3</v>
      </c>
      <c r="D479">
        <f t="shared" si="29"/>
        <v>0</v>
      </c>
      <c r="E479">
        <v>0.24589250492844761</v>
      </c>
      <c r="F479">
        <f t="shared" si="30"/>
        <v>0</v>
      </c>
      <c r="G479" t="b">
        <f t="shared" si="31"/>
        <v>1</v>
      </c>
      <c r="H479">
        <v>0.5089883287995679</v>
      </c>
    </row>
    <row r="480" spans="1:8" x14ac:dyDescent="0.35">
      <c r="A480" s="13">
        <v>43059</v>
      </c>
      <c r="B480" s="14">
        <v>5340.45</v>
      </c>
      <c r="C480" s="2">
        <f t="shared" si="28"/>
        <v>4.0006241575283319E-3</v>
      </c>
      <c r="D480">
        <f t="shared" si="29"/>
        <v>1</v>
      </c>
      <c r="E480">
        <v>0.21102244898135142</v>
      </c>
      <c r="F480">
        <f t="shared" si="30"/>
        <v>0</v>
      </c>
      <c r="G480" t="b">
        <f t="shared" si="31"/>
        <v>0</v>
      </c>
      <c r="H480">
        <v>0.50898842157871316</v>
      </c>
    </row>
    <row r="481" spans="1:8" x14ac:dyDescent="0.35">
      <c r="A481" s="13">
        <v>43060</v>
      </c>
      <c r="B481" s="14">
        <v>5366.15</v>
      </c>
      <c r="C481" s="2">
        <f t="shared" si="28"/>
        <v>4.812328549092193E-3</v>
      </c>
      <c r="D481">
        <f t="shared" si="29"/>
        <v>1</v>
      </c>
      <c r="E481">
        <v>0.32129200611478725</v>
      </c>
      <c r="F481">
        <f t="shared" si="30"/>
        <v>0</v>
      </c>
      <c r="G481" t="b">
        <f t="shared" si="31"/>
        <v>0</v>
      </c>
      <c r="H481">
        <v>0.5089885228339891</v>
      </c>
    </row>
    <row r="482" spans="1:8" x14ac:dyDescent="0.35">
      <c r="A482" s="13">
        <v>43061</v>
      </c>
      <c r="B482" s="14">
        <v>5352.76</v>
      </c>
      <c r="C482" s="2">
        <f t="shared" si="28"/>
        <v>-2.495271283881273E-3</v>
      </c>
      <c r="D482">
        <f t="shared" si="29"/>
        <v>0</v>
      </c>
      <c r="E482">
        <v>0.47420231044968231</v>
      </c>
      <c r="F482">
        <f t="shared" si="30"/>
        <v>0</v>
      </c>
      <c r="G482" t="b">
        <f t="shared" si="31"/>
        <v>1</v>
      </c>
      <c r="H482">
        <v>0.50898844178697666</v>
      </c>
    </row>
    <row r="483" spans="1:8" x14ac:dyDescent="0.35">
      <c r="A483" s="13">
        <v>43062</v>
      </c>
      <c r="B483" s="14">
        <v>5379.54</v>
      </c>
      <c r="C483" s="2">
        <f t="shared" si="28"/>
        <v>5.0030264760609899E-3</v>
      </c>
      <c r="D483">
        <f t="shared" si="29"/>
        <v>1</v>
      </c>
      <c r="E483">
        <v>0.35009441068711011</v>
      </c>
      <c r="F483">
        <f t="shared" si="30"/>
        <v>0</v>
      </c>
      <c r="G483" t="b">
        <f t="shared" si="31"/>
        <v>0</v>
      </c>
      <c r="H483">
        <v>0.50898854139010719</v>
      </c>
    </row>
    <row r="484" spans="1:8" x14ac:dyDescent="0.35">
      <c r="A484" s="13">
        <v>43063</v>
      </c>
      <c r="B484" s="14">
        <v>5390.46</v>
      </c>
      <c r="C484" s="2">
        <f t="shared" si="28"/>
        <v>2.029913338315259E-3</v>
      </c>
      <c r="D484">
        <f t="shared" si="29"/>
        <v>1</v>
      </c>
      <c r="E484">
        <v>0.50640729786988403</v>
      </c>
      <c r="F484">
        <f t="shared" si="30"/>
        <v>1</v>
      </c>
      <c r="G484" t="b">
        <f t="shared" si="31"/>
        <v>1</v>
      </c>
      <c r="H484">
        <v>0.50898862211207863</v>
      </c>
    </row>
    <row r="485" spans="1:8" x14ac:dyDescent="0.35">
      <c r="A485" s="13">
        <v>43066</v>
      </c>
      <c r="B485" s="14">
        <v>5360.09</v>
      </c>
      <c r="C485" s="2">
        <f t="shared" si="28"/>
        <v>-5.6340275226974823E-3</v>
      </c>
      <c r="D485">
        <f t="shared" si="29"/>
        <v>0</v>
      </c>
      <c r="E485">
        <v>0.63741481468036565</v>
      </c>
      <c r="F485">
        <f t="shared" si="30"/>
        <v>1</v>
      </c>
      <c r="G485" t="b">
        <f t="shared" si="31"/>
        <v>0</v>
      </c>
      <c r="H485">
        <v>0.50898852606999845</v>
      </c>
    </row>
    <row r="486" spans="1:8" x14ac:dyDescent="0.35">
      <c r="A486" s="13">
        <v>43067</v>
      </c>
      <c r="B486" s="14">
        <v>5390.48</v>
      </c>
      <c r="C486" s="2">
        <f t="shared" si="28"/>
        <v>5.6696809195366793E-3</v>
      </c>
      <c r="D486">
        <f t="shared" si="29"/>
        <v>1</v>
      </c>
      <c r="E486">
        <v>0.48022656694826699</v>
      </c>
      <c r="F486">
        <f t="shared" si="30"/>
        <v>0</v>
      </c>
      <c r="G486" t="b">
        <f t="shared" si="31"/>
        <v>0</v>
      </c>
      <c r="H486">
        <v>0.5089886103856559</v>
      </c>
    </row>
    <row r="487" spans="1:8" x14ac:dyDescent="0.35">
      <c r="A487" s="13">
        <v>43068</v>
      </c>
      <c r="B487" s="14">
        <v>5398.05</v>
      </c>
      <c r="C487" s="2">
        <f t="shared" si="28"/>
        <v>1.4043276294506413E-3</v>
      </c>
      <c r="D487">
        <f t="shared" si="29"/>
        <v>1</v>
      </c>
      <c r="E487">
        <v>0.61940028202591235</v>
      </c>
      <c r="F487">
        <f t="shared" si="30"/>
        <v>1</v>
      </c>
      <c r="G487" t="b">
        <f t="shared" si="31"/>
        <v>1</v>
      </c>
      <c r="H487">
        <v>0.50898866728626357</v>
      </c>
    </row>
    <row r="488" spans="1:8" x14ac:dyDescent="0.35">
      <c r="A488" s="13">
        <v>43069</v>
      </c>
      <c r="B488" s="14">
        <v>5372.79</v>
      </c>
      <c r="C488" s="2">
        <f t="shared" si="28"/>
        <v>-4.679467585517072E-3</v>
      </c>
      <c r="D488">
        <f t="shared" si="29"/>
        <v>0</v>
      </c>
      <c r="E488">
        <v>0.70663409778558528</v>
      </c>
      <c r="F488">
        <f t="shared" si="30"/>
        <v>1</v>
      </c>
      <c r="G488" t="b">
        <f t="shared" si="31"/>
        <v>0</v>
      </c>
      <c r="H488">
        <v>0.50898857334073278</v>
      </c>
    </row>
    <row r="489" spans="1:8" x14ac:dyDescent="0.35">
      <c r="A489" s="13">
        <v>43070</v>
      </c>
      <c r="B489" s="14">
        <v>5316.89</v>
      </c>
      <c r="C489" s="2">
        <f t="shared" si="28"/>
        <v>-1.0404277851916666E-2</v>
      </c>
      <c r="D489">
        <f t="shared" si="29"/>
        <v>0</v>
      </c>
      <c r="E489">
        <v>0.55943308486217624</v>
      </c>
      <c r="F489">
        <f t="shared" si="30"/>
        <v>1</v>
      </c>
      <c r="G489" t="b">
        <f t="shared" si="31"/>
        <v>0</v>
      </c>
      <c r="H489">
        <v>0.50898848229790017</v>
      </c>
    </row>
    <row r="490" spans="1:8" x14ac:dyDescent="0.35">
      <c r="A490" s="13">
        <v>43073</v>
      </c>
      <c r="B490" s="14">
        <v>5389.29</v>
      </c>
      <c r="C490" s="2">
        <f t="shared" si="28"/>
        <v>1.3616982860281013E-2</v>
      </c>
      <c r="D490">
        <f t="shared" si="29"/>
        <v>1</v>
      </c>
      <c r="E490">
        <v>0.41031171877400258</v>
      </c>
      <c r="F490">
        <f t="shared" si="30"/>
        <v>0</v>
      </c>
      <c r="G490" t="b">
        <f t="shared" si="31"/>
        <v>0</v>
      </c>
      <c r="H490">
        <v>0.50898857636328165</v>
      </c>
    </row>
    <row r="491" spans="1:8" x14ac:dyDescent="0.35">
      <c r="A491" s="13">
        <v>43074</v>
      </c>
      <c r="B491" s="14">
        <v>5375.53</v>
      </c>
      <c r="C491" s="2">
        <f t="shared" si="28"/>
        <v>-2.5532120186518847E-3</v>
      </c>
      <c r="D491">
        <f t="shared" si="29"/>
        <v>0</v>
      </c>
      <c r="E491">
        <v>0.56449302340330876</v>
      </c>
      <c r="F491">
        <f t="shared" si="30"/>
        <v>1</v>
      </c>
      <c r="G491" t="b">
        <f t="shared" si="31"/>
        <v>0</v>
      </c>
      <c r="H491">
        <v>0.50898848388995266</v>
      </c>
    </row>
    <row r="492" spans="1:8" x14ac:dyDescent="0.35">
      <c r="A492" s="13">
        <v>43075</v>
      </c>
      <c r="B492" s="14">
        <v>5374.35</v>
      </c>
      <c r="C492" s="2">
        <f t="shared" si="28"/>
        <v>-2.1951323869451311E-4</v>
      </c>
      <c r="D492">
        <f t="shared" si="29"/>
        <v>0</v>
      </c>
      <c r="E492">
        <v>0.41434110061111201</v>
      </c>
      <c r="F492">
        <f t="shared" si="30"/>
        <v>0</v>
      </c>
      <c r="G492" t="b">
        <f t="shared" si="31"/>
        <v>1</v>
      </c>
      <c r="H492">
        <v>0.50898841570511089</v>
      </c>
    </row>
    <row r="493" spans="1:8" x14ac:dyDescent="0.35">
      <c r="A493" s="13">
        <v>43076</v>
      </c>
      <c r="B493" s="14">
        <v>5383.86</v>
      </c>
      <c r="C493" s="2">
        <f t="shared" si="28"/>
        <v>1.769516313600672E-3</v>
      </c>
      <c r="D493">
        <f t="shared" si="29"/>
        <v>1</v>
      </c>
      <c r="E493">
        <v>0.31346522072987315</v>
      </c>
      <c r="F493">
        <f t="shared" si="30"/>
        <v>0</v>
      </c>
      <c r="G493" t="b">
        <f t="shared" si="31"/>
        <v>0</v>
      </c>
      <c r="H493">
        <v>0.50898851498643394</v>
      </c>
    </row>
    <row r="494" spans="1:8" x14ac:dyDescent="0.35">
      <c r="A494" s="13">
        <v>43077</v>
      </c>
      <c r="B494" s="14">
        <v>5399.09</v>
      </c>
      <c r="C494" s="2">
        <f t="shared" si="28"/>
        <v>2.8288254152226688E-3</v>
      </c>
      <c r="D494">
        <f t="shared" si="29"/>
        <v>1</v>
      </c>
      <c r="E494">
        <v>0.46490048894966784</v>
      </c>
      <c r="F494">
        <f t="shared" si="30"/>
        <v>0</v>
      </c>
      <c r="G494" t="b">
        <f t="shared" si="31"/>
        <v>0</v>
      </c>
      <c r="H494">
        <v>0.508988602167736</v>
      </c>
    </row>
    <row r="495" spans="1:8" x14ac:dyDescent="0.35">
      <c r="A495" s="13">
        <v>43080</v>
      </c>
      <c r="B495" s="14">
        <v>5386.83</v>
      </c>
      <c r="C495" s="2">
        <f t="shared" si="28"/>
        <v>-2.2707530343076821E-3</v>
      </c>
      <c r="D495">
        <f t="shared" si="29"/>
        <v>0</v>
      </c>
      <c r="E495">
        <v>0.60828903814879998</v>
      </c>
      <c r="F495">
        <f t="shared" si="30"/>
        <v>1</v>
      </c>
      <c r="G495" t="b">
        <f t="shared" si="31"/>
        <v>0</v>
      </c>
      <c r="H495">
        <v>0.50898850679851948</v>
      </c>
    </row>
    <row r="496" spans="1:8" x14ac:dyDescent="0.35">
      <c r="A496" s="13">
        <v>43081</v>
      </c>
      <c r="B496" s="14">
        <v>5427.19</v>
      </c>
      <c r="C496" s="2">
        <f t="shared" si="28"/>
        <v>7.4923470761096844E-3</v>
      </c>
      <c r="D496">
        <f t="shared" si="29"/>
        <v>1</v>
      </c>
      <c r="E496">
        <v>0.45201227711704689</v>
      </c>
      <c r="F496">
        <f t="shared" si="30"/>
        <v>0</v>
      </c>
      <c r="G496" t="b">
        <f t="shared" si="31"/>
        <v>0</v>
      </c>
      <c r="H496">
        <v>0.50898859638909277</v>
      </c>
    </row>
    <row r="497" spans="1:8" x14ac:dyDescent="0.35">
      <c r="A497" s="13">
        <v>43082</v>
      </c>
      <c r="B497" s="14">
        <v>5399.45</v>
      </c>
      <c r="C497" s="2">
        <f t="shared" si="28"/>
        <v>-5.1113006915179948E-3</v>
      </c>
      <c r="D497">
        <f t="shared" si="29"/>
        <v>0</v>
      </c>
      <c r="E497">
        <v>0.59857951513285801</v>
      </c>
      <c r="F497">
        <f t="shared" si="30"/>
        <v>1</v>
      </c>
      <c r="G497" t="b">
        <f t="shared" si="31"/>
        <v>0</v>
      </c>
      <c r="H497">
        <v>0.50898850160986986</v>
      </c>
    </row>
    <row r="498" spans="1:8" x14ac:dyDescent="0.35">
      <c r="A498" s="13">
        <v>43083</v>
      </c>
      <c r="B498" s="14">
        <v>5357.14</v>
      </c>
      <c r="C498" s="2">
        <f t="shared" si="28"/>
        <v>-7.8359832945946728E-3</v>
      </c>
      <c r="D498">
        <f t="shared" si="29"/>
        <v>0</v>
      </c>
      <c r="E498">
        <v>0.44319804986175909</v>
      </c>
      <c r="F498">
        <f t="shared" si="30"/>
        <v>0</v>
      </c>
      <c r="G498" t="b">
        <f t="shared" si="31"/>
        <v>1</v>
      </c>
      <c r="H498">
        <v>0.50898842776045516</v>
      </c>
    </row>
    <row r="499" spans="1:8" x14ac:dyDescent="0.35">
      <c r="A499" s="13">
        <v>43084</v>
      </c>
      <c r="B499" s="14">
        <v>5349.3</v>
      </c>
      <c r="C499" s="2">
        <f t="shared" si="28"/>
        <v>-1.4634674471826203E-3</v>
      </c>
      <c r="D499">
        <f t="shared" si="29"/>
        <v>0</v>
      </c>
      <c r="E499">
        <v>0.33077160287326707</v>
      </c>
      <c r="F499">
        <f t="shared" si="30"/>
        <v>0</v>
      </c>
      <c r="G499" t="b">
        <f t="shared" si="31"/>
        <v>1</v>
      </c>
      <c r="H499">
        <v>0.50898837760668314</v>
      </c>
    </row>
    <row r="500" spans="1:8" x14ac:dyDescent="0.35">
      <c r="A500" s="13">
        <v>43087</v>
      </c>
      <c r="B500" s="14">
        <v>5420.58</v>
      </c>
      <c r="C500" s="2">
        <f t="shared" si="28"/>
        <v>1.332510795805053E-2</v>
      </c>
      <c r="D500">
        <f t="shared" si="29"/>
        <v>1</v>
      </c>
      <c r="E500">
        <v>0.26439269489598249</v>
      </c>
      <c r="F500">
        <f t="shared" si="30"/>
        <v>0</v>
      </c>
      <c r="G500" t="b">
        <f t="shared" si="31"/>
        <v>0</v>
      </c>
      <c r="H500">
        <v>0.50898847574442363</v>
      </c>
    </row>
    <row r="501" spans="1:8" x14ac:dyDescent="0.35">
      <c r="A501" s="13">
        <v>43088</v>
      </c>
      <c r="B501" s="14">
        <v>5382.91</v>
      </c>
      <c r="C501" s="2">
        <f t="shared" si="28"/>
        <v>-6.9494408347445802E-3</v>
      </c>
      <c r="D501">
        <f t="shared" si="29"/>
        <v>0</v>
      </c>
      <c r="E501">
        <v>0.40111665792608586</v>
      </c>
      <c r="F501">
        <f t="shared" si="30"/>
        <v>0</v>
      </c>
      <c r="G501" t="b">
        <f t="shared" si="31"/>
        <v>1</v>
      </c>
      <c r="H501">
        <v>0.50898841006437734</v>
      </c>
    </row>
    <row r="502" spans="1:8" x14ac:dyDescent="0.35">
      <c r="A502" s="13">
        <v>43089</v>
      </c>
      <c r="B502" s="14">
        <v>5352.77</v>
      </c>
      <c r="C502" s="2">
        <f t="shared" si="28"/>
        <v>-5.599201918664698E-3</v>
      </c>
      <c r="D502">
        <f t="shared" si="29"/>
        <v>0</v>
      </c>
      <c r="E502">
        <v>0.30567560790727688</v>
      </c>
      <c r="F502">
        <f t="shared" si="30"/>
        <v>0</v>
      </c>
      <c r="G502" t="b">
        <f t="shared" si="31"/>
        <v>1</v>
      </c>
      <c r="H502">
        <v>0.50898836530479263</v>
      </c>
    </row>
    <row r="503" spans="1:8" x14ac:dyDescent="0.35">
      <c r="A503" s="13">
        <v>43090</v>
      </c>
      <c r="B503" s="14">
        <v>5385.97</v>
      </c>
      <c r="C503" s="2">
        <f t="shared" si="28"/>
        <v>6.2023961425579088E-3</v>
      </c>
      <c r="D503">
        <f t="shared" si="29"/>
        <v>1</v>
      </c>
      <c r="E503">
        <v>0.24925813184470039</v>
      </c>
      <c r="F503">
        <f t="shared" si="30"/>
        <v>0</v>
      </c>
      <c r="G503" t="b">
        <f t="shared" si="31"/>
        <v>0</v>
      </c>
      <c r="H503">
        <v>0.50898846126204034</v>
      </c>
    </row>
    <row r="504" spans="1:8" x14ac:dyDescent="0.35">
      <c r="A504" s="13">
        <v>43091</v>
      </c>
      <c r="B504" s="14">
        <v>5364.72</v>
      </c>
      <c r="C504" s="2">
        <f t="shared" si="28"/>
        <v>-3.9454360124545618E-3</v>
      </c>
      <c r="D504">
        <f t="shared" si="29"/>
        <v>0</v>
      </c>
      <c r="E504">
        <v>0.37953102459984228</v>
      </c>
      <c r="F504">
        <f t="shared" si="30"/>
        <v>0</v>
      </c>
      <c r="G504" t="b">
        <f t="shared" si="31"/>
        <v>1</v>
      </c>
      <c r="H504">
        <v>0.50898839973473586</v>
      </c>
    </row>
    <row r="505" spans="1:8" x14ac:dyDescent="0.35">
      <c r="A505" s="13">
        <v>43096</v>
      </c>
      <c r="B505" s="14">
        <v>5368.84</v>
      </c>
      <c r="C505" s="2">
        <f t="shared" si="28"/>
        <v>7.679804351392594E-4</v>
      </c>
      <c r="D505">
        <f t="shared" si="29"/>
        <v>1</v>
      </c>
      <c r="E505">
        <v>0.29304759369123823</v>
      </c>
      <c r="F505">
        <f t="shared" si="30"/>
        <v>0</v>
      </c>
      <c r="G505" t="b">
        <f t="shared" si="31"/>
        <v>0</v>
      </c>
      <c r="H505">
        <v>0.50898849931379275</v>
      </c>
    </row>
    <row r="506" spans="1:8" x14ac:dyDescent="0.35">
      <c r="A506" s="13">
        <v>43097</v>
      </c>
      <c r="B506" s="14">
        <v>5339.42</v>
      </c>
      <c r="C506" s="2">
        <f t="shared" si="28"/>
        <v>-5.4797684416000303E-3</v>
      </c>
      <c r="D506">
        <f t="shared" si="29"/>
        <v>0</v>
      </c>
      <c r="E506">
        <v>0.43951790011785158</v>
      </c>
      <c r="F506">
        <f t="shared" si="30"/>
        <v>0</v>
      </c>
      <c r="G506" t="b">
        <f t="shared" si="31"/>
        <v>1</v>
      </c>
      <c r="H506">
        <v>0.5089884250568345</v>
      </c>
    </row>
    <row r="507" spans="1:8" x14ac:dyDescent="0.35">
      <c r="A507" s="13">
        <v>43098</v>
      </c>
      <c r="B507" s="14">
        <v>5312.56</v>
      </c>
      <c r="C507" s="2">
        <f t="shared" si="28"/>
        <v>-5.0305089316816654E-3</v>
      </c>
      <c r="D507">
        <f t="shared" si="29"/>
        <v>0</v>
      </c>
      <c r="E507">
        <v>0.32853696377228636</v>
      </c>
      <c r="F507">
        <f t="shared" si="30"/>
        <v>0</v>
      </c>
      <c r="G507" t="b">
        <f t="shared" si="31"/>
        <v>1</v>
      </c>
      <c r="H507">
        <v>0.50898837496797211</v>
      </c>
    </row>
    <row r="508" spans="1:8" x14ac:dyDescent="0.35">
      <c r="A508" s="13">
        <v>43102</v>
      </c>
      <c r="B508" s="14">
        <v>5288.6</v>
      </c>
      <c r="C508" s="2">
        <f t="shared" si="28"/>
        <v>-4.5100667098347813E-3</v>
      </c>
      <c r="D508">
        <f t="shared" si="29"/>
        <v>0</v>
      </c>
      <c r="E508">
        <v>0.26306165639178486</v>
      </c>
      <c r="F508">
        <f t="shared" si="30"/>
        <v>0</v>
      </c>
      <c r="G508" t="b">
        <f t="shared" si="31"/>
        <v>1</v>
      </c>
      <c r="H508">
        <v>0.50898833911743413</v>
      </c>
    </row>
    <row r="509" spans="1:8" x14ac:dyDescent="0.35">
      <c r="A509" s="13">
        <v>43103</v>
      </c>
      <c r="B509" s="14">
        <v>5331.28</v>
      </c>
      <c r="C509" s="2">
        <f t="shared" si="28"/>
        <v>8.0701887077865297E-3</v>
      </c>
      <c r="D509">
        <f t="shared" si="29"/>
        <v>1</v>
      </c>
      <c r="E509">
        <v>0.22239530288946319</v>
      </c>
      <c r="F509">
        <f t="shared" si="30"/>
        <v>0</v>
      </c>
      <c r="G509" t="b">
        <f t="shared" si="31"/>
        <v>0</v>
      </c>
      <c r="H509">
        <v>0.5089884326295393</v>
      </c>
    </row>
    <row r="510" spans="1:8" x14ac:dyDescent="0.35">
      <c r="A510" s="13">
        <v>43104</v>
      </c>
      <c r="B510" s="14">
        <v>5413.69</v>
      </c>
      <c r="C510" s="2">
        <f t="shared" si="28"/>
        <v>1.5457826263111318E-2</v>
      </c>
      <c r="D510">
        <f t="shared" si="29"/>
        <v>1</v>
      </c>
      <c r="E510">
        <v>0.33912494833512608</v>
      </c>
      <c r="F510">
        <f t="shared" si="30"/>
        <v>0</v>
      </c>
      <c r="G510" t="b">
        <f t="shared" si="31"/>
        <v>0</v>
      </c>
      <c r="H510">
        <v>0.50898853316613812</v>
      </c>
    </row>
    <row r="511" spans="1:8" x14ac:dyDescent="0.35">
      <c r="A511" s="13">
        <v>43105</v>
      </c>
      <c r="B511" s="14">
        <v>5470.75</v>
      </c>
      <c r="C511" s="2">
        <f t="shared" si="28"/>
        <v>1.0539945951836938E-2</v>
      </c>
      <c r="D511">
        <f t="shared" si="29"/>
        <v>1</v>
      </c>
      <c r="E511">
        <v>0.49449052702290275</v>
      </c>
      <c r="F511">
        <f t="shared" si="30"/>
        <v>0</v>
      </c>
      <c r="G511" t="b">
        <f t="shared" si="31"/>
        <v>0</v>
      </c>
      <c r="H511">
        <v>0.50898861571627818</v>
      </c>
    </row>
    <row r="512" spans="1:8" x14ac:dyDescent="0.35">
      <c r="A512" s="13">
        <v>43108</v>
      </c>
      <c r="B512" s="14">
        <v>5487.42</v>
      </c>
      <c r="C512" s="2">
        <f t="shared" si="28"/>
        <v>3.0471141982360006E-3</v>
      </c>
      <c r="D512">
        <f t="shared" si="29"/>
        <v>1</v>
      </c>
      <c r="E512">
        <v>0.6293439790379779</v>
      </c>
      <c r="F512">
        <f t="shared" si="30"/>
        <v>1</v>
      </c>
      <c r="G512" t="b">
        <f t="shared" si="31"/>
        <v>1</v>
      </c>
      <c r="H512">
        <v>0.50898867020955407</v>
      </c>
    </row>
    <row r="513" spans="1:8" x14ac:dyDescent="0.35">
      <c r="A513" s="13">
        <v>43109</v>
      </c>
      <c r="B513" s="14">
        <v>5523.94</v>
      </c>
      <c r="C513" s="2">
        <f t="shared" si="28"/>
        <v>6.6552223084801465E-3</v>
      </c>
      <c r="D513">
        <f t="shared" si="29"/>
        <v>1</v>
      </c>
      <c r="E513">
        <v>0.71243831929733525</v>
      </c>
      <c r="F513">
        <f t="shared" si="30"/>
        <v>1</v>
      </c>
      <c r="G513" t="b">
        <f t="shared" si="31"/>
        <v>1</v>
      </c>
      <c r="H513">
        <v>0.50898870702220789</v>
      </c>
    </row>
    <row r="514" spans="1:8" x14ac:dyDescent="0.35">
      <c r="A514" s="13">
        <v>43110</v>
      </c>
      <c r="B514" s="14">
        <v>5504.68</v>
      </c>
      <c r="C514" s="2">
        <f t="shared" si="28"/>
        <v>-3.486641781047406E-3</v>
      </c>
      <c r="D514">
        <f t="shared" si="29"/>
        <v>0</v>
      </c>
      <c r="E514">
        <v>0.76222996716507996</v>
      </c>
      <c r="F514">
        <f t="shared" si="30"/>
        <v>1</v>
      </c>
      <c r="G514" t="b">
        <f t="shared" si="31"/>
        <v>0</v>
      </c>
      <c r="H514">
        <v>0.50898861979049148</v>
      </c>
    </row>
    <row r="515" spans="1:8" x14ac:dyDescent="0.35">
      <c r="A515" s="13">
        <v>43111</v>
      </c>
      <c r="B515" s="14">
        <v>5488.55</v>
      </c>
      <c r="C515" s="2">
        <f t="shared" si="28"/>
        <v>-2.9302339100547581E-3</v>
      </c>
      <c r="D515">
        <f t="shared" si="29"/>
        <v>0</v>
      </c>
      <c r="E515">
        <v>0.63662290603063798</v>
      </c>
      <c r="F515">
        <f t="shared" si="30"/>
        <v>1</v>
      </c>
      <c r="G515" t="b">
        <f t="shared" si="31"/>
        <v>0</v>
      </c>
      <c r="H515">
        <v>0.50898852381629034</v>
      </c>
    </row>
    <row r="516" spans="1:8" x14ac:dyDescent="0.35">
      <c r="A516" s="13">
        <v>43112</v>
      </c>
      <c r="B516" s="14">
        <v>5517.06</v>
      </c>
      <c r="C516" s="2">
        <f t="shared" ref="C516:C579" si="32">(B516/B515)-1</f>
        <v>5.1944502646419366E-3</v>
      </c>
      <c r="D516">
        <f t="shared" si="29"/>
        <v>1</v>
      </c>
      <c r="E516">
        <v>0.47943541384429256</v>
      </c>
      <c r="F516">
        <f t="shared" si="30"/>
        <v>0</v>
      </c>
      <c r="G516" t="b">
        <f t="shared" si="31"/>
        <v>0</v>
      </c>
      <c r="H516">
        <v>0.50898860772973931</v>
      </c>
    </row>
    <row r="517" spans="1:8" x14ac:dyDescent="0.35">
      <c r="A517" s="13">
        <v>43116</v>
      </c>
      <c r="B517" s="14">
        <v>5513.82</v>
      </c>
      <c r="C517" s="2">
        <f t="shared" si="32"/>
        <v>-5.8726930647856612E-4</v>
      </c>
      <c r="D517">
        <f t="shared" si="29"/>
        <v>0</v>
      </c>
      <c r="E517">
        <v>0.6188263087967808</v>
      </c>
      <c r="F517">
        <f t="shared" si="30"/>
        <v>1</v>
      </c>
      <c r="G517" t="b">
        <f t="shared" si="31"/>
        <v>0</v>
      </c>
      <c r="H517">
        <v>0.50898851364681574</v>
      </c>
    </row>
    <row r="518" spans="1:8" x14ac:dyDescent="0.35">
      <c r="A518" s="13">
        <v>43117</v>
      </c>
      <c r="B518" s="14">
        <v>5493.99</v>
      </c>
      <c r="C518" s="2">
        <f t="shared" si="32"/>
        <v>-3.5964177285439103E-3</v>
      </c>
      <c r="D518">
        <f t="shared" ref="D518:D581" si="33">IF(C518&gt;=0,1,0)</f>
        <v>0</v>
      </c>
      <c r="E518">
        <v>0.46191444768358653</v>
      </c>
      <c r="F518">
        <f t="shared" si="30"/>
        <v>0</v>
      </c>
      <c r="G518" t="b">
        <f t="shared" si="31"/>
        <v>1</v>
      </c>
      <c r="H518">
        <v>0.50898843836320151</v>
      </c>
    </row>
    <row r="519" spans="1:8" x14ac:dyDescent="0.35">
      <c r="A519" s="13">
        <v>43118</v>
      </c>
      <c r="B519" s="14">
        <v>5494.83</v>
      </c>
      <c r="C519" s="2">
        <f t="shared" si="32"/>
        <v>1.5289434454746065E-4</v>
      </c>
      <c r="D519">
        <f t="shared" si="33"/>
        <v>1</v>
      </c>
      <c r="E519">
        <v>0.34233217127484405</v>
      </c>
      <c r="F519">
        <f t="shared" si="30"/>
        <v>0</v>
      </c>
      <c r="G519" t="b">
        <f t="shared" si="31"/>
        <v>0</v>
      </c>
      <c r="H519">
        <v>0.5089885353042749</v>
      </c>
    </row>
    <row r="520" spans="1:8" x14ac:dyDescent="0.35">
      <c r="A520" s="13">
        <v>43123</v>
      </c>
      <c r="B520" s="14">
        <v>5535.26</v>
      </c>
      <c r="C520" s="2">
        <f t="shared" si="32"/>
        <v>7.3578254468291693E-3</v>
      </c>
      <c r="D520">
        <f t="shared" si="33"/>
        <v>1</v>
      </c>
      <c r="E520">
        <v>0.49801129475084888</v>
      </c>
      <c r="F520">
        <f t="shared" si="30"/>
        <v>0</v>
      </c>
      <c r="G520" t="b">
        <f t="shared" si="31"/>
        <v>0</v>
      </c>
      <c r="H520">
        <v>0.50898861614264623</v>
      </c>
    </row>
    <row r="521" spans="1:8" x14ac:dyDescent="0.35">
      <c r="A521" s="13">
        <v>43124</v>
      </c>
      <c r="B521" s="14">
        <v>5495.16</v>
      </c>
      <c r="C521" s="2">
        <f t="shared" si="32"/>
        <v>-7.2444654812963138E-3</v>
      </c>
      <c r="D521">
        <f t="shared" si="33"/>
        <v>0</v>
      </c>
      <c r="E521">
        <v>0.63174513129216192</v>
      </c>
      <c r="F521">
        <f t="shared" ref="F521:F584" si="34">IF(E521&gt;=0.5,1,0)</f>
        <v>1</v>
      </c>
      <c r="G521" t="b">
        <f t="shared" ref="G521:G584" si="35">IF(D521=F521,TRUE,FALSE)</f>
        <v>0</v>
      </c>
      <c r="H521">
        <v>0.50898851981692705</v>
      </c>
    </row>
    <row r="522" spans="1:8" x14ac:dyDescent="0.35">
      <c r="A522" s="13">
        <v>43125</v>
      </c>
      <c r="B522" s="14">
        <v>5481.21</v>
      </c>
      <c r="C522" s="2">
        <f t="shared" si="32"/>
        <v>-2.5385976022536116E-3</v>
      </c>
      <c r="D522">
        <f t="shared" si="33"/>
        <v>0</v>
      </c>
      <c r="E522">
        <v>0.47453129206644717</v>
      </c>
      <c r="F522">
        <f t="shared" si="34"/>
        <v>0</v>
      </c>
      <c r="G522" t="b">
        <f t="shared" si="35"/>
        <v>1</v>
      </c>
      <c r="H522">
        <v>0.50898844010204691</v>
      </c>
    </row>
    <row r="523" spans="1:8" x14ac:dyDescent="0.35">
      <c r="A523" s="13">
        <v>43126</v>
      </c>
      <c r="B523" s="14">
        <v>5529.15</v>
      </c>
      <c r="C523" s="2">
        <f t="shared" si="32"/>
        <v>8.7462439862731056E-3</v>
      </c>
      <c r="D523">
        <f t="shared" si="33"/>
        <v>1</v>
      </c>
      <c r="E523">
        <v>0.35032002993757017</v>
      </c>
      <c r="F523">
        <f t="shared" si="34"/>
        <v>0</v>
      </c>
      <c r="G523" t="b">
        <f t="shared" si="35"/>
        <v>0</v>
      </c>
      <c r="H523">
        <v>0.50898853949831901</v>
      </c>
    </row>
    <row r="524" spans="1:8" x14ac:dyDescent="0.35">
      <c r="A524" s="13">
        <v>43129</v>
      </c>
      <c r="B524" s="14">
        <v>5521.59</v>
      </c>
      <c r="C524" s="2">
        <f t="shared" si="32"/>
        <v>-1.3672987710587892E-3</v>
      </c>
      <c r="D524">
        <f t="shared" si="33"/>
        <v>0</v>
      </c>
      <c r="E524">
        <v>0.50662633512627875</v>
      </c>
      <c r="F524">
        <f t="shared" si="34"/>
        <v>1</v>
      </c>
      <c r="G524" t="b">
        <f t="shared" si="35"/>
        <v>0</v>
      </c>
      <c r="H524">
        <v>0.50898845425427597</v>
      </c>
    </row>
    <row r="525" spans="1:8" x14ac:dyDescent="0.35">
      <c r="A525" s="13">
        <v>43130</v>
      </c>
      <c r="B525" s="14">
        <v>5473.78</v>
      </c>
      <c r="C525" s="2">
        <f t="shared" si="32"/>
        <v>-8.6587377911073737E-3</v>
      </c>
      <c r="D525">
        <f t="shared" si="33"/>
        <v>0</v>
      </c>
      <c r="E525">
        <v>0.37155033879541693</v>
      </c>
      <c r="F525">
        <f t="shared" si="34"/>
        <v>0</v>
      </c>
      <c r="G525" t="b">
        <f t="shared" si="35"/>
        <v>1</v>
      </c>
      <c r="H525">
        <v>0.50898839490030412</v>
      </c>
    </row>
    <row r="526" spans="1:8" x14ac:dyDescent="0.35">
      <c r="A526" s="13">
        <v>43131</v>
      </c>
      <c r="B526" s="14">
        <v>5481.93</v>
      </c>
      <c r="C526" s="2">
        <f t="shared" si="32"/>
        <v>1.4889162516580345E-3</v>
      </c>
      <c r="D526">
        <f t="shared" si="33"/>
        <v>1</v>
      </c>
      <c r="E526">
        <v>0.28839303915332798</v>
      </c>
      <c r="F526">
        <f t="shared" si="34"/>
        <v>0</v>
      </c>
      <c r="G526" t="b">
        <f t="shared" si="35"/>
        <v>0</v>
      </c>
      <c r="H526">
        <v>0.50898849434346427</v>
      </c>
    </row>
    <row r="527" spans="1:8" x14ac:dyDescent="0.35">
      <c r="A527" s="13">
        <v>43132</v>
      </c>
      <c r="B527" s="14">
        <v>5454.55</v>
      </c>
      <c r="C527" s="2">
        <f t="shared" si="32"/>
        <v>-4.994591320939934E-3</v>
      </c>
      <c r="D527">
        <f t="shared" si="33"/>
        <v>0</v>
      </c>
      <c r="E527">
        <v>0.43349076425938743</v>
      </c>
      <c r="F527">
        <f t="shared" si="34"/>
        <v>0</v>
      </c>
      <c r="G527" t="b">
        <f t="shared" si="35"/>
        <v>1</v>
      </c>
      <c r="H527">
        <v>0.50898842172925396</v>
      </c>
    </row>
    <row r="528" spans="1:8" x14ac:dyDescent="0.35">
      <c r="A528" s="13">
        <v>43133</v>
      </c>
      <c r="B528" s="14">
        <v>5364.98</v>
      </c>
      <c r="C528" s="2">
        <f t="shared" si="32"/>
        <v>-1.6421152982372678E-2</v>
      </c>
      <c r="D528">
        <f t="shared" si="33"/>
        <v>0</v>
      </c>
      <c r="E528">
        <v>0.32490158521609164</v>
      </c>
      <c r="F528">
        <f t="shared" si="34"/>
        <v>0</v>
      </c>
      <c r="G528" t="b">
        <f t="shared" si="35"/>
        <v>1</v>
      </c>
      <c r="H528">
        <v>0.50898837212202941</v>
      </c>
    </row>
    <row r="529" spans="1:8" x14ac:dyDescent="0.35">
      <c r="A529" s="13">
        <v>43136</v>
      </c>
      <c r="B529" s="14">
        <v>5285.83</v>
      </c>
      <c r="C529" s="2">
        <f t="shared" si="32"/>
        <v>-1.4753083888476737E-2</v>
      </c>
      <c r="D529">
        <f t="shared" si="33"/>
        <v>0</v>
      </c>
      <c r="E529">
        <v>0.26089257329988824</v>
      </c>
      <c r="F529">
        <f t="shared" si="34"/>
        <v>0</v>
      </c>
      <c r="G529" t="b">
        <f t="shared" si="35"/>
        <v>1</v>
      </c>
      <c r="H529">
        <v>0.50898833646596608</v>
      </c>
    </row>
    <row r="530" spans="1:8" x14ac:dyDescent="0.35">
      <c r="A530" s="13">
        <v>43137</v>
      </c>
      <c r="B530" s="14">
        <v>5161.8100000000004</v>
      </c>
      <c r="C530" s="2">
        <f t="shared" si="32"/>
        <v>-2.3462729599703303E-2</v>
      </c>
      <c r="D530">
        <f t="shared" si="33"/>
        <v>0</v>
      </c>
      <c r="E530">
        <v>0.22098118029080085</v>
      </c>
      <c r="F530">
        <f t="shared" si="34"/>
        <v>0</v>
      </c>
      <c r="G530" t="b">
        <f t="shared" si="35"/>
        <v>1</v>
      </c>
      <c r="H530">
        <v>0.50898830894617464</v>
      </c>
    </row>
    <row r="531" spans="1:8" x14ac:dyDescent="0.35">
      <c r="A531" s="13">
        <v>43138</v>
      </c>
      <c r="B531" s="14">
        <v>5255.9</v>
      </c>
      <c r="C531" s="2">
        <f t="shared" si="32"/>
        <v>1.8228102157963777E-2</v>
      </c>
      <c r="D531">
        <f t="shared" si="33"/>
        <v>1</v>
      </c>
      <c r="E531">
        <v>0.19385441459041095</v>
      </c>
      <c r="F531">
        <f t="shared" si="34"/>
        <v>0</v>
      </c>
      <c r="G531" t="b">
        <f t="shared" si="35"/>
        <v>0</v>
      </c>
      <c r="H531">
        <v>0.50898839961039199</v>
      </c>
    </row>
    <row r="532" spans="1:8" x14ac:dyDescent="0.35">
      <c r="A532" s="13">
        <v>43139</v>
      </c>
      <c r="B532" s="14">
        <v>5151.68</v>
      </c>
      <c r="C532" s="2">
        <f t="shared" si="32"/>
        <v>-1.9829144390113851E-2</v>
      </c>
      <c r="D532">
        <f t="shared" si="33"/>
        <v>0</v>
      </c>
      <c r="E532">
        <v>0.29360813387524232</v>
      </c>
      <c r="F532">
        <f t="shared" si="34"/>
        <v>0</v>
      </c>
      <c r="G532" t="b">
        <f t="shared" si="35"/>
        <v>1</v>
      </c>
      <c r="H532">
        <v>0.50898835574723922</v>
      </c>
    </row>
    <row r="533" spans="1:8" x14ac:dyDescent="0.35">
      <c r="A533" s="13">
        <v>43140</v>
      </c>
      <c r="B533" s="14">
        <v>5079.21</v>
      </c>
      <c r="C533" s="2">
        <f t="shared" si="32"/>
        <v>-1.4067255730169648E-2</v>
      </c>
      <c r="D533">
        <f t="shared" si="33"/>
        <v>0</v>
      </c>
      <c r="E533">
        <v>0.24182580954658803</v>
      </c>
      <c r="F533">
        <f t="shared" si="34"/>
        <v>0</v>
      </c>
      <c r="G533" t="b">
        <f t="shared" si="35"/>
        <v>1</v>
      </c>
      <c r="H533">
        <v>0.50898832360410917</v>
      </c>
    </row>
    <row r="534" spans="1:8" x14ac:dyDescent="0.35">
      <c r="A534" s="13">
        <v>43143</v>
      </c>
      <c r="B534" s="14">
        <v>5140.0600000000004</v>
      </c>
      <c r="C534" s="2">
        <f t="shared" si="32"/>
        <v>1.1980209520771945E-2</v>
      </c>
      <c r="D534">
        <f t="shared" si="33"/>
        <v>1</v>
      </c>
      <c r="E534">
        <v>0.20828213862578879</v>
      </c>
      <c r="F534">
        <f t="shared" si="34"/>
        <v>0</v>
      </c>
      <c r="G534" t="b">
        <f t="shared" si="35"/>
        <v>0</v>
      </c>
      <c r="H534">
        <v>0.50898841836153341</v>
      </c>
    </row>
    <row r="535" spans="1:8" x14ac:dyDescent="0.35">
      <c r="A535" s="13">
        <v>43144</v>
      </c>
      <c r="B535" s="14">
        <v>5109.24</v>
      </c>
      <c r="C535" s="2">
        <f t="shared" si="32"/>
        <v>-5.9960389567438321E-3</v>
      </c>
      <c r="D535">
        <f t="shared" si="33"/>
        <v>0</v>
      </c>
      <c r="E535">
        <v>0.31690874666210328</v>
      </c>
      <c r="F535">
        <f t="shared" si="34"/>
        <v>0</v>
      </c>
      <c r="G535" t="b">
        <f t="shared" si="35"/>
        <v>1</v>
      </c>
      <c r="H535">
        <v>0.50898836862455277</v>
      </c>
    </row>
    <row r="536" spans="1:8" x14ac:dyDescent="0.35">
      <c r="A536" s="13">
        <v>43145</v>
      </c>
      <c r="B536" s="14">
        <v>5165.26</v>
      </c>
      <c r="C536" s="2">
        <f t="shared" si="32"/>
        <v>1.0964448724272158E-2</v>
      </c>
      <c r="D536">
        <f t="shared" si="33"/>
        <v>1</v>
      </c>
      <c r="E536">
        <v>0.25608772818818298</v>
      </c>
      <c r="F536">
        <f t="shared" si="34"/>
        <v>0</v>
      </c>
      <c r="G536" t="b">
        <f t="shared" si="35"/>
        <v>0</v>
      </c>
      <c r="H536">
        <v>0.50898847004245451</v>
      </c>
    </row>
    <row r="537" spans="1:8" x14ac:dyDescent="0.35">
      <c r="A537" s="13">
        <v>43146</v>
      </c>
      <c r="B537" s="14">
        <v>5222.5200000000004</v>
      </c>
      <c r="C537" s="2">
        <f t="shared" si="32"/>
        <v>1.1085598788831641E-2</v>
      </c>
      <c r="D537">
        <f t="shared" si="33"/>
        <v>1</v>
      </c>
      <c r="E537">
        <v>0.38936570377509627</v>
      </c>
      <c r="F537">
        <f t="shared" si="34"/>
        <v>0</v>
      </c>
      <c r="G537" t="b">
        <f t="shared" si="35"/>
        <v>0</v>
      </c>
      <c r="H537">
        <v>0.50898857138193776</v>
      </c>
    </row>
    <row r="538" spans="1:8" x14ac:dyDescent="0.35">
      <c r="A538" s="13">
        <v>43147</v>
      </c>
      <c r="B538" s="14">
        <v>5281.58</v>
      </c>
      <c r="C538" s="2">
        <f t="shared" si="32"/>
        <v>1.1308716864655288E-2</v>
      </c>
      <c r="D538">
        <f t="shared" si="33"/>
        <v>1</v>
      </c>
      <c r="E538">
        <v>0.54557102665986512</v>
      </c>
      <c r="F538">
        <f t="shared" si="34"/>
        <v>1</v>
      </c>
      <c r="G538" t="b">
        <f t="shared" si="35"/>
        <v>1</v>
      </c>
      <c r="H538">
        <v>0.50898864540341848</v>
      </c>
    </row>
    <row r="539" spans="1:8" x14ac:dyDescent="0.35">
      <c r="A539" s="13">
        <v>43150</v>
      </c>
      <c r="B539" s="14">
        <v>5256.18</v>
      </c>
      <c r="C539" s="2">
        <f t="shared" si="32"/>
        <v>-4.809166953828159E-3</v>
      </c>
      <c r="D539">
        <f t="shared" si="33"/>
        <v>0</v>
      </c>
      <c r="E539">
        <v>0.66255121886258606</v>
      </c>
      <c r="F539">
        <f t="shared" si="34"/>
        <v>1</v>
      </c>
      <c r="G539" t="b">
        <f t="shared" si="35"/>
        <v>0</v>
      </c>
      <c r="H539">
        <v>0.50898854740511201</v>
      </c>
    </row>
    <row r="540" spans="1:8" x14ac:dyDescent="0.35">
      <c r="A540" s="13">
        <v>43151</v>
      </c>
      <c r="B540" s="14">
        <v>5289.86</v>
      </c>
      <c r="C540" s="2">
        <f t="shared" si="32"/>
        <v>6.4076953224583288E-3</v>
      </c>
      <c r="D540">
        <f t="shared" si="33"/>
        <v>1</v>
      </c>
      <c r="E540">
        <v>0.5069309331552101</v>
      </c>
      <c r="F540">
        <f t="shared" si="34"/>
        <v>1</v>
      </c>
      <c r="G540" t="b">
        <f t="shared" si="35"/>
        <v>1</v>
      </c>
      <c r="H540">
        <v>0.50898862723212912</v>
      </c>
    </row>
    <row r="541" spans="1:8" x14ac:dyDescent="0.35">
      <c r="A541" s="13">
        <v>43152</v>
      </c>
      <c r="B541" s="14">
        <v>5302.17</v>
      </c>
      <c r="C541" s="2">
        <f t="shared" si="32"/>
        <v>2.3270937227073407E-3</v>
      </c>
      <c r="D541">
        <f t="shared" si="33"/>
        <v>1</v>
      </c>
      <c r="E541">
        <v>0.63774477602040502</v>
      </c>
      <c r="F541">
        <f t="shared" si="34"/>
        <v>1</v>
      </c>
      <c r="G541" t="b">
        <f t="shared" si="35"/>
        <v>1</v>
      </c>
      <c r="H541">
        <v>0.50898868091443217</v>
      </c>
    </row>
    <row r="542" spans="1:8" x14ac:dyDescent="0.35">
      <c r="A542" s="13">
        <v>43153</v>
      </c>
      <c r="B542" s="14">
        <v>5309.23</v>
      </c>
      <c r="C542" s="2">
        <f t="shared" si="32"/>
        <v>1.3315302979721721E-3</v>
      </c>
      <c r="D542">
        <f t="shared" si="33"/>
        <v>1</v>
      </c>
      <c r="E542">
        <v>0.71734545629291957</v>
      </c>
      <c r="F542">
        <f t="shared" si="34"/>
        <v>1</v>
      </c>
      <c r="G542" t="b">
        <f t="shared" si="35"/>
        <v>1</v>
      </c>
      <c r="H542">
        <v>0.50898871679191326</v>
      </c>
    </row>
    <row r="543" spans="1:8" x14ac:dyDescent="0.35">
      <c r="A543" s="13">
        <v>43154</v>
      </c>
      <c r="B543" s="14">
        <v>5317.37</v>
      </c>
      <c r="C543" s="2">
        <f t="shared" si="32"/>
        <v>1.5331790108923382E-3</v>
      </c>
      <c r="D543">
        <f t="shared" si="33"/>
        <v>1</v>
      </c>
      <c r="E543">
        <v>0.76530957812038947</v>
      </c>
      <c r="F543">
        <f t="shared" si="34"/>
        <v>1</v>
      </c>
      <c r="G543" t="b">
        <f t="shared" si="35"/>
        <v>1</v>
      </c>
      <c r="H543">
        <v>0.50898874244779158</v>
      </c>
    </row>
    <row r="544" spans="1:8" x14ac:dyDescent="0.35">
      <c r="A544" s="13">
        <v>43157</v>
      </c>
      <c r="B544" s="14">
        <v>5344.26</v>
      </c>
      <c r="C544" s="2">
        <f t="shared" si="32"/>
        <v>5.0570112668482103E-3</v>
      </c>
      <c r="D544">
        <f t="shared" si="33"/>
        <v>1</v>
      </c>
      <c r="E544">
        <v>0.79681409028176398</v>
      </c>
      <c r="F544">
        <f t="shared" si="34"/>
        <v>1</v>
      </c>
      <c r="G544" t="b">
        <f t="shared" si="35"/>
        <v>1</v>
      </c>
      <c r="H544">
        <v>0.50898876244520352</v>
      </c>
    </row>
    <row r="545" spans="1:8" x14ac:dyDescent="0.35">
      <c r="A545" s="13">
        <v>43158</v>
      </c>
      <c r="B545" s="14">
        <v>5343.93</v>
      </c>
      <c r="C545" s="2">
        <f t="shared" si="32"/>
        <v>-6.1748492775404173E-5</v>
      </c>
      <c r="D545">
        <f t="shared" si="33"/>
        <v>0</v>
      </c>
      <c r="E545">
        <v>0.81914050069169198</v>
      </c>
      <c r="F545">
        <f t="shared" si="34"/>
        <v>1</v>
      </c>
      <c r="G545" t="b">
        <f t="shared" si="35"/>
        <v>0</v>
      </c>
      <c r="H545">
        <v>0.50898868856090562</v>
      </c>
    </row>
    <row r="546" spans="1:8" x14ac:dyDescent="0.35">
      <c r="A546" s="13">
        <v>43159</v>
      </c>
      <c r="B546" s="14">
        <v>5320.49</v>
      </c>
      <c r="C546" s="2">
        <f t="shared" si="32"/>
        <v>-4.3862849999907194E-3</v>
      </c>
      <c r="D546">
        <f t="shared" si="33"/>
        <v>0</v>
      </c>
      <c r="E546">
        <v>0.72696593397216092</v>
      </c>
      <c r="F546">
        <f t="shared" si="34"/>
        <v>1</v>
      </c>
      <c r="G546" t="b">
        <f t="shared" si="35"/>
        <v>0</v>
      </c>
      <c r="H546">
        <v>0.50898859730878099</v>
      </c>
    </row>
    <row r="547" spans="1:8" x14ac:dyDescent="0.35">
      <c r="A547" s="13">
        <v>43160</v>
      </c>
      <c r="B547" s="14">
        <v>5262.56</v>
      </c>
      <c r="C547" s="2">
        <f t="shared" si="32"/>
        <v>-1.0888094893515277E-2</v>
      </c>
      <c r="D547">
        <f t="shared" si="33"/>
        <v>0</v>
      </c>
      <c r="E547">
        <v>0.58626618633951944</v>
      </c>
      <c r="F547">
        <f t="shared" si="34"/>
        <v>1</v>
      </c>
      <c r="G547" t="b">
        <f t="shared" si="35"/>
        <v>0</v>
      </c>
      <c r="H547">
        <v>0.50898850420868347</v>
      </c>
    </row>
    <row r="548" spans="1:8" x14ac:dyDescent="0.35">
      <c r="A548" s="13">
        <v>43161</v>
      </c>
      <c r="B548" s="14">
        <v>5136.58</v>
      </c>
      <c r="C548" s="2">
        <f t="shared" si="32"/>
        <v>-2.3938919461250929E-2</v>
      </c>
      <c r="D548">
        <f t="shared" si="33"/>
        <v>0</v>
      </c>
      <c r="E548">
        <v>0.43243185762437569</v>
      </c>
      <c r="F548">
        <f t="shared" si="34"/>
        <v>0</v>
      </c>
      <c r="G548" t="b">
        <f t="shared" si="35"/>
        <v>1</v>
      </c>
      <c r="H548">
        <v>0.50898843191445231</v>
      </c>
    </row>
    <row r="549" spans="1:8" x14ac:dyDescent="0.35">
      <c r="A549" s="13">
        <v>43164</v>
      </c>
      <c r="B549" s="14">
        <v>5167.2299999999996</v>
      </c>
      <c r="C549" s="2">
        <f t="shared" si="32"/>
        <v>5.9670052836711118E-3</v>
      </c>
      <c r="D549">
        <f t="shared" si="33"/>
        <v>1</v>
      </c>
      <c r="E549">
        <v>0.32426903957397868</v>
      </c>
      <c r="F549">
        <f t="shared" si="34"/>
        <v>0</v>
      </c>
      <c r="G549" t="b">
        <f t="shared" si="35"/>
        <v>0</v>
      </c>
      <c r="H549">
        <v>0.50898853250660525</v>
      </c>
    </row>
    <row r="550" spans="1:8" x14ac:dyDescent="0.35">
      <c r="A550" s="13">
        <v>43165</v>
      </c>
      <c r="B550" s="14">
        <v>5170.2299999999996</v>
      </c>
      <c r="C550" s="2">
        <f t="shared" si="32"/>
        <v>5.8058185913933968E-4</v>
      </c>
      <c r="D550">
        <f t="shared" si="33"/>
        <v>1</v>
      </c>
      <c r="E550">
        <v>0.4776422220648725</v>
      </c>
      <c r="F550">
        <f t="shared" si="34"/>
        <v>0</v>
      </c>
      <c r="G550" t="b">
        <f t="shared" si="35"/>
        <v>0</v>
      </c>
      <c r="H550">
        <v>0.50898861965827336</v>
      </c>
    </row>
    <row r="551" spans="1:8" x14ac:dyDescent="0.35">
      <c r="A551" s="13">
        <v>43166</v>
      </c>
      <c r="B551" s="14">
        <v>5187.83</v>
      </c>
      <c r="C551" s="2">
        <f t="shared" si="32"/>
        <v>3.4041038793246603E-3</v>
      </c>
      <c r="D551">
        <f t="shared" si="33"/>
        <v>1</v>
      </c>
      <c r="E551">
        <v>0.61753527942482433</v>
      </c>
      <c r="F551">
        <f t="shared" si="34"/>
        <v>1</v>
      </c>
      <c r="G551" t="b">
        <f t="shared" si="35"/>
        <v>1</v>
      </c>
      <c r="H551">
        <v>0.508988678336324</v>
      </c>
    </row>
    <row r="552" spans="1:8" x14ac:dyDescent="0.35">
      <c r="A552" s="13">
        <v>43167</v>
      </c>
      <c r="B552" s="14">
        <v>5254.1</v>
      </c>
      <c r="C552" s="2">
        <f t="shared" si="32"/>
        <v>1.2774127139864033E-2</v>
      </c>
      <c r="D552">
        <f t="shared" si="33"/>
        <v>1</v>
      </c>
      <c r="E552">
        <v>0.7055311760623405</v>
      </c>
      <c r="F552">
        <f t="shared" si="34"/>
        <v>1</v>
      </c>
      <c r="G552" t="b">
        <f t="shared" si="35"/>
        <v>1</v>
      </c>
      <c r="H552">
        <v>0.50898871745707963</v>
      </c>
    </row>
    <row r="553" spans="1:8" x14ac:dyDescent="0.35">
      <c r="A553" s="13">
        <v>43168</v>
      </c>
      <c r="B553" s="14">
        <v>5274.4</v>
      </c>
      <c r="C553" s="2">
        <f t="shared" si="32"/>
        <v>3.8636493405148631E-3</v>
      </c>
      <c r="D553">
        <f t="shared" si="33"/>
        <v>1</v>
      </c>
      <c r="E553">
        <v>0.7579236915515557</v>
      </c>
      <c r="F553">
        <f t="shared" si="34"/>
        <v>1</v>
      </c>
      <c r="G553" t="b">
        <f t="shared" si="35"/>
        <v>1</v>
      </c>
      <c r="H553">
        <v>0.50898874548343531</v>
      </c>
    </row>
    <row r="554" spans="1:8" x14ac:dyDescent="0.35">
      <c r="A554" s="13">
        <v>43171</v>
      </c>
      <c r="B554" s="14">
        <v>5276.71</v>
      </c>
      <c r="C554" s="2">
        <f t="shared" si="32"/>
        <v>4.3796450781141694E-4</v>
      </c>
      <c r="D554">
        <f t="shared" si="33"/>
        <v>1</v>
      </c>
      <c r="E554">
        <v>0.79178103756801932</v>
      </c>
      <c r="F554">
        <f t="shared" si="34"/>
        <v>1</v>
      </c>
      <c r="G554" t="b">
        <f t="shared" si="35"/>
        <v>1</v>
      </c>
      <c r="H554">
        <v>0.50898876704380391</v>
      </c>
    </row>
    <row r="555" spans="1:8" x14ac:dyDescent="0.35">
      <c r="A555" s="13">
        <v>43172</v>
      </c>
      <c r="B555" s="14">
        <v>5242.79</v>
      </c>
      <c r="C555" s="2">
        <f t="shared" si="32"/>
        <v>-6.4282479044708296E-3</v>
      </c>
      <c r="D555">
        <f t="shared" si="33"/>
        <v>0</v>
      </c>
      <c r="E555">
        <v>0.815474858543908</v>
      </c>
      <c r="F555">
        <f t="shared" si="34"/>
        <v>1</v>
      </c>
      <c r="G555" t="b">
        <f t="shared" si="35"/>
        <v>0</v>
      </c>
      <c r="H555">
        <v>0.50898868822900445</v>
      </c>
    </row>
    <row r="556" spans="1:8" x14ac:dyDescent="0.35">
      <c r="A556" s="13">
        <v>43173</v>
      </c>
      <c r="B556" s="14">
        <v>5233.3599999999997</v>
      </c>
      <c r="C556" s="2">
        <f t="shared" si="32"/>
        <v>-1.7986606367984548E-3</v>
      </c>
      <c r="D556">
        <f t="shared" si="33"/>
        <v>0</v>
      </c>
      <c r="E556">
        <v>0.72088417475123001</v>
      </c>
      <c r="F556">
        <f t="shared" si="34"/>
        <v>1</v>
      </c>
      <c r="G556" t="b">
        <f t="shared" si="35"/>
        <v>0</v>
      </c>
      <c r="H556">
        <v>0.50898859324504586</v>
      </c>
    </row>
    <row r="557" spans="1:8" x14ac:dyDescent="0.35">
      <c r="A557" s="13">
        <v>43174</v>
      </c>
      <c r="B557" s="14">
        <v>5267.26</v>
      </c>
      <c r="C557" s="2">
        <f t="shared" si="32"/>
        <v>6.4776739991134757E-3</v>
      </c>
      <c r="D557">
        <f t="shared" si="33"/>
        <v>1</v>
      </c>
      <c r="E557">
        <v>0.57807629359196044</v>
      </c>
      <c r="F557">
        <f t="shared" si="34"/>
        <v>1</v>
      </c>
      <c r="G557" t="b">
        <f t="shared" si="35"/>
        <v>1</v>
      </c>
      <c r="H557">
        <v>0.50898866047376912</v>
      </c>
    </row>
    <row r="558" spans="1:8" x14ac:dyDescent="0.35">
      <c r="A558" s="13">
        <v>43175</v>
      </c>
      <c r="B558" s="14">
        <v>5282.75</v>
      </c>
      <c r="C558" s="2">
        <f t="shared" si="32"/>
        <v>2.9408079342960747E-3</v>
      </c>
      <c r="D558">
        <f t="shared" si="33"/>
        <v>1</v>
      </c>
      <c r="E558">
        <v>0.68229072222862464</v>
      </c>
      <c r="F558">
        <f t="shared" si="34"/>
        <v>1</v>
      </c>
      <c r="G558" t="b">
        <f t="shared" si="35"/>
        <v>1</v>
      </c>
      <c r="H558">
        <v>0.50898870377440608</v>
      </c>
    </row>
    <row r="559" spans="1:8" x14ac:dyDescent="0.35">
      <c r="A559" s="13">
        <v>43178</v>
      </c>
      <c r="B559" s="14">
        <v>5222.84</v>
      </c>
      <c r="C559" s="2">
        <f t="shared" si="32"/>
        <v>-1.1340684302683202E-2</v>
      </c>
      <c r="D559">
        <f t="shared" si="33"/>
        <v>0</v>
      </c>
      <c r="E559">
        <v>0.74372664723621895</v>
      </c>
      <c r="F559">
        <f t="shared" si="34"/>
        <v>1</v>
      </c>
      <c r="G559" t="b">
        <f t="shared" si="35"/>
        <v>0</v>
      </c>
      <c r="H559">
        <v>0.50898861414767904</v>
      </c>
    </row>
    <row r="560" spans="1:8" x14ac:dyDescent="0.35">
      <c r="A560" s="13">
        <v>43179</v>
      </c>
      <c r="B560" s="14">
        <v>5252.43</v>
      </c>
      <c r="C560" s="2">
        <f t="shared" si="32"/>
        <v>5.6654999961707198E-3</v>
      </c>
      <c r="D560">
        <f t="shared" si="33"/>
        <v>1</v>
      </c>
      <c r="E560">
        <v>0.60960876708360912</v>
      </c>
      <c r="F560">
        <f t="shared" si="34"/>
        <v>1</v>
      </c>
      <c r="G560" t="b">
        <f t="shared" si="35"/>
        <v>1</v>
      </c>
      <c r="H560">
        <v>0.5089886730717994</v>
      </c>
    </row>
    <row r="561" spans="1:8" x14ac:dyDescent="0.35">
      <c r="A561" s="13">
        <v>43180</v>
      </c>
      <c r="B561" s="14">
        <v>5239.74</v>
      </c>
      <c r="C561" s="2">
        <f t="shared" si="32"/>
        <v>-2.4160245829074611E-3</v>
      </c>
      <c r="D561">
        <f t="shared" si="33"/>
        <v>0</v>
      </c>
      <c r="E561">
        <v>0.70089369166600102</v>
      </c>
      <c r="F561">
        <f t="shared" si="34"/>
        <v>1</v>
      </c>
      <c r="G561" t="b">
        <f t="shared" si="35"/>
        <v>0</v>
      </c>
      <c r="H561">
        <v>0.50898857822951149</v>
      </c>
    </row>
    <row r="562" spans="1:8" x14ac:dyDescent="0.35">
      <c r="A562" s="13">
        <v>43181</v>
      </c>
      <c r="B562" s="14">
        <v>5167.21</v>
      </c>
      <c r="C562" s="2">
        <f t="shared" si="32"/>
        <v>-1.3842289884612557E-2</v>
      </c>
      <c r="D562">
        <f t="shared" si="33"/>
        <v>0</v>
      </c>
      <c r="E562">
        <v>0.55218974307569935</v>
      </c>
      <c r="F562">
        <f t="shared" si="34"/>
        <v>1</v>
      </c>
      <c r="G562" t="b">
        <f t="shared" si="35"/>
        <v>0</v>
      </c>
      <c r="H562">
        <v>0.50898848658779228</v>
      </c>
    </row>
    <row r="563" spans="1:8" x14ac:dyDescent="0.35">
      <c r="A563" s="13">
        <v>43182</v>
      </c>
      <c r="B563" s="14">
        <v>5095.22</v>
      </c>
      <c r="C563" s="2">
        <f t="shared" si="32"/>
        <v>-1.3932083271243068E-2</v>
      </c>
      <c r="D563">
        <f t="shared" si="33"/>
        <v>0</v>
      </c>
      <c r="E563">
        <v>0.40467763650692606</v>
      </c>
      <c r="F563">
        <f t="shared" si="34"/>
        <v>0</v>
      </c>
      <c r="G563" t="b">
        <f t="shared" si="35"/>
        <v>1</v>
      </c>
      <c r="H563">
        <v>0.50898841911241899</v>
      </c>
    </row>
    <row r="564" spans="1:8" x14ac:dyDescent="0.35">
      <c r="A564" s="13">
        <v>43185</v>
      </c>
      <c r="B564" s="14">
        <v>5066.28</v>
      </c>
      <c r="C564" s="2">
        <f t="shared" si="32"/>
        <v>-5.6798332554827136E-3</v>
      </c>
      <c r="D564">
        <f t="shared" si="33"/>
        <v>0</v>
      </c>
      <c r="E564">
        <v>0.30778346717054211</v>
      </c>
      <c r="F564">
        <f t="shared" si="34"/>
        <v>0</v>
      </c>
      <c r="G564" t="b">
        <f t="shared" si="35"/>
        <v>1</v>
      </c>
      <c r="H564">
        <v>0.50898837268725183</v>
      </c>
    </row>
    <row r="565" spans="1:8" x14ac:dyDescent="0.35">
      <c r="A565" s="13">
        <v>43186</v>
      </c>
      <c r="B565" s="14">
        <v>5115.74</v>
      </c>
      <c r="C565" s="2">
        <f t="shared" si="32"/>
        <v>9.7625871448083767E-3</v>
      </c>
      <c r="D565">
        <f t="shared" si="33"/>
        <v>1</v>
      </c>
      <c r="E565">
        <v>0.25055515432557424</v>
      </c>
      <c r="F565">
        <f t="shared" si="34"/>
        <v>0</v>
      </c>
      <c r="G565" t="b">
        <f t="shared" si="35"/>
        <v>0</v>
      </c>
      <c r="H565">
        <v>0.50898847118649926</v>
      </c>
    </row>
    <row r="566" spans="1:8" x14ac:dyDescent="0.35">
      <c r="A566" s="13">
        <v>43187</v>
      </c>
      <c r="B566" s="14">
        <v>5130.4399999999996</v>
      </c>
      <c r="C566" s="2">
        <f t="shared" si="32"/>
        <v>2.873484578965968E-3</v>
      </c>
      <c r="D566">
        <f t="shared" si="33"/>
        <v>1</v>
      </c>
      <c r="E566">
        <v>0.38138904738635482</v>
      </c>
      <c r="F566">
        <f t="shared" si="34"/>
        <v>0</v>
      </c>
      <c r="G566" t="b">
        <f t="shared" si="35"/>
        <v>0</v>
      </c>
      <c r="H566">
        <v>0.50898857052170798</v>
      </c>
    </row>
    <row r="567" spans="1:8" x14ac:dyDescent="0.35">
      <c r="A567" s="13">
        <v>43188</v>
      </c>
      <c r="B567" s="14">
        <v>5167.3</v>
      </c>
      <c r="C567" s="2">
        <f t="shared" si="32"/>
        <v>7.184568964845317E-3</v>
      </c>
      <c r="D567">
        <f t="shared" si="33"/>
        <v>1</v>
      </c>
      <c r="E567">
        <v>0.53801120670281655</v>
      </c>
      <c r="F567">
        <f t="shared" si="34"/>
        <v>1</v>
      </c>
      <c r="G567" t="b">
        <f t="shared" si="35"/>
        <v>1</v>
      </c>
      <c r="H567">
        <v>0.50898864604004246</v>
      </c>
    </row>
    <row r="568" spans="1:8" x14ac:dyDescent="0.35">
      <c r="A568" s="13">
        <v>43193</v>
      </c>
      <c r="B568" s="14">
        <v>5152.12</v>
      </c>
      <c r="C568" s="2">
        <f t="shared" si="32"/>
        <v>-2.9377044104271777E-3</v>
      </c>
      <c r="D568">
        <f t="shared" si="33"/>
        <v>0</v>
      </c>
      <c r="E568">
        <v>0.65782499460031263</v>
      </c>
      <c r="F568">
        <f t="shared" si="34"/>
        <v>1</v>
      </c>
      <c r="G568" t="b">
        <f t="shared" si="35"/>
        <v>0</v>
      </c>
      <c r="H568">
        <v>0.50898854761348955</v>
      </c>
    </row>
    <row r="569" spans="1:8" x14ac:dyDescent="0.35">
      <c r="A569" s="13">
        <v>43194</v>
      </c>
      <c r="B569" s="14">
        <v>5141.8</v>
      </c>
      <c r="C569" s="2">
        <f t="shared" si="32"/>
        <v>-2.0030589349626648E-3</v>
      </c>
      <c r="D569">
        <f t="shared" si="33"/>
        <v>0</v>
      </c>
      <c r="E569">
        <v>0.50175076221192083</v>
      </c>
      <c r="F569">
        <f t="shared" si="34"/>
        <v>1</v>
      </c>
      <c r="G569" t="b">
        <f t="shared" si="35"/>
        <v>0</v>
      </c>
      <c r="H569">
        <v>0.50898846227553918</v>
      </c>
    </row>
    <row r="570" spans="1:8" x14ac:dyDescent="0.35">
      <c r="A570" s="13">
        <v>43195</v>
      </c>
      <c r="B570" s="14">
        <v>5276.67</v>
      </c>
      <c r="C570" s="2">
        <f t="shared" si="32"/>
        <v>2.6230113967871116E-2</v>
      </c>
      <c r="D570">
        <f t="shared" si="33"/>
        <v>1</v>
      </c>
      <c r="E570">
        <v>0.36824307503953507</v>
      </c>
      <c r="F570">
        <f t="shared" si="34"/>
        <v>0</v>
      </c>
      <c r="G570" t="b">
        <f t="shared" si="35"/>
        <v>0</v>
      </c>
      <c r="H570">
        <v>0.50898856271682014</v>
      </c>
    </row>
    <row r="571" spans="1:8" x14ac:dyDescent="0.35">
      <c r="A571" s="13">
        <v>43196</v>
      </c>
      <c r="B571" s="14">
        <v>5258.24</v>
      </c>
      <c r="C571" s="2">
        <f t="shared" si="32"/>
        <v>-3.4927331062962752E-3</v>
      </c>
      <c r="D571">
        <f t="shared" si="33"/>
        <v>0</v>
      </c>
      <c r="E571">
        <v>0.52512089415494756</v>
      </c>
      <c r="F571">
        <f t="shared" si="34"/>
        <v>1</v>
      </c>
      <c r="G571" t="b">
        <f t="shared" si="35"/>
        <v>0</v>
      </c>
      <c r="H571">
        <v>0.50898847345253251</v>
      </c>
    </row>
    <row r="572" spans="1:8" x14ac:dyDescent="0.35">
      <c r="A572" s="13">
        <v>43199</v>
      </c>
      <c r="B572" s="14">
        <v>5263.39</v>
      </c>
      <c r="C572" s="2">
        <f t="shared" si="32"/>
        <v>9.7941516553068375E-4</v>
      </c>
      <c r="D572">
        <f t="shared" si="33"/>
        <v>1</v>
      </c>
      <c r="E572">
        <v>0.38452806016902324</v>
      </c>
      <c r="F572">
        <f t="shared" si="34"/>
        <v>0</v>
      </c>
      <c r="G572" t="b">
        <f t="shared" si="35"/>
        <v>0</v>
      </c>
      <c r="H572">
        <v>0.50898856933326264</v>
      </c>
    </row>
    <row r="573" spans="1:8" x14ac:dyDescent="0.35">
      <c r="A573" s="13">
        <v>43200</v>
      </c>
      <c r="B573" s="14">
        <v>5307.56</v>
      </c>
      <c r="C573" s="2">
        <f t="shared" si="32"/>
        <v>8.3919299158907723E-3</v>
      </c>
      <c r="D573">
        <f t="shared" si="33"/>
        <v>1</v>
      </c>
      <c r="E573">
        <v>0.5410020655361627</v>
      </c>
      <c r="F573">
        <f t="shared" si="34"/>
        <v>1</v>
      </c>
      <c r="G573" t="b">
        <f t="shared" si="35"/>
        <v>1</v>
      </c>
      <c r="H573">
        <v>0.50898864209879258</v>
      </c>
    </row>
    <row r="574" spans="1:8" x14ac:dyDescent="0.35">
      <c r="A574" s="13">
        <v>43201</v>
      </c>
      <c r="B574" s="14">
        <v>5277.94</v>
      </c>
      <c r="C574" s="2">
        <f t="shared" si="32"/>
        <v>-5.5807188237158023E-3</v>
      </c>
      <c r="D574">
        <f t="shared" si="33"/>
        <v>0</v>
      </c>
      <c r="E574">
        <v>0.65969644805025429</v>
      </c>
      <c r="F574">
        <f t="shared" si="34"/>
        <v>1</v>
      </c>
      <c r="G574" t="b">
        <f t="shared" si="35"/>
        <v>0</v>
      </c>
      <c r="H574">
        <v>0.50898854755109546</v>
      </c>
    </row>
    <row r="575" spans="1:8" x14ac:dyDescent="0.35">
      <c r="A575" s="13">
        <v>43202</v>
      </c>
      <c r="B575" s="14">
        <v>5309.22</v>
      </c>
      <c r="C575" s="2">
        <f t="shared" si="32"/>
        <v>5.9265546785300938E-3</v>
      </c>
      <c r="D575">
        <f t="shared" si="33"/>
        <v>1</v>
      </c>
      <c r="E575">
        <v>0.50379951757836638</v>
      </c>
      <c r="F575">
        <f t="shared" si="34"/>
        <v>1</v>
      </c>
      <c r="G575" t="b">
        <f t="shared" si="35"/>
        <v>1</v>
      </c>
      <c r="H575">
        <v>0.5089886272964077</v>
      </c>
    </row>
    <row r="576" spans="1:8" x14ac:dyDescent="0.35">
      <c r="A576" s="13">
        <v>43203</v>
      </c>
      <c r="B576" s="14">
        <v>5315.02</v>
      </c>
      <c r="C576" s="2">
        <f t="shared" si="32"/>
        <v>1.0924391906910191E-3</v>
      </c>
      <c r="D576">
        <f t="shared" si="33"/>
        <v>1</v>
      </c>
      <c r="E576">
        <v>0.63563878146358255</v>
      </c>
      <c r="F576">
        <f t="shared" si="34"/>
        <v>1</v>
      </c>
      <c r="G576" t="b">
        <f t="shared" si="35"/>
        <v>1</v>
      </c>
      <c r="H576">
        <v>0.50898868071778292</v>
      </c>
    </row>
    <row r="577" spans="1:8" x14ac:dyDescent="0.35">
      <c r="A577" s="13">
        <v>43206</v>
      </c>
      <c r="B577" s="14">
        <v>5312.96</v>
      </c>
      <c r="C577" s="2">
        <f t="shared" si="32"/>
        <v>-3.8758085576351409E-4</v>
      </c>
      <c r="D577">
        <f t="shared" si="33"/>
        <v>0</v>
      </c>
      <c r="E577">
        <v>0.71610702198808918</v>
      </c>
      <c r="F577">
        <f t="shared" si="34"/>
        <v>1</v>
      </c>
      <c r="G577" t="b">
        <f t="shared" si="35"/>
        <v>0</v>
      </c>
      <c r="H577">
        <v>0.50898858860709928</v>
      </c>
    </row>
    <row r="578" spans="1:8" x14ac:dyDescent="0.35">
      <c r="A578" s="13">
        <v>43207</v>
      </c>
      <c r="B578" s="14">
        <v>5353.54</v>
      </c>
      <c r="C578" s="2">
        <f t="shared" si="32"/>
        <v>7.6379268806840983E-3</v>
      </c>
      <c r="D578">
        <f t="shared" si="33"/>
        <v>1</v>
      </c>
      <c r="E578">
        <v>0.57175330452488393</v>
      </c>
      <c r="F578">
        <f t="shared" si="34"/>
        <v>1</v>
      </c>
      <c r="G578" t="b">
        <f t="shared" si="35"/>
        <v>1</v>
      </c>
      <c r="H578">
        <v>0.50898865527036641</v>
      </c>
    </row>
    <row r="579" spans="1:8" x14ac:dyDescent="0.35">
      <c r="A579" s="13">
        <v>43208</v>
      </c>
      <c r="B579" s="14">
        <v>5380.17</v>
      </c>
      <c r="C579" s="2">
        <f t="shared" si="32"/>
        <v>4.9742787015694123E-3</v>
      </c>
      <c r="D579">
        <f t="shared" si="33"/>
        <v>1</v>
      </c>
      <c r="E579">
        <v>0.67850191492642731</v>
      </c>
      <c r="F579">
        <f t="shared" si="34"/>
        <v>1</v>
      </c>
      <c r="G579" t="b">
        <f t="shared" si="35"/>
        <v>1</v>
      </c>
      <c r="H579">
        <v>0.5089886988691027</v>
      </c>
    </row>
    <row r="580" spans="1:8" x14ac:dyDescent="0.35">
      <c r="A580" s="13">
        <v>43209</v>
      </c>
      <c r="B580" s="14">
        <v>5391.64</v>
      </c>
      <c r="C580" s="2">
        <f t="shared" ref="C580:C643" si="36">(B580/B579)-1</f>
        <v>2.1319028952617725E-3</v>
      </c>
      <c r="D580">
        <f t="shared" si="33"/>
        <v>1</v>
      </c>
      <c r="E580">
        <v>0.74144408645124793</v>
      </c>
      <c r="F580">
        <f t="shared" si="34"/>
        <v>1</v>
      </c>
      <c r="G580" t="b">
        <f t="shared" si="35"/>
        <v>1</v>
      </c>
      <c r="H580">
        <v>0.50898872971311526</v>
      </c>
    </row>
    <row r="581" spans="1:8" x14ac:dyDescent="0.35">
      <c r="A581" s="13">
        <v>43210</v>
      </c>
      <c r="B581" s="14">
        <v>5412.83</v>
      </c>
      <c r="C581" s="2">
        <f t="shared" si="36"/>
        <v>3.9301585417423901E-3</v>
      </c>
      <c r="D581">
        <f t="shared" si="33"/>
        <v>1</v>
      </c>
      <c r="E581">
        <v>0.78080048342218222</v>
      </c>
      <c r="F581">
        <f t="shared" si="34"/>
        <v>1</v>
      </c>
      <c r="G581" t="b">
        <f t="shared" si="35"/>
        <v>1</v>
      </c>
      <c r="H581">
        <v>0.50898875287524181</v>
      </c>
    </row>
    <row r="582" spans="1:8" x14ac:dyDescent="0.35">
      <c r="A582" s="13">
        <v>43213</v>
      </c>
      <c r="B582" s="14">
        <v>5438.55</v>
      </c>
      <c r="C582" s="2">
        <f t="shared" si="36"/>
        <v>4.7516733390851051E-3</v>
      </c>
      <c r="D582">
        <f t="shared" ref="D582:D645" si="37">IF(C582&gt;=0,1,0)</f>
        <v>1</v>
      </c>
      <c r="E582">
        <v>0.80760958185092269</v>
      </c>
      <c r="F582">
        <f t="shared" si="34"/>
        <v>1</v>
      </c>
      <c r="G582" t="b">
        <f t="shared" si="35"/>
        <v>1</v>
      </c>
      <c r="H582">
        <v>0.50898877112741436</v>
      </c>
    </row>
    <row r="583" spans="1:8" x14ac:dyDescent="0.35">
      <c r="A583" s="13">
        <v>43214</v>
      </c>
      <c r="B583" s="14">
        <v>5444.16</v>
      </c>
      <c r="C583" s="2">
        <f t="shared" si="36"/>
        <v>1.0315249469068366E-3</v>
      </c>
      <c r="D583">
        <f t="shared" si="37"/>
        <v>1</v>
      </c>
      <c r="E583">
        <v>0.82713376017543416</v>
      </c>
      <c r="F583">
        <f t="shared" si="34"/>
        <v>1</v>
      </c>
      <c r="G583" t="b">
        <f t="shared" si="35"/>
        <v>1</v>
      </c>
      <c r="H583">
        <v>0.50898878623034893</v>
      </c>
    </row>
    <row r="584" spans="1:8" x14ac:dyDescent="0.35">
      <c r="A584" s="13">
        <v>43215</v>
      </c>
      <c r="B584" s="14">
        <v>5413.3</v>
      </c>
      <c r="C584" s="2">
        <f t="shared" si="36"/>
        <v>-5.6684594133896704E-3</v>
      </c>
      <c r="D584">
        <f t="shared" si="37"/>
        <v>0</v>
      </c>
      <c r="E584">
        <v>0.84207022287332667</v>
      </c>
      <c r="F584">
        <f t="shared" si="34"/>
        <v>1</v>
      </c>
      <c r="G584" t="b">
        <f t="shared" si="35"/>
        <v>0</v>
      </c>
      <c r="H584">
        <v>0.5089887174178731</v>
      </c>
    </row>
    <row r="585" spans="1:8" x14ac:dyDescent="0.35">
      <c r="A585" s="13">
        <v>43216</v>
      </c>
      <c r="B585" s="14">
        <v>5453.58</v>
      </c>
      <c r="C585" s="2">
        <f t="shared" si="36"/>
        <v>7.4409325180573305E-3</v>
      </c>
      <c r="D585">
        <f t="shared" si="37"/>
        <v>1</v>
      </c>
      <c r="E585">
        <v>0.76554094414860341</v>
      </c>
      <c r="F585">
        <f t="shared" ref="F585:F648" si="38">IF(E585&gt;=0.5,1,0)</f>
        <v>1</v>
      </c>
      <c r="G585" t="b">
        <f t="shared" ref="G585:G648" si="39">IF(D585=F585,TRUE,FALSE)</f>
        <v>1</v>
      </c>
      <c r="H585">
        <v>0.5089887434463567</v>
      </c>
    </row>
    <row r="586" spans="1:8" x14ac:dyDescent="0.35">
      <c r="A586" s="13">
        <v>43217</v>
      </c>
      <c r="B586" s="14">
        <v>5483.19</v>
      </c>
      <c r="C586" s="2">
        <f t="shared" si="36"/>
        <v>5.4294610145995126E-3</v>
      </c>
      <c r="D586">
        <f t="shared" si="37"/>
        <v>1</v>
      </c>
      <c r="E586">
        <v>0.79697044992855182</v>
      </c>
      <c r="F586">
        <f t="shared" si="38"/>
        <v>1</v>
      </c>
      <c r="G586" t="b">
        <f t="shared" si="39"/>
        <v>1</v>
      </c>
      <c r="H586">
        <v>0.50898876364967705</v>
      </c>
    </row>
    <row r="587" spans="1:8" x14ac:dyDescent="0.35">
      <c r="A587" s="13">
        <v>43220</v>
      </c>
      <c r="B587" s="14">
        <v>5520.5</v>
      </c>
      <c r="C587" s="2">
        <f t="shared" si="36"/>
        <v>6.8044331857914919E-3</v>
      </c>
      <c r="D587">
        <f t="shared" si="37"/>
        <v>1</v>
      </c>
      <c r="E587">
        <v>0.81925327985705754</v>
      </c>
      <c r="F587">
        <f t="shared" si="38"/>
        <v>1</v>
      </c>
      <c r="G587" t="b">
        <f t="shared" si="39"/>
        <v>1</v>
      </c>
      <c r="H587">
        <v>0.5089887799198326</v>
      </c>
    </row>
    <row r="588" spans="1:8" x14ac:dyDescent="0.35">
      <c r="A588" s="13">
        <v>43222</v>
      </c>
      <c r="B588" s="14">
        <v>5529.22</v>
      </c>
      <c r="C588" s="2">
        <f t="shared" si="36"/>
        <v>1.5795670682003937E-3</v>
      </c>
      <c r="D588">
        <f t="shared" si="37"/>
        <v>1</v>
      </c>
      <c r="E588">
        <v>0.83596604616445358</v>
      </c>
      <c r="F588">
        <f t="shared" si="38"/>
        <v>1</v>
      </c>
      <c r="G588" t="b">
        <f t="shared" si="39"/>
        <v>1</v>
      </c>
      <c r="H588">
        <v>0.50898879353444149</v>
      </c>
    </row>
    <row r="589" spans="1:8" x14ac:dyDescent="0.35">
      <c r="A589" s="13">
        <v>43223</v>
      </c>
      <c r="B589" s="14">
        <v>5501.66</v>
      </c>
      <c r="C589" s="2">
        <f t="shared" si="36"/>
        <v>-4.9844281833604231E-3</v>
      </c>
      <c r="D589">
        <f t="shared" si="37"/>
        <v>0</v>
      </c>
      <c r="E589">
        <v>0.84903515992093015</v>
      </c>
      <c r="F589">
        <f t="shared" si="38"/>
        <v>1</v>
      </c>
      <c r="G589" t="b">
        <f t="shared" si="39"/>
        <v>0</v>
      </c>
      <c r="H589">
        <v>0.50898872697299546</v>
      </c>
    </row>
    <row r="590" spans="1:8" x14ac:dyDescent="0.35">
      <c r="A590" s="13">
        <v>43224</v>
      </c>
      <c r="B590" s="14">
        <v>5516.05</v>
      </c>
      <c r="C590" s="2">
        <f t="shared" si="36"/>
        <v>2.6155742085116618E-3</v>
      </c>
      <c r="D590">
        <f t="shared" si="37"/>
        <v>1</v>
      </c>
      <c r="E590">
        <v>0.77737199851078964</v>
      </c>
      <c r="F590">
        <f t="shared" si="38"/>
        <v>1</v>
      </c>
      <c r="G590" t="b">
        <f t="shared" si="39"/>
        <v>1</v>
      </c>
      <c r="H590">
        <v>0.50898875074234462</v>
      </c>
    </row>
    <row r="591" spans="1:8" x14ac:dyDescent="0.35">
      <c r="A591" s="13">
        <v>43227</v>
      </c>
      <c r="B591" s="14">
        <v>5531.42</v>
      </c>
      <c r="C591" s="2">
        <f t="shared" si="36"/>
        <v>2.7864141913143126E-3</v>
      </c>
      <c r="D591">
        <f t="shared" si="37"/>
        <v>1</v>
      </c>
      <c r="E591">
        <v>0.80519041009410819</v>
      </c>
      <c r="F591">
        <f t="shared" si="38"/>
        <v>1</v>
      </c>
      <c r="G591" t="b">
        <f t="shared" si="39"/>
        <v>1</v>
      </c>
      <c r="H591">
        <v>0.50898876964073569</v>
      </c>
    </row>
    <row r="592" spans="1:8" x14ac:dyDescent="0.35">
      <c r="A592" s="13">
        <v>43228</v>
      </c>
      <c r="B592" s="14">
        <v>5521.93</v>
      </c>
      <c r="C592" s="2">
        <f t="shared" si="36"/>
        <v>-1.7156534850002458E-3</v>
      </c>
      <c r="D592">
        <f t="shared" si="37"/>
        <v>0</v>
      </c>
      <c r="E592">
        <v>0.82532607268249814</v>
      </c>
      <c r="F592">
        <f t="shared" si="38"/>
        <v>1</v>
      </c>
      <c r="G592" t="b">
        <f t="shared" si="39"/>
        <v>0</v>
      </c>
      <c r="H592">
        <v>0.50898869545639969</v>
      </c>
    </row>
    <row r="593" spans="1:8" x14ac:dyDescent="0.35">
      <c r="A593" s="13">
        <v>43229</v>
      </c>
      <c r="B593" s="14">
        <v>5534.63</v>
      </c>
      <c r="C593" s="2">
        <f t="shared" si="36"/>
        <v>2.2999204988110034E-3</v>
      </c>
      <c r="D593">
        <f t="shared" si="37"/>
        <v>1</v>
      </c>
      <c r="E593">
        <v>0.7372996078013353</v>
      </c>
      <c r="F593">
        <f t="shared" si="38"/>
        <v>1</v>
      </c>
      <c r="G593" t="b">
        <f t="shared" si="39"/>
        <v>1</v>
      </c>
      <c r="H593">
        <v>0.50898872725504696</v>
      </c>
    </row>
    <row r="594" spans="1:8" x14ac:dyDescent="0.35">
      <c r="A594" s="13">
        <v>43230</v>
      </c>
      <c r="B594" s="14">
        <v>5545.95</v>
      </c>
      <c r="C594" s="2">
        <f t="shared" si="36"/>
        <v>2.0453038414491864E-3</v>
      </c>
      <c r="D594">
        <f t="shared" si="37"/>
        <v>1</v>
      </c>
      <c r="E594">
        <v>0.77809045872812588</v>
      </c>
      <c r="F594">
        <f t="shared" si="38"/>
        <v>1</v>
      </c>
      <c r="G594" t="b">
        <f t="shared" si="39"/>
        <v>1</v>
      </c>
      <c r="H594">
        <v>0.50898875083750694</v>
      </c>
    </row>
    <row r="595" spans="1:8" x14ac:dyDescent="0.35">
      <c r="A595" s="13">
        <v>43231</v>
      </c>
      <c r="B595" s="14">
        <v>5541.94</v>
      </c>
      <c r="C595" s="2">
        <f t="shared" si="36"/>
        <v>-7.230501537157652E-4</v>
      </c>
      <c r="D595">
        <f t="shared" si="37"/>
        <v>0</v>
      </c>
      <c r="E595">
        <v>0.80569586099787394</v>
      </c>
      <c r="F595">
        <f t="shared" si="38"/>
        <v>1</v>
      </c>
      <c r="G595" t="b">
        <f t="shared" si="39"/>
        <v>0</v>
      </c>
      <c r="H595">
        <v>0.508988671899402</v>
      </c>
    </row>
    <row r="596" spans="1:8" x14ac:dyDescent="0.35">
      <c r="A596" s="13">
        <v>43234</v>
      </c>
      <c r="B596" s="14">
        <v>5540.68</v>
      </c>
      <c r="C596" s="2">
        <f t="shared" si="36"/>
        <v>-2.2735720704292195E-4</v>
      </c>
      <c r="D596">
        <f t="shared" si="37"/>
        <v>0</v>
      </c>
      <c r="E596">
        <v>0.70480822365448303</v>
      </c>
      <c r="F596">
        <f t="shared" si="38"/>
        <v>1</v>
      </c>
      <c r="G596" t="b">
        <f t="shared" si="39"/>
        <v>0</v>
      </c>
      <c r="H596">
        <v>0.5089885769553385</v>
      </c>
    </row>
    <row r="597" spans="1:8" x14ac:dyDescent="0.35">
      <c r="A597" s="13">
        <v>43235</v>
      </c>
      <c r="B597" s="14">
        <v>5553.16</v>
      </c>
      <c r="C597" s="2">
        <f t="shared" si="36"/>
        <v>2.2524311095388772E-3</v>
      </c>
      <c r="D597">
        <f t="shared" si="37"/>
        <v>1</v>
      </c>
      <c r="E597">
        <v>0.55714364582469567</v>
      </c>
      <c r="F597">
        <f t="shared" si="38"/>
        <v>1</v>
      </c>
      <c r="G597" t="b">
        <f t="shared" si="39"/>
        <v>1</v>
      </c>
      <c r="H597">
        <v>0.50898864783369246</v>
      </c>
    </row>
    <row r="598" spans="1:8" x14ac:dyDescent="0.35">
      <c r="A598" s="13">
        <v>43236</v>
      </c>
      <c r="B598" s="14">
        <v>5567.54</v>
      </c>
      <c r="C598" s="2">
        <f t="shared" si="36"/>
        <v>2.5895165995577507E-3</v>
      </c>
      <c r="D598">
        <f t="shared" si="37"/>
        <v>1</v>
      </c>
      <c r="E598">
        <v>0.66965969296311856</v>
      </c>
      <c r="F598">
        <f t="shared" si="38"/>
        <v>1</v>
      </c>
      <c r="G598" t="b">
        <f t="shared" si="39"/>
        <v>1</v>
      </c>
      <c r="H598">
        <v>0.50898869444661721</v>
      </c>
    </row>
    <row r="599" spans="1:8" x14ac:dyDescent="0.35">
      <c r="A599" s="13">
        <v>43237</v>
      </c>
      <c r="B599" s="14">
        <v>5621.92</v>
      </c>
      <c r="C599" s="2">
        <f t="shared" si="36"/>
        <v>9.7673299159053428E-3</v>
      </c>
      <c r="D599">
        <f t="shared" si="37"/>
        <v>1</v>
      </c>
      <c r="E599">
        <v>0.73615518198833507</v>
      </c>
      <c r="F599">
        <f t="shared" si="38"/>
        <v>1</v>
      </c>
      <c r="G599" t="b">
        <f t="shared" si="39"/>
        <v>1</v>
      </c>
      <c r="H599">
        <v>0.50898872662093309</v>
      </c>
    </row>
    <row r="600" spans="1:8" x14ac:dyDescent="0.35">
      <c r="A600" s="13">
        <v>43238</v>
      </c>
      <c r="B600" s="14">
        <v>5614.51</v>
      </c>
      <c r="C600" s="2">
        <f t="shared" si="36"/>
        <v>-1.3180550416939107E-3</v>
      </c>
      <c r="D600">
        <f t="shared" si="37"/>
        <v>0</v>
      </c>
      <c r="E600">
        <v>0.77734530573649308</v>
      </c>
      <c r="F600">
        <f t="shared" si="38"/>
        <v>1</v>
      </c>
      <c r="G600" t="b">
        <f t="shared" si="39"/>
        <v>0</v>
      </c>
      <c r="H600">
        <v>0.50898864142401679</v>
      </c>
    </row>
    <row r="601" spans="1:8" x14ac:dyDescent="0.35">
      <c r="A601" s="13">
        <v>43241</v>
      </c>
      <c r="B601" s="14">
        <v>5637.51</v>
      </c>
      <c r="C601" s="2">
        <f t="shared" si="36"/>
        <v>4.0965284592957563E-3</v>
      </c>
      <c r="D601">
        <f t="shared" si="37"/>
        <v>1</v>
      </c>
      <c r="E601">
        <v>0.65965569415650982</v>
      </c>
      <c r="F601">
        <f t="shared" si="38"/>
        <v>1</v>
      </c>
      <c r="G601" t="b">
        <f t="shared" si="39"/>
        <v>1</v>
      </c>
      <c r="H601">
        <v>0.50898868978662903</v>
      </c>
    </row>
    <row r="602" spans="1:8" x14ac:dyDescent="0.35">
      <c r="A602" s="13">
        <v>43242</v>
      </c>
      <c r="B602" s="14">
        <v>5640.1</v>
      </c>
      <c r="C602" s="2">
        <f t="shared" si="36"/>
        <v>4.5942268838539135E-4</v>
      </c>
      <c r="D602">
        <f t="shared" si="37"/>
        <v>1</v>
      </c>
      <c r="E602">
        <v>0.73021838804129358</v>
      </c>
      <c r="F602">
        <f t="shared" si="38"/>
        <v>1</v>
      </c>
      <c r="G602" t="b">
        <f t="shared" si="39"/>
        <v>1</v>
      </c>
      <c r="H602">
        <v>0.50898872303868692</v>
      </c>
    </row>
    <row r="603" spans="1:8" x14ac:dyDescent="0.35">
      <c r="A603" s="13">
        <v>43243</v>
      </c>
      <c r="B603" s="14">
        <v>5565.85</v>
      </c>
      <c r="C603" s="2">
        <f t="shared" si="36"/>
        <v>-1.3164660201060219E-2</v>
      </c>
      <c r="D603">
        <f t="shared" si="37"/>
        <v>0</v>
      </c>
      <c r="E603">
        <v>0.7735047510537203</v>
      </c>
      <c r="F603">
        <f t="shared" si="38"/>
        <v>1</v>
      </c>
      <c r="G603" t="b">
        <f t="shared" si="39"/>
        <v>0</v>
      </c>
      <c r="H603">
        <v>0.50898863717398357</v>
      </c>
    </row>
    <row r="604" spans="1:8" x14ac:dyDescent="0.35">
      <c r="A604" s="13">
        <v>43244</v>
      </c>
      <c r="B604" s="14">
        <v>5548.45</v>
      </c>
      <c r="C604" s="2">
        <f t="shared" si="36"/>
        <v>-3.1262071381730205E-3</v>
      </c>
      <c r="D604">
        <f t="shared" si="37"/>
        <v>0</v>
      </c>
      <c r="E604">
        <v>0.65373426602376716</v>
      </c>
      <c r="F604">
        <f t="shared" si="38"/>
        <v>1</v>
      </c>
      <c r="G604" t="b">
        <f t="shared" si="39"/>
        <v>0</v>
      </c>
      <c r="H604">
        <v>0.50898854018561679</v>
      </c>
    </row>
    <row r="605" spans="1:8" x14ac:dyDescent="0.35">
      <c r="A605" s="13">
        <v>43245</v>
      </c>
      <c r="B605" s="14">
        <v>5542.55</v>
      </c>
      <c r="C605" s="2">
        <f t="shared" si="36"/>
        <v>-1.0633600374878593E-3</v>
      </c>
      <c r="D605">
        <f t="shared" si="37"/>
        <v>0</v>
      </c>
      <c r="E605">
        <v>0.49733420242903326</v>
      </c>
      <c r="F605">
        <f t="shared" si="38"/>
        <v>0</v>
      </c>
      <c r="G605" t="b">
        <f t="shared" si="39"/>
        <v>1</v>
      </c>
      <c r="H605">
        <v>0.50898845596352982</v>
      </c>
    </row>
    <row r="606" spans="1:8" x14ac:dyDescent="0.35">
      <c r="A606" s="13">
        <v>43248</v>
      </c>
      <c r="B606" s="14">
        <v>5508.93</v>
      </c>
      <c r="C606" s="2">
        <f t="shared" si="36"/>
        <v>-6.0658000378887023E-3</v>
      </c>
      <c r="D606">
        <f t="shared" si="37"/>
        <v>0</v>
      </c>
      <c r="E606">
        <v>0.36527484081836542</v>
      </c>
      <c r="F606">
        <f t="shared" si="38"/>
        <v>0</v>
      </c>
      <c r="G606" t="b">
        <f t="shared" si="39"/>
        <v>1</v>
      </c>
      <c r="H606">
        <v>0.50898839766710124</v>
      </c>
    </row>
    <row r="607" spans="1:8" x14ac:dyDescent="0.35">
      <c r="A607" s="13">
        <v>43249</v>
      </c>
      <c r="B607" s="14">
        <v>5438.06</v>
      </c>
      <c r="C607" s="2">
        <f t="shared" si="36"/>
        <v>-1.286456716640072E-2</v>
      </c>
      <c r="D607">
        <f t="shared" si="37"/>
        <v>0</v>
      </c>
      <c r="E607">
        <v>0.28474054000354904</v>
      </c>
      <c r="F607">
        <f t="shared" si="38"/>
        <v>0</v>
      </c>
      <c r="G607" t="b">
        <f t="shared" si="39"/>
        <v>1</v>
      </c>
      <c r="H607">
        <v>0.50898835696912959</v>
      </c>
    </row>
    <row r="608" spans="1:8" x14ac:dyDescent="0.35">
      <c r="A608" s="13">
        <v>43250</v>
      </c>
      <c r="B608" s="14">
        <v>5427.35</v>
      </c>
      <c r="C608" s="2">
        <f t="shared" si="36"/>
        <v>-1.9694523414600651E-3</v>
      </c>
      <c r="D608">
        <f t="shared" si="37"/>
        <v>0</v>
      </c>
      <c r="E608">
        <v>0.23628966156189321</v>
      </c>
      <c r="F608">
        <f t="shared" si="38"/>
        <v>0</v>
      </c>
      <c r="G608" t="b">
        <f t="shared" si="39"/>
        <v>1</v>
      </c>
      <c r="H608">
        <v>0.50898832661533078</v>
      </c>
    </row>
    <row r="609" spans="1:8" x14ac:dyDescent="0.35">
      <c r="A609" s="13">
        <v>43251</v>
      </c>
      <c r="B609" s="14">
        <v>5398.4</v>
      </c>
      <c r="C609" s="2">
        <f t="shared" si="36"/>
        <v>-5.3340949081965849E-3</v>
      </c>
      <c r="D609">
        <f t="shared" si="37"/>
        <v>0</v>
      </c>
      <c r="E609">
        <v>0.20451426215452739</v>
      </c>
      <c r="F609">
        <f t="shared" si="38"/>
        <v>0</v>
      </c>
      <c r="G609" t="b">
        <f t="shared" si="39"/>
        <v>1</v>
      </c>
      <c r="H609">
        <v>0.50898830241968573</v>
      </c>
    </row>
    <row r="610" spans="1:8" x14ac:dyDescent="0.35">
      <c r="A610" s="13">
        <v>43252</v>
      </c>
      <c r="B610" s="14">
        <v>5465.53</v>
      </c>
      <c r="C610" s="2">
        <f t="shared" si="36"/>
        <v>1.2435165975103857E-2</v>
      </c>
      <c r="D610">
        <f t="shared" si="37"/>
        <v>1</v>
      </c>
      <c r="E610">
        <v>0.18201974390315295</v>
      </c>
      <c r="F610">
        <f t="shared" si="38"/>
        <v>0</v>
      </c>
      <c r="G610" t="b">
        <f t="shared" si="39"/>
        <v>0</v>
      </c>
      <c r="H610">
        <v>0.50898839033395482</v>
      </c>
    </row>
    <row r="611" spans="1:8" x14ac:dyDescent="0.35">
      <c r="A611" s="13">
        <v>43255</v>
      </c>
      <c r="B611" s="14">
        <v>5472.91</v>
      </c>
      <c r="C611" s="2">
        <f t="shared" si="36"/>
        <v>1.3502807595970889E-3</v>
      </c>
      <c r="D611">
        <f t="shared" si="37"/>
        <v>1</v>
      </c>
      <c r="E611">
        <v>0.27408944584648842</v>
      </c>
      <c r="F611">
        <f t="shared" si="38"/>
        <v>0</v>
      </c>
      <c r="G611" t="b">
        <f t="shared" si="39"/>
        <v>0</v>
      </c>
      <c r="H611">
        <v>0.50898849158932513</v>
      </c>
    </row>
    <row r="612" spans="1:8" x14ac:dyDescent="0.35">
      <c r="A612" s="13">
        <v>43256</v>
      </c>
      <c r="B612" s="14">
        <v>5460.95</v>
      </c>
      <c r="C612" s="2">
        <f t="shared" si="36"/>
        <v>-2.1853090951614584E-3</v>
      </c>
      <c r="D612">
        <f t="shared" si="37"/>
        <v>0</v>
      </c>
      <c r="E612">
        <v>0.41443280410606664</v>
      </c>
      <c r="F612">
        <f t="shared" si="38"/>
        <v>0</v>
      </c>
      <c r="G612" t="b">
        <f t="shared" si="39"/>
        <v>1</v>
      </c>
      <c r="H612">
        <v>0.5089884214872521</v>
      </c>
    </row>
    <row r="613" spans="1:8" x14ac:dyDescent="0.35">
      <c r="A613" s="13">
        <v>43257</v>
      </c>
      <c r="B613" s="14">
        <v>5457.56</v>
      </c>
      <c r="C613" s="2">
        <f t="shared" si="36"/>
        <v>-6.2077111125347084E-4</v>
      </c>
      <c r="D613">
        <f t="shared" si="37"/>
        <v>0</v>
      </c>
      <c r="E613">
        <v>0.31354843646015579</v>
      </c>
      <c r="F613">
        <f t="shared" si="38"/>
        <v>0</v>
      </c>
      <c r="G613" t="b">
        <f t="shared" si="39"/>
        <v>1</v>
      </c>
      <c r="H613">
        <v>0.50898837395110241</v>
      </c>
    </row>
    <row r="614" spans="1:8" x14ac:dyDescent="0.35">
      <c r="A614" s="13">
        <v>43258</v>
      </c>
      <c r="B614" s="14">
        <v>5448.36</v>
      </c>
      <c r="C614" s="2">
        <f t="shared" si="36"/>
        <v>-1.6857350171139984E-3</v>
      </c>
      <c r="D614">
        <f t="shared" si="37"/>
        <v>0</v>
      </c>
      <c r="E614">
        <v>0.25406623955899171</v>
      </c>
      <c r="F614">
        <f t="shared" si="38"/>
        <v>0</v>
      </c>
      <c r="G614" t="b">
        <f t="shared" si="39"/>
        <v>1</v>
      </c>
      <c r="H614">
        <v>0.50898833946175182</v>
      </c>
    </row>
    <row r="615" spans="1:8" x14ac:dyDescent="0.35">
      <c r="A615" s="13">
        <v>43259</v>
      </c>
      <c r="B615" s="14">
        <v>5450.22</v>
      </c>
      <c r="C615" s="2">
        <f t="shared" si="36"/>
        <v>3.4138713300890799E-4</v>
      </c>
      <c r="D615">
        <f t="shared" si="37"/>
        <v>1</v>
      </c>
      <c r="E615">
        <v>0.21649340673901216</v>
      </c>
      <c r="F615">
        <f t="shared" si="38"/>
        <v>0</v>
      </c>
      <c r="G615" t="b">
        <f t="shared" si="39"/>
        <v>0</v>
      </c>
      <c r="H615">
        <v>0.50898843334624233</v>
      </c>
    </row>
    <row r="616" spans="1:8" x14ac:dyDescent="0.35">
      <c r="A616" s="13">
        <v>43262</v>
      </c>
      <c r="B616" s="14">
        <v>5473.91</v>
      </c>
      <c r="C616" s="2">
        <f t="shared" si="36"/>
        <v>4.346613531196919E-3</v>
      </c>
      <c r="D616">
        <f t="shared" si="37"/>
        <v>1</v>
      </c>
      <c r="E616">
        <v>0.3298778493204233</v>
      </c>
      <c r="F616">
        <f t="shared" si="38"/>
        <v>0</v>
      </c>
      <c r="G616" t="b">
        <f t="shared" si="39"/>
        <v>0</v>
      </c>
      <c r="H616">
        <v>0.50898853487856832</v>
      </c>
    </row>
    <row r="617" spans="1:8" x14ac:dyDescent="0.35">
      <c r="A617" s="13">
        <v>43263</v>
      </c>
      <c r="B617" s="14">
        <v>5453.37</v>
      </c>
      <c r="C617" s="2">
        <f t="shared" si="36"/>
        <v>-3.7523452157598447E-3</v>
      </c>
      <c r="D617">
        <f t="shared" si="37"/>
        <v>0</v>
      </c>
      <c r="E617">
        <v>0.48406999046477994</v>
      </c>
      <c r="F617">
        <f t="shared" si="38"/>
        <v>0</v>
      </c>
      <c r="G617" t="b">
        <f t="shared" si="39"/>
        <v>1</v>
      </c>
      <c r="H617">
        <v>0.50898845333649523</v>
      </c>
    </row>
    <row r="618" spans="1:8" x14ac:dyDescent="0.35">
      <c r="A618" s="13">
        <v>43264</v>
      </c>
      <c r="B618" s="14">
        <v>5452.73</v>
      </c>
      <c r="C618" s="2">
        <f t="shared" si="36"/>
        <v>-1.1735862411688114E-4</v>
      </c>
      <c r="D618">
        <f t="shared" si="37"/>
        <v>0</v>
      </c>
      <c r="E618">
        <v>0.35650774616963443</v>
      </c>
      <c r="F618">
        <f t="shared" si="38"/>
        <v>0</v>
      </c>
      <c r="G618" t="b">
        <f t="shared" si="39"/>
        <v>1</v>
      </c>
      <c r="H618">
        <v>0.50898839707468102</v>
      </c>
    </row>
    <row r="619" spans="1:8" x14ac:dyDescent="0.35">
      <c r="A619" s="13">
        <v>43265</v>
      </c>
      <c r="B619" s="14">
        <v>5528.46</v>
      </c>
      <c r="C619" s="2">
        <f t="shared" si="36"/>
        <v>1.3888455874397021E-2</v>
      </c>
      <c r="D619">
        <f t="shared" si="37"/>
        <v>1</v>
      </c>
      <c r="E619">
        <v>0.27960955369824081</v>
      </c>
      <c r="F619">
        <f t="shared" si="38"/>
        <v>0</v>
      </c>
      <c r="G619" t="b">
        <f t="shared" si="39"/>
        <v>0</v>
      </c>
      <c r="H619">
        <v>0.5089884956110784</v>
      </c>
    </row>
    <row r="620" spans="1:8" x14ac:dyDescent="0.35">
      <c r="A620" s="13">
        <v>43266</v>
      </c>
      <c r="B620" s="14">
        <v>5501.88</v>
      </c>
      <c r="C620" s="2">
        <f t="shared" si="36"/>
        <v>-4.8078488403642261E-3</v>
      </c>
      <c r="D620">
        <f t="shared" si="37"/>
        <v>0</v>
      </c>
      <c r="E620">
        <v>0.42186847734857319</v>
      </c>
      <c r="F620">
        <f t="shared" si="38"/>
        <v>0</v>
      </c>
      <c r="G620" t="b">
        <f t="shared" si="39"/>
        <v>1</v>
      </c>
      <c r="H620">
        <v>0.50898842524674004</v>
      </c>
    </row>
    <row r="621" spans="1:8" x14ac:dyDescent="0.35">
      <c r="A621" s="13">
        <v>43269</v>
      </c>
      <c r="B621" s="14">
        <v>5450.48</v>
      </c>
      <c r="C621" s="2">
        <f t="shared" si="36"/>
        <v>-9.3422611907203468E-3</v>
      </c>
      <c r="D621">
        <f t="shared" si="37"/>
        <v>0</v>
      </c>
      <c r="E621">
        <v>0.31796446343959134</v>
      </c>
      <c r="F621">
        <f t="shared" si="38"/>
        <v>0</v>
      </c>
      <c r="G621" t="b">
        <f t="shared" si="39"/>
        <v>1</v>
      </c>
      <c r="H621">
        <v>0.50898837742489178</v>
      </c>
    </row>
    <row r="622" spans="1:8" x14ac:dyDescent="0.35">
      <c r="A622" s="13">
        <v>43270</v>
      </c>
      <c r="B622" s="14">
        <v>5390.63</v>
      </c>
      <c r="C622" s="2">
        <f t="shared" si="36"/>
        <v>-1.09806842700092E-2</v>
      </c>
      <c r="D622">
        <f t="shared" si="37"/>
        <v>0</v>
      </c>
      <c r="E622">
        <v>0.25673715442199813</v>
      </c>
      <c r="F622">
        <f t="shared" si="38"/>
        <v>0</v>
      </c>
      <c r="G622" t="b">
        <f t="shared" si="39"/>
        <v>1</v>
      </c>
      <c r="H622">
        <v>0.5089883428943921</v>
      </c>
    </row>
    <row r="623" spans="1:8" x14ac:dyDescent="0.35">
      <c r="A623" s="13">
        <v>43271</v>
      </c>
      <c r="B623" s="14">
        <v>5372.31</v>
      </c>
      <c r="C623" s="2">
        <f t="shared" si="36"/>
        <v>-3.3984896014008781E-3</v>
      </c>
      <c r="D623">
        <f t="shared" si="37"/>
        <v>0</v>
      </c>
      <c r="E623">
        <v>0.218259974845847</v>
      </c>
      <c r="F623">
        <f t="shared" si="38"/>
        <v>0</v>
      </c>
      <c r="G623" t="b">
        <f t="shared" si="39"/>
        <v>1</v>
      </c>
      <c r="H623">
        <v>0.50898831626957963</v>
      </c>
    </row>
    <row r="624" spans="1:8" x14ac:dyDescent="0.35">
      <c r="A624" s="13">
        <v>43272</v>
      </c>
      <c r="B624" s="14">
        <v>5316.01</v>
      </c>
      <c r="C624" s="2">
        <f t="shared" si="36"/>
        <v>-1.0479663310568488E-2</v>
      </c>
      <c r="D624">
        <f t="shared" si="37"/>
        <v>0</v>
      </c>
      <c r="E624">
        <v>0.19193200287241996</v>
      </c>
      <c r="F624">
        <f t="shared" si="38"/>
        <v>0</v>
      </c>
      <c r="G624" t="b">
        <f t="shared" si="39"/>
        <v>1</v>
      </c>
      <c r="H624">
        <v>0.50898829468965479</v>
      </c>
    </row>
    <row r="625" spans="1:8" x14ac:dyDescent="0.35">
      <c r="A625" s="13">
        <v>43273</v>
      </c>
      <c r="B625" s="14">
        <v>5387.38</v>
      </c>
      <c r="C625" s="2">
        <f t="shared" si="36"/>
        <v>1.3425482645818887E-2</v>
      </c>
      <c r="D625">
        <f t="shared" si="37"/>
        <v>1</v>
      </c>
      <c r="E625">
        <v>0.17269293410028935</v>
      </c>
      <c r="F625">
        <f t="shared" si="38"/>
        <v>0</v>
      </c>
      <c r="G625" t="b">
        <f t="shared" si="39"/>
        <v>0</v>
      </c>
      <c r="H625">
        <v>0.50898837936789776</v>
      </c>
    </row>
    <row r="626" spans="1:8" x14ac:dyDescent="0.35">
      <c r="A626" s="13">
        <v>43276</v>
      </c>
      <c r="B626" s="14">
        <v>5283.86</v>
      </c>
      <c r="C626" s="2">
        <f t="shared" si="36"/>
        <v>-1.9215277184828294E-2</v>
      </c>
      <c r="D626">
        <f t="shared" si="37"/>
        <v>0</v>
      </c>
      <c r="E626">
        <v>0.25852450572098151</v>
      </c>
      <c r="F626">
        <f t="shared" si="38"/>
        <v>0</v>
      </c>
      <c r="G626" t="b">
        <f t="shared" si="39"/>
        <v>1</v>
      </c>
      <c r="H626">
        <v>0.50898834415482386</v>
      </c>
    </row>
    <row r="627" spans="1:8" x14ac:dyDescent="0.35">
      <c r="A627" s="13">
        <v>43277</v>
      </c>
      <c r="B627" s="14">
        <v>5281.29</v>
      </c>
      <c r="C627" s="2">
        <f t="shared" si="36"/>
        <v>-4.8638684598001358E-4</v>
      </c>
      <c r="D627">
        <f t="shared" si="37"/>
        <v>0</v>
      </c>
      <c r="E627">
        <v>0.2194369787347549</v>
      </c>
      <c r="F627">
        <f t="shared" si="38"/>
        <v>0</v>
      </c>
      <c r="G627" t="b">
        <f t="shared" si="39"/>
        <v>1</v>
      </c>
      <c r="H627">
        <v>0.50898831722544868</v>
      </c>
    </row>
    <row r="628" spans="1:8" x14ac:dyDescent="0.35">
      <c r="A628" s="13">
        <v>43278</v>
      </c>
      <c r="B628" s="14">
        <v>5327.2</v>
      </c>
      <c r="C628" s="2">
        <f t="shared" si="36"/>
        <v>8.6929519113700948E-3</v>
      </c>
      <c r="D628">
        <f t="shared" si="37"/>
        <v>1</v>
      </c>
      <c r="E628">
        <v>0.19276772842329451</v>
      </c>
      <c r="F628">
        <f t="shared" si="38"/>
        <v>0</v>
      </c>
      <c r="G628" t="b">
        <f t="shared" si="39"/>
        <v>0</v>
      </c>
      <c r="H628">
        <v>0.50898840715293359</v>
      </c>
    </row>
    <row r="629" spans="1:8" x14ac:dyDescent="0.35">
      <c r="A629" s="13">
        <v>43279</v>
      </c>
      <c r="B629" s="14">
        <v>5275.64</v>
      </c>
      <c r="C629" s="2">
        <f t="shared" si="36"/>
        <v>-9.6786304249886213E-3</v>
      </c>
      <c r="D629">
        <f t="shared" si="37"/>
        <v>0</v>
      </c>
      <c r="E629">
        <v>0.29180296245415044</v>
      </c>
      <c r="F629">
        <f t="shared" si="38"/>
        <v>0</v>
      </c>
      <c r="G629" t="b">
        <f t="shared" si="39"/>
        <v>1</v>
      </c>
      <c r="H629">
        <v>0.50898836363523903</v>
      </c>
    </row>
    <row r="630" spans="1:8" x14ac:dyDescent="0.35">
      <c r="A630" s="13">
        <v>43280</v>
      </c>
      <c r="B630" s="14">
        <v>5323.53</v>
      </c>
      <c r="C630" s="2">
        <f t="shared" si="36"/>
        <v>9.077571631119552E-3</v>
      </c>
      <c r="D630">
        <f t="shared" si="37"/>
        <v>1</v>
      </c>
      <c r="E630">
        <v>0.24071422672512868</v>
      </c>
      <c r="F630">
        <f t="shared" si="38"/>
        <v>0</v>
      </c>
      <c r="G630" t="b">
        <f t="shared" si="39"/>
        <v>0</v>
      </c>
      <c r="H630">
        <v>0.5089884619304117</v>
      </c>
    </row>
    <row r="631" spans="1:8" x14ac:dyDescent="0.35">
      <c r="A631" s="13">
        <v>43283</v>
      </c>
      <c r="B631" s="14">
        <v>5276.76</v>
      </c>
      <c r="C631" s="2">
        <f t="shared" si="36"/>
        <v>-8.7855238911022093E-3</v>
      </c>
      <c r="D631">
        <f t="shared" si="37"/>
        <v>0</v>
      </c>
      <c r="E631">
        <v>0.3669153350492696</v>
      </c>
      <c r="F631">
        <f t="shared" si="38"/>
        <v>0</v>
      </c>
      <c r="G631" t="b">
        <f t="shared" si="39"/>
        <v>1</v>
      </c>
      <c r="H631">
        <v>0.5089884016067916</v>
      </c>
    </row>
    <row r="632" spans="1:8" x14ac:dyDescent="0.35">
      <c r="A632" s="13">
        <v>43284</v>
      </c>
      <c r="B632" s="14">
        <v>5316.77</v>
      </c>
      <c r="C632" s="2">
        <f t="shared" si="36"/>
        <v>7.5823042927858353E-3</v>
      </c>
      <c r="D632">
        <f t="shared" si="37"/>
        <v>1</v>
      </c>
      <c r="E632">
        <v>0.28570369866931256</v>
      </c>
      <c r="F632">
        <f t="shared" si="38"/>
        <v>0</v>
      </c>
      <c r="G632" t="b">
        <f t="shared" si="39"/>
        <v>0</v>
      </c>
      <c r="H632">
        <v>0.50898850157679809</v>
      </c>
    </row>
    <row r="633" spans="1:8" x14ac:dyDescent="0.35">
      <c r="A633" s="13">
        <v>43285</v>
      </c>
      <c r="B633" s="14">
        <v>5320.5</v>
      </c>
      <c r="C633" s="2">
        <f t="shared" si="36"/>
        <v>7.0155376290492732E-4</v>
      </c>
      <c r="D633">
        <f t="shared" si="37"/>
        <v>1</v>
      </c>
      <c r="E633">
        <v>0.42993677344911846</v>
      </c>
      <c r="F633">
        <f t="shared" si="38"/>
        <v>0</v>
      </c>
      <c r="G633" t="b">
        <f t="shared" si="39"/>
        <v>0</v>
      </c>
      <c r="H633">
        <v>0.50898859597678925</v>
      </c>
    </row>
    <row r="634" spans="1:8" x14ac:dyDescent="0.35">
      <c r="A634" s="13">
        <v>43286</v>
      </c>
      <c r="B634" s="14">
        <v>5366.32</v>
      </c>
      <c r="C634" s="2">
        <f t="shared" si="36"/>
        <v>8.6119725589699492E-3</v>
      </c>
      <c r="D634">
        <f t="shared" si="37"/>
        <v>1</v>
      </c>
      <c r="E634">
        <v>0.58103153940301255</v>
      </c>
      <c r="F634">
        <f t="shared" si="38"/>
        <v>1</v>
      </c>
      <c r="G634" t="b">
        <f t="shared" si="39"/>
        <v>1</v>
      </c>
      <c r="H634">
        <v>0.50898866213683402</v>
      </c>
    </row>
    <row r="635" spans="1:8" x14ac:dyDescent="0.35">
      <c r="A635" s="13">
        <v>43287</v>
      </c>
      <c r="B635" s="14">
        <v>5375.77</v>
      </c>
      <c r="C635" s="2">
        <f t="shared" si="36"/>
        <v>1.7609833181773116E-3</v>
      </c>
      <c r="D635">
        <f t="shared" si="37"/>
        <v>1</v>
      </c>
      <c r="E635">
        <v>0.6840368284322339</v>
      </c>
      <c r="F635">
        <f t="shared" si="38"/>
        <v>1</v>
      </c>
      <c r="G635" t="b">
        <f t="shared" si="39"/>
        <v>1</v>
      </c>
      <c r="H635">
        <v>0.50898870594794277</v>
      </c>
    </row>
    <row r="636" spans="1:8" x14ac:dyDescent="0.35">
      <c r="A636" s="13">
        <v>43290</v>
      </c>
      <c r="B636" s="14">
        <v>5398.11</v>
      </c>
      <c r="C636" s="2">
        <f t="shared" si="36"/>
        <v>4.1556837439100658E-3</v>
      </c>
      <c r="D636">
        <f t="shared" si="37"/>
        <v>1</v>
      </c>
      <c r="E636">
        <v>0.74477211694699019</v>
      </c>
      <c r="F636">
        <f t="shared" si="38"/>
        <v>1</v>
      </c>
      <c r="G636" t="b">
        <f t="shared" si="39"/>
        <v>1</v>
      </c>
      <c r="H636">
        <v>0.5089887363576836</v>
      </c>
    </row>
    <row r="637" spans="1:8" x14ac:dyDescent="0.35">
      <c r="A637" s="13">
        <v>43291</v>
      </c>
      <c r="B637" s="14">
        <v>5434.36</v>
      </c>
      <c r="C637" s="2">
        <f t="shared" si="36"/>
        <v>6.715313322625871E-3</v>
      </c>
      <c r="D637">
        <f t="shared" si="37"/>
        <v>1</v>
      </c>
      <c r="E637">
        <v>0.78298800038254501</v>
      </c>
      <c r="F637">
        <f t="shared" si="38"/>
        <v>1</v>
      </c>
      <c r="G637" t="b">
        <f t="shared" si="39"/>
        <v>1</v>
      </c>
      <c r="H637">
        <v>0.5089887591048744</v>
      </c>
    </row>
    <row r="638" spans="1:8" x14ac:dyDescent="0.35">
      <c r="A638" s="13">
        <v>43292</v>
      </c>
      <c r="B638" s="14">
        <v>5353.93</v>
      </c>
      <c r="C638" s="2">
        <f t="shared" si="36"/>
        <v>-1.4800270869062659E-2</v>
      </c>
      <c r="D638">
        <f t="shared" si="37"/>
        <v>0</v>
      </c>
      <c r="E638">
        <v>0.80916002205399273</v>
      </c>
      <c r="F638">
        <f t="shared" si="38"/>
        <v>1</v>
      </c>
      <c r="G638" t="b">
        <f t="shared" si="39"/>
        <v>0</v>
      </c>
      <c r="H638">
        <v>0.50898868021630017</v>
      </c>
    </row>
    <row r="639" spans="1:8" x14ac:dyDescent="0.35">
      <c r="A639" s="13">
        <v>43293</v>
      </c>
      <c r="B639" s="14">
        <v>5405.9</v>
      </c>
      <c r="C639" s="2">
        <f t="shared" si="36"/>
        <v>9.7068882110897814E-3</v>
      </c>
      <c r="D639">
        <f t="shared" si="37"/>
        <v>1</v>
      </c>
      <c r="E639">
        <v>0.7104878686710433</v>
      </c>
      <c r="F639">
        <f t="shared" si="38"/>
        <v>1</v>
      </c>
      <c r="G639" t="b">
        <f t="shared" si="39"/>
        <v>1</v>
      </c>
      <c r="H639">
        <v>0.50898871748776153</v>
      </c>
    </row>
    <row r="640" spans="1:8" x14ac:dyDescent="0.35">
      <c r="A640" s="13">
        <v>43294</v>
      </c>
      <c r="B640" s="14">
        <v>5429.2</v>
      </c>
      <c r="C640" s="2">
        <f t="shared" si="36"/>
        <v>4.3101056253354031E-3</v>
      </c>
      <c r="D640">
        <f t="shared" si="37"/>
        <v>1</v>
      </c>
      <c r="E640">
        <v>0.76099968467665868</v>
      </c>
      <c r="F640">
        <f t="shared" si="38"/>
        <v>1</v>
      </c>
      <c r="G640" t="b">
        <f t="shared" si="39"/>
        <v>1</v>
      </c>
      <c r="H640">
        <v>0.50898874482212564</v>
      </c>
    </row>
    <row r="641" spans="1:8" x14ac:dyDescent="0.35">
      <c r="A641" s="13">
        <v>43297</v>
      </c>
      <c r="B641" s="14">
        <v>5409.43</v>
      </c>
      <c r="C641" s="2">
        <f t="shared" si="36"/>
        <v>-3.6414204671036954E-3</v>
      </c>
      <c r="D641">
        <f t="shared" si="37"/>
        <v>0</v>
      </c>
      <c r="E641">
        <v>0.79386367284291348</v>
      </c>
      <c r="F641">
        <f t="shared" si="38"/>
        <v>1</v>
      </c>
      <c r="G641" t="b">
        <f t="shared" si="39"/>
        <v>0</v>
      </c>
      <c r="H641">
        <v>0.50898866365471496</v>
      </c>
    </row>
    <row r="642" spans="1:8" x14ac:dyDescent="0.35">
      <c r="A642" s="13">
        <v>43298</v>
      </c>
      <c r="B642" s="14">
        <v>5422.54</v>
      </c>
      <c r="C642" s="2">
        <f t="shared" si="36"/>
        <v>2.4235455491612434E-3</v>
      </c>
      <c r="D642">
        <f t="shared" si="37"/>
        <v>1</v>
      </c>
      <c r="E642">
        <v>0.68568279723860392</v>
      </c>
      <c r="F642">
        <f t="shared" si="38"/>
        <v>1</v>
      </c>
      <c r="G642" t="b">
        <f t="shared" si="39"/>
        <v>1</v>
      </c>
      <c r="H642">
        <v>0.50898870634180282</v>
      </c>
    </row>
    <row r="643" spans="1:8" x14ac:dyDescent="0.35">
      <c r="A643" s="13">
        <v>43299</v>
      </c>
      <c r="B643" s="14">
        <v>5447.44</v>
      </c>
      <c r="C643" s="2">
        <f t="shared" si="36"/>
        <v>4.591943996724801E-3</v>
      </c>
      <c r="D643">
        <f t="shared" si="37"/>
        <v>1</v>
      </c>
      <c r="E643">
        <v>0.74576656349363801</v>
      </c>
      <c r="F643">
        <f t="shared" si="38"/>
        <v>1</v>
      </c>
      <c r="G643" t="b">
        <f t="shared" si="39"/>
        <v>1</v>
      </c>
      <c r="H643">
        <v>0.5089887363747595</v>
      </c>
    </row>
    <row r="644" spans="1:8" x14ac:dyDescent="0.35">
      <c r="A644" s="13">
        <v>43300</v>
      </c>
      <c r="B644" s="14">
        <v>5417.07</v>
      </c>
      <c r="C644" s="2">
        <f t="shared" ref="C644:C707" si="40">(B644/B643)-1</f>
        <v>-5.575095824827736E-3</v>
      </c>
      <c r="D644">
        <f t="shared" si="37"/>
        <v>0</v>
      </c>
      <c r="E644">
        <v>0.78364484222860553</v>
      </c>
      <c r="F644">
        <f t="shared" si="38"/>
        <v>1</v>
      </c>
      <c r="G644" t="b">
        <f t="shared" si="39"/>
        <v>0</v>
      </c>
      <c r="H644">
        <v>0.50898865240276736</v>
      </c>
    </row>
    <row r="645" spans="1:8" x14ac:dyDescent="0.35">
      <c r="A645" s="13">
        <v>43301</v>
      </c>
      <c r="B645" s="14">
        <v>5398.32</v>
      </c>
      <c r="C645" s="2">
        <f t="shared" si="40"/>
        <v>-3.4612807292503378E-3</v>
      </c>
      <c r="D645">
        <f t="shared" si="37"/>
        <v>0</v>
      </c>
      <c r="E645">
        <v>0.66948532302396857</v>
      </c>
      <c r="F645">
        <f t="shared" si="38"/>
        <v>1</v>
      </c>
      <c r="G645" t="b">
        <f t="shared" si="39"/>
        <v>0</v>
      </c>
      <c r="H645">
        <v>0.50898855508024954</v>
      </c>
    </row>
    <row r="646" spans="1:8" x14ac:dyDescent="0.35">
      <c r="A646" s="13">
        <v>43304</v>
      </c>
      <c r="B646" s="14">
        <v>5378.25</v>
      </c>
      <c r="C646" s="2">
        <f t="shared" si="40"/>
        <v>-3.7178233228114532E-3</v>
      </c>
      <c r="D646">
        <f t="shared" ref="D646:D709" si="41">IF(C646&gt;=0,1,0)</f>
        <v>0</v>
      </c>
      <c r="E646">
        <v>0.51472874990538853</v>
      </c>
      <c r="F646">
        <f t="shared" si="38"/>
        <v>1</v>
      </c>
      <c r="G646" t="b">
        <f t="shared" si="39"/>
        <v>0</v>
      </c>
      <c r="H646">
        <v>0.50898846835972678</v>
      </c>
    </row>
    <row r="647" spans="1:8" x14ac:dyDescent="0.35">
      <c r="A647" s="13">
        <v>43305</v>
      </c>
      <c r="B647" s="14">
        <v>5434.19</v>
      </c>
      <c r="C647" s="2">
        <f t="shared" si="40"/>
        <v>1.0401152791335466E-2</v>
      </c>
      <c r="D647">
        <f t="shared" si="41"/>
        <v>1</v>
      </c>
      <c r="E647">
        <v>0.37718970598486623</v>
      </c>
      <c r="F647">
        <f t="shared" si="38"/>
        <v>0</v>
      </c>
      <c r="G647" t="b">
        <f t="shared" si="39"/>
        <v>0</v>
      </c>
      <c r="H647">
        <v>0.50898856708914875</v>
      </c>
    </row>
    <row r="648" spans="1:8" x14ac:dyDescent="0.35">
      <c r="A648" s="13">
        <v>43306</v>
      </c>
      <c r="B648" s="14">
        <v>5426.41</v>
      </c>
      <c r="C648" s="2">
        <f t="shared" si="40"/>
        <v>-1.431676109962976E-3</v>
      </c>
      <c r="D648">
        <f t="shared" si="41"/>
        <v>0</v>
      </c>
      <c r="E648">
        <v>0.53392908094276048</v>
      </c>
      <c r="F648">
        <f t="shared" si="38"/>
        <v>1</v>
      </c>
      <c r="G648" t="b">
        <f t="shared" si="39"/>
        <v>0</v>
      </c>
      <c r="H648">
        <v>0.5089884779751197</v>
      </c>
    </row>
    <row r="649" spans="1:8" x14ac:dyDescent="0.35">
      <c r="A649" s="13">
        <v>43307</v>
      </c>
      <c r="B649" s="14">
        <v>5480.55</v>
      </c>
      <c r="C649" s="2">
        <f t="shared" si="40"/>
        <v>9.9771303679596635E-3</v>
      </c>
      <c r="D649">
        <f t="shared" si="41"/>
        <v>1</v>
      </c>
      <c r="E649">
        <v>0.39094207963435568</v>
      </c>
      <c r="F649">
        <f t="shared" ref="F649:F712" si="42">IF(E649&gt;=0.5,1,0)</f>
        <v>0</v>
      </c>
      <c r="G649" t="b">
        <f t="shared" ref="G649:G712" si="43">IF(D649=F649,TRUE,FALSE)</f>
        <v>0</v>
      </c>
      <c r="H649">
        <v>0.50898857449187418</v>
      </c>
    </row>
    <row r="650" spans="1:8" x14ac:dyDescent="0.35">
      <c r="A650" s="13">
        <v>43308</v>
      </c>
      <c r="B650" s="14">
        <v>5511.76</v>
      </c>
      <c r="C650" s="2">
        <f t="shared" si="40"/>
        <v>5.6946839277078887E-3</v>
      </c>
      <c r="D650">
        <f t="shared" si="41"/>
        <v>1</v>
      </c>
      <c r="E650">
        <v>0.54700051770566216</v>
      </c>
      <c r="F650">
        <f t="shared" si="42"/>
        <v>1</v>
      </c>
      <c r="G650" t="b">
        <f t="shared" si="43"/>
        <v>1</v>
      </c>
      <c r="H650">
        <v>0.50898864737513116</v>
      </c>
    </row>
    <row r="651" spans="1:8" x14ac:dyDescent="0.35">
      <c r="A651" s="13">
        <v>43311</v>
      </c>
      <c r="B651" s="14">
        <v>5491.22</v>
      </c>
      <c r="C651" s="2">
        <f t="shared" si="40"/>
        <v>-3.7265773546018011E-3</v>
      </c>
      <c r="D651">
        <f t="shared" si="41"/>
        <v>0</v>
      </c>
      <c r="E651">
        <v>0.66341270346937775</v>
      </c>
      <c r="F651">
        <f t="shared" si="42"/>
        <v>1</v>
      </c>
      <c r="G651" t="b">
        <f t="shared" si="43"/>
        <v>0</v>
      </c>
      <c r="H651">
        <v>0.50898855074859395</v>
      </c>
    </row>
    <row r="652" spans="1:8" x14ac:dyDescent="0.35">
      <c r="A652" s="13">
        <v>43312</v>
      </c>
      <c r="B652" s="14">
        <v>5511.3</v>
      </c>
      <c r="C652" s="2">
        <f t="shared" si="40"/>
        <v>3.6567465881898187E-3</v>
      </c>
      <c r="D652">
        <f t="shared" si="41"/>
        <v>1</v>
      </c>
      <c r="E652">
        <v>0.50792155872761102</v>
      </c>
      <c r="F652">
        <f t="shared" si="42"/>
        <v>1</v>
      </c>
      <c r="G652" t="b">
        <f t="shared" si="43"/>
        <v>1</v>
      </c>
      <c r="H652">
        <v>0.50898863093420144</v>
      </c>
    </row>
    <row r="653" spans="1:8" x14ac:dyDescent="0.35">
      <c r="A653" s="13">
        <v>43313</v>
      </c>
      <c r="B653" s="14">
        <v>5498.37</v>
      </c>
      <c r="C653" s="2">
        <f t="shared" si="40"/>
        <v>-2.3460889445321431E-3</v>
      </c>
      <c r="D653">
        <f t="shared" si="41"/>
        <v>0</v>
      </c>
      <c r="E653">
        <v>0.63837603414754929</v>
      </c>
      <c r="F653">
        <f t="shared" si="42"/>
        <v>1</v>
      </c>
      <c r="G653" t="b">
        <f t="shared" si="43"/>
        <v>0</v>
      </c>
      <c r="H653">
        <v>0.508988533313943</v>
      </c>
    </row>
    <row r="654" spans="1:8" x14ac:dyDescent="0.35">
      <c r="A654" s="13">
        <v>43314</v>
      </c>
      <c r="B654" s="14">
        <v>5460.98</v>
      </c>
      <c r="C654" s="2">
        <f t="shared" si="40"/>
        <v>-6.800197149336995E-3</v>
      </c>
      <c r="D654">
        <f t="shared" si="41"/>
        <v>0</v>
      </c>
      <c r="E654">
        <v>0.48126616251754795</v>
      </c>
      <c r="F654">
        <f t="shared" si="42"/>
        <v>0</v>
      </c>
      <c r="G654" t="b">
        <f t="shared" si="43"/>
        <v>1</v>
      </c>
      <c r="H654">
        <v>0.50898845243952096</v>
      </c>
    </row>
    <row r="655" spans="1:8" x14ac:dyDescent="0.35">
      <c r="A655" s="13">
        <v>43315</v>
      </c>
      <c r="B655" s="14">
        <v>5478.98</v>
      </c>
      <c r="C655" s="2">
        <f t="shared" si="40"/>
        <v>3.296111686913239E-3</v>
      </c>
      <c r="D655">
        <f t="shared" si="41"/>
        <v>1</v>
      </c>
      <c r="E655">
        <v>0.3546949451443675</v>
      </c>
      <c r="F655">
        <f t="shared" si="42"/>
        <v>0</v>
      </c>
      <c r="G655" t="b">
        <f t="shared" si="43"/>
        <v>0</v>
      </c>
      <c r="H655">
        <v>0.50898855140410726</v>
      </c>
    </row>
    <row r="656" spans="1:8" x14ac:dyDescent="0.35">
      <c r="A656" s="13">
        <v>43318</v>
      </c>
      <c r="B656" s="14">
        <v>5477.18</v>
      </c>
      <c r="C656" s="2">
        <f t="shared" si="40"/>
        <v>-3.2852830271312694E-4</v>
      </c>
      <c r="D656">
        <f t="shared" si="41"/>
        <v>0</v>
      </c>
      <c r="E656">
        <v>0.5111992709707488</v>
      </c>
      <c r="F656">
        <f t="shared" si="42"/>
        <v>1</v>
      </c>
      <c r="G656" t="b">
        <f t="shared" si="43"/>
        <v>0</v>
      </c>
      <c r="H656">
        <v>0.50898846605759618</v>
      </c>
    </row>
    <row r="657" spans="1:8" x14ac:dyDescent="0.35">
      <c r="A657" s="13">
        <v>43319</v>
      </c>
      <c r="B657" s="14">
        <v>5521.31</v>
      </c>
      <c r="C657" s="2">
        <f t="shared" si="40"/>
        <v>8.0570658623597691E-3</v>
      </c>
      <c r="D657">
        <f t="shared" si="41"/>
        <v>1</v>
      </c>
      <c r="E657">
        <v>0.37473913624206251</v>
      </c>
      <c r="F657">
        <f t="shared" si="42"/>
        <v>0</v>
      </c>
      <c r="G657" t="b">
        <f t="shared" si="43"/>
        <v>0</v>
      </c>
      <c r="H657">
        <v>0.50898856365973699</v>
      </c>
    </row>
    <row r="658" spans="1:8" x14ac:dyDescent="0.35">
      <c r="A658" s="13">
        <v>43320</v>
      </c>
      <c r="B658" s="14">
        <v>5501.9</v>
      </c>
      <c r="C658" s="2">
        <f t="shared" si="40"/>
        <v>-3.5154700605473099E-3</v>
      </c>
      <c r="D658">
        <f t="shared" si="41"/>
        <v>0</v>
      </c>
      <c r="E658">
        <v>0.53152980338085609</v>
      </c>
      <c r="F658">
        <f t="shared" si="42"/>
        <v>1</v>
      </c>
      <c r="G658" t="b">
        <f t="shared" si="43"/>
        <v>0</v>
      </c>
      <c r="H658">
        <v>0.50898847512843293</v>
      </c>
    </row>
    <row r="659" spans="1:8" x14ac:dyDescent="0.35">
      <c r="A659" s="13">
        <v>43321</v>
      </c>
      <c r="B659" s="14">
        <v>5502.25</v>
      </c>
      <c r="C659" s="2">
        <f t="shared" si="40"/>
        <v>6.3614387757038315E-5</v>
      </c>
      <c r="D659">
        <f t="shared" si="41"/>
        <v>1</v>
      </c>
      <c r="E659">
        <v>0.38919056991403167</v>
      </c>
      <c r="F659">
        <f t="shared" si="42"/>
        <v>0</v>
      </c>
      <c r="G659" t="b">
        <f t="shared" si="43"/>
        <v>0</v>
      </c>
      <c r="H659">
        <v>0.50898857170417089</v>
      </c>
    </row>
    <row r="660" spans="1:8" x14ac:dyDescent="0.35">
      <c r="A660" s="13">
        <v>43322</v>
      </c>
      <c r="B660" s="14">
        <v>5414.68</v>
      </c>
      <c r="C660" s="2">
        <f t="shared" si="40"/>
        <v>-1.5915307374255949E-2</v>
      </c>
      <c r="D660">
        <f t="shared" si="41"/>
        <v>0</v>
      </c>
      <c r="E660">
        <v>0.54536257441998148</v>
      </c>
      <c r="F660">
        <f t="shared" si="42"/>
        <v>1</v>
      </c>
      <c r="G660" t="b">
        <f t="shared" si="43"/>
        <v>0</v>
      </c>
      <c r="H660">
        <v>0.50898848040447831</v>
      </c>
    </row>
    <row r="661" spans="1:8" x14ac:dyDescent="0.35">
      <c r="A661" s="13">
        <v>43325</v>
      </c>
      <c r="B661" s="14">
        <v>5412.32</v>
      </c>
      <c r="C661" s="2">
        <f t="shared" si="40"/>
        <v>-4.3585216485564349E-4</v>
      </c>
      <c r="D661">
        <f t="shared" si="41"/>
        <v>0</v>
      </c>
      <c r="E661">
        <v>0.39948086322153936</v>
      </c>
      <c r="F661">
        <f t="shared" si="42"/>
        <v>0</v>
      </c>
      <c r="G661" t="b">
        <f t="shared" si="43"/>
        <v>1</v>
      </c>
      <c r="H661">
        <v>0.50898841387864069</v>
      </c>
    </row>
    <row r="662" spans="1:8" x14ac:dyDescent="0.35">
      <c r="A662" s="13">
        <v>43326</v>
      </c>
      <c r="B662" s="14">
        <v>5403.41</v>
      </c>
      <c r="C662" s="2">
        <f t="shared" si="40"/>
        <v>-1.646244124515861E-3</v>
      </c>
      <c r="D662">
        <f t="shared" si="41"/>
        <v>0</v>
      </c>
      <c r="E662">
        <v>0.30475201814748837</v>
      </c>
      <c r="F662">
        <f t="shared" si="42"/>
        <v>0</v>
      </c>
      <c r="G662" t="b">
        <f t="shared" si="43"/>
        <v>1</v>
      </c>
      <c r="H662">
        <v>0.5089883679921583</v>
      </c>
    </row>
    <row r="663" spans="1:8" x14ac:dyDescent="0.35">
      <c r="A663" s="13">
        <v>43327</v>
      </c>
      <c r="B663" s="14">
        <v>5305.22</v>
      </c>
      <c r="C663" s="2">
        <f t="shared" si="40"/>
        <v>-1.8171858141432851E-2</v>
      </c>
      <c r="D663">
        <f t="shared" si="41"/>
        <v>0</v>
      </c>
      <c r="E663">
        <v>0.24871606778563848</v>
      </c>
      <c r="F663">
        <f t="shared" si="42"/>
        <v>0</v>
      </c>
      <c r="G663" t="b">
        <f t="shared" si="43"/>
        <v>1</v>
      </c>
      <c r="H663">
        <v>0.50898833467095284</v>
      </c>
    </row>
    <row r="664" spans="1:8" x14ac:dyDescent="0.35">
      <c r="A664" s="13">
        <v>43328</v>
      </c>
      <c r="B664" s="14">
        <v>5349.02</v>
      </c>
      <c r="C664" s="2">
        <f t="shared" si="40"/>
        <v>8.2560195430161354E-3</v>
      </c>
      <c r="D664">
        <f t="shared" si="41"/>
        <v>1</v>
      </c>
      <c r="E664">
        <v>0.21293549494150577</v>
      </c>
      <c r="F664">
        <f t="shared" si="42"/>
        <v>0</v>
      </c>
      <c r="G664" t="b">
        <f t="shared" si="43"/>
        <v>0</v>
      </c>
      <c r="H664">
        <v>0.50898842750242723</v>
      </c>
    </row>
    <row r="665" spans="1:8" x14ac:dyDescent="0.35">
      <c r="A665" s="13">
        <v>43329</v>
      </c>
      <c r="B665" s="14">
        <v>5344.93</v>
      </c>
      <c r="C665" s="2">
        <f t="shared" si="40"/>
        <v>-7.6462604364913034E-4</v>
      </c>
      <c r="D665">
        <f t="shared" si="41"/>
        <v>0</v>
      </c>
      <c r="E665">
        <v>0.32425396694840658</v>
      </c>
      <c r="F665">
        <f t="shared" si="42"/>
        <v>0</v>
      </c>
      <c r="G665" t="b">
        <f t="shared" si="43"/>
        <v>1</v>
      </c>
      <c r="H665">
        <v>0.50898837704369215</v>
      </c>
    </row>
    <row r="666" spans="1:8" x14ac:dyDescent="0.35">
      <c r="A666" s="13">
        <v>43332</v>
      </c>
      <c r="B666" s="14">
        <v>5379.65</v>
      </c>
      <c r="C666" s="2">
        <f t="shared" si="40"/>
        <v>6.4958755306430138E-3</v>
      </c>
      <c r="D666">
        <f t="shared" si="41"/>
        <v>1</v>
      </c>
      <c r="E666">
        <v>0.26052552468556373</v>
      </c>
      <c r="F666">
        <f t="shared" si="42"/>
        <v>0</v>
      </c>
      <c r="G666" t="b">
        <f t="shared" si="43"/>
        <v>0</v>
      </c>
      <c r="H666">
        <v>0.50898847619627874</v>
      </c>
    </row>
    <row r="667" spans="1:8" x14ac:dyDescent="0.35">
      <c r="A667" s="13">
        <v>43333</v>
      </c>
      <c r="B667" s="14">
        <v>5408.6</v>
      </c>
      <c r="C667" s="2">
        <f t="shared" si="40"/>
        <v>5.3813909826849748E-3</v>
      </c>
      <c r="D667">
        <f t="shared" si="41"/>
        <v>1</v>
      </c>
      <c r="E667">
        <v>0.39561930024994935</v>
      </c>
      <c r="F667">
        <f t="shared" si="42"/>
        <v>0</v>
      </c>
      <c r="G667" t="b">
        <f t="shared" si="43"/>
        <v>0</v>
      </c>
      <c r="H667">
        <v>0.50898857511920503</v>
      </c>
    </row>
    <row r="668" spans="1:8" x14ac:dyDescent="0.35">
      <c r="A668" s="13">
        <v>43334</v>
      </c>
      <c r="B668" s="14">
        <v>5420.61</v>
      </c>
      <c r="C668" s="2">
        <f t="shared" si="40"/>
        <v>2.2205376622415063E-3</v>
      </c>
      <c r="D668">
        <f t="shared" si="41"/>
        <v>1</v>
      </c>
      <c r="E668">
        <v>0.55130310472013533</v>
      </c>
      <c r="F668">
        <f t="shared" si="42"/>
        <v>1</v>
      </c>
      <c r="G668" t="b">
        <f t="shared" si="43"/>
        <v>1</v>
      </c>
      <c r="H668">
        <v>0.50898864840763614</v>
      </c>
    </row>
    <row r="669" spans="1:8" x14ac:dyDescent="0.35">
      <c r="A669" s="13">
        <v>43335</v>
      </c>
      <c r="B669" s="14">
        <v>5419.33</v>
      </c>
      <c r="C669" s="2">
        <f t="shared" si="40"/>
        <v>-2.3613578545578218E-4</v>
      </c>
      <c r="D669">
        <f t="shared" si="41"/>
        <v>0</v>
      </c>
      <c r="E669">
        <v>0.66606294730064852</v>
      </c>
      <c r="F669">
        <f t="shared" si="42"/>
        <v>1</v>
      </c>
      <c r="G669" t="b">
        <f t="shared" si="43"/>
        <v>0</v>
      </c>
      <c r="H669">
        <v>0.50898854966223317</v>
      </c>
    </row>
    <row r="670" spans="1:8" x14ac:dyDescent="0.35">
      <c r="A670" s="13">
        <v>43336</v>
      </c>
      <c r="B670" s="14">
        <v>5432.5</v>
      </c>
      <c r="C670" s="2">
        <f t="shared" si="40"/>
        <v>2.4301897097980252E-3</v>
      </c>
      <c r="D670">
        <f t="shared" si="41"/>
        <v>1</v>
      </c>
      <c r="E670">
        <v>0.51088539774327013</v>
      </c>
      <c r="F670">
        <f t="shared" si="42"/>
        <v>1</v>
      </c>
      <c r="G670" t="b">
        <f t="shared" si="43"/>
        <v>1</v>
      </c>
      <c r="H670">
        <v>0.50898863063671129</v>
      </c>
    </row>
    <row r="671" spans="1:8" x14ac:dyDescent="0.35">
      <c r="A671" s="13">
        <v>43339</v>
      </c>
      <c r="B671" s="14">
        <v>5479.1</v>
      </c>
      <c r="C671" s="2">
        <f t="shared" si="40"/>
        <v>8.5780027611597198E-3</v>
      </c>
      <c r="D671">
        <f t="shared" si="41"/>
        <v>1</v>
      </c>
      <c r="E671">
        <v>0.64033503630768107</v>
      </c>
      <c r="F671">
        <f t="shared" si="42"/>
        <v>1</v>
      </c>
      <c r="G671" t="b">
        <f t="shared" si="43"/>
        <v>1</v>
      </c>
      <c r="H671">
        <v>0.5089886840425254</v>
      </c>
    </row>
    <row r="672" spans="1:8" x14ac:dyDescent="0.35">
      <c r="A672" s="13">
        <v>43340</v>
      </c>
      <c r="B672" s="14">
        <v>5484.99</v>
      </c>
      <c r="C672" s="2">
        <f t="shared" si="40"/>
        <v>1.0749940683687509E-3</v>
      </c>
      <c r="D672">
        <f t="shared" si="41"/>
        <v>1</v>
      </c>
      <c r="E672">
        <v>0.71884279797158102</v>
      </c>
      <c r="F672">
        <f t="shared" si="42"/>
        <v>1</v>
      </c>
      <c r="G672" t="b">
        <f t="shared" si="43"/>
        <v>1</v>
      </c>
      <c r="H672">
        <v>0.5089887201640857</v>
      </c>
    </row>
    <row r="673" spans="1:8" x14ac:dyDescent="0.35">
      <c r="A673" s="13">
        <v>43341</v>
      </c>
      <c r="B673" s="14">
        <v>5501.33</v>
      </c>
      <c r="C673" s="2">
        <f t="shared" si="40"/>
        <v>2.9790391595974075E-3</v>
      </c>
      <c r="D673">
        <f t="shared" si="41"/>
        <v>1</v>
      </c>
      <c r="E673">
        <v>0.76624365718750709</v>
      </c>
      <c r="F673">
        <f t="shared" si="42"/>
        <v>1</v>
      </c>
      <c r="G673" t="b">
        <f t="shared" si="43"/>
        <v>1</v>
      </c>
      <c r="H673">
        <v>0.50898874595934096</v>
      </c>
    </row>
    <row r="674" spans="1:8" x14ac:dyDescent="0.35">
      <c r="A674" s="13">
        <v>43342</v>
      </c>
      <c r="B674" s="14">
        <v>5478.06</v>
      </c>
      <c r="C674" s="2">
        <f t="shared" si="40"/>
        <v>-4.2298862275121918E-3</v>
      </c>
      <c r="D674">
        <f t="shared" si="41"/>
        <v>0</v>
      </c>
      <c r="E674">
        <v>0.79744859171120752</v>
      </c>
      <c r="F674">
        <f t="shared" si="42"/>
        <v>1</v>
      </c>
      <c r="G674" t="b">
        <f t="shared" si="43"/>
        <v>0</v>
      </c>
      <c r="H674">
        <v>0.50898866522633879</v>
      </c>
    </row>
    <row r="675" spans="1:8" x14ac:dyDescent="0.35">
      <c r="A675" s="13">
        <v>43343</v>
      </c>
      <c r="B675" s="14">
        <v>5406.85</v>
      </c>
      <c r="C675" s="2">
        <f t="shared" si="40"/>
        <v>-1.2999127428323209E-2</v>
      </c>
      <c r="D675">
        <f t="shared" si="41"/>
        <v>0</v>
      </c>
      <c r="E675">
        <v>0.69144880007145382</v>
      </c>
      <c r="F675">
        <f t="shared" si="42"/>
        <v>1</v>
      </c>
      <c r="G675" t="b">
        <f t="shared" si="43"/>
        <v>0</v>
      </c>
      <c r="H675">
        <v>0.50898857014335652</v>
      </c>
    </row>
    <row r="676" spans="1:8" x14ac:dyDescent="0.35">
      <c r="A676" s="13">
        <v>43346</v>
      </c>
      <c r="B676" s="14">
        <v>5413.8</v>
      </c>
      <c r="C676" s="2">
        <f t="shared" si="40"/>
        <v>1.2854064751195438E-3</v>
      </c>
      <c r="D676">
        <f t="shared" si="41"/>
        <v>1</v>
      </c>
      <c r="E676">
        <v>0.54054970244098799</v>
      </c>
      <c r="F676">
        <f t="shared" si="42"/>
        <v>1</v>
      </c>
      <c r="G676" t="b">
        <f t="shared" si="43"/>
        <v>1</v>
      </c>
      <c r="H676">
        <v>0.50898864444067293</v>
      </c>
    </row>
    <row r="677" spans="1:8" x14ac:dyDescent="0.35">
      <c r="A677" s="13">
        <v>43347</v>
      </c>
      <c r="B677" s="14">
        <v>5342.7</v>
      </c>
      <c r="C677" s="2">
        <f t="shared" si="40"/>
        <v>-1.3133104289039244E-2</v>
      </c>
      <c r="D677">
        <f t="shared" si="41"/>
        <v>0</v>
      </c>
      <c r="E677">
        <v>0.65938997792945675</v>
      </c>
      <c r="F677">
        <f t="shared" si="42"/>
        <v>1</v>
      </c>
      <c r="G677" t="b">
        <f t="shared" si="43"/>
        <v>0</v>
      </c>
      <c r="H677">
        <v>0.50898854632440371</v>
      </c>
    </row>
    <row r="678" spans="1:8" x14ac:dyDescent="0.35">
      <c r="A678" s="13">
        <v>43348</v>
      </c>
      <c r="B678" s="14">
        <v>5260.22</v>
      </c>
      <c r="C678" s="2">
        <f t="shared" si="40"/>
        <v>-1.5437887210586365E-2</v>
      </c>
      <c r="D678">
        <f t="shared" si="41"/>
        <v>0</v>
      </c>
      <c r="E678">
        <v>0.50349715093358149</v>
      </c>
      <c r="F678">
        <f t="shared" si="42"/>
        <v>1</v>
      </c>
      <c r="G678" t="b">
        <f t="shared" si="43"/>
        <v>0</v>
      </c>
      <c r="H678">
        <v>0.50898846069856973</v>
      </c>
    </row>
    <row r="679" spans="1:8" x14ac:dyDescent="0.35">
      <c r="A679" s="13">
        <v>43349</v>
      </c>
      <c r="B679" s="14">
        <v>5243.84</v>
      </c>
      <c r="C679" s="2">
        <f t="shared" si="40"/>
        <v>-3.1139382003034788E-3</v>
      </c>
      <c r="D679">
        <f t="shared" si="41"/>
        <v>0</v>
      </c>
      <c r="E679">
        <v>0.36946065888904273</v>
      </c>
      <c r="F679">
        <f t="shared" si="42"/>
        <v>0</v>
      </c>
      <c r="G679" t="b">
        <f t="shared" si="43"/>
        <v>1</v>
      </c>
      <c r="H679">
        <v>0.50898840029819814</v>
      </c>
    </row>
    <row r="680" spans="1:8" x14ac:dyDescent="0.35">
      <c r="A680" s="13">
        <v>43350</v>
      </c>
      <c r="B680" s="14">
        <v>5252.22</v>
      </c>
      <c r="C680" s="2">
        <f t="shared" si="40"/>
        <v>1.5980655397571653E-3</v>
      </c>
      <c r="D680">
        <f t="shared" si="41"/>
        <v>1</v>
      </c>
      <c r="E680">
        <v>0.28720252269826835</v>
      </c>
      <c r="F680">
        <f t="shared" si="42"/>
        <v>0</v>
      </c>
      <c r="G680" t="b">
        <f t="shared" si="43"/>
        <v>0</v>
      </c>
      <c r="H680">
        <v>0.50898850205815749</v>
      </c>
    </row>
    <row r="681" spans="1:8" x14ac:dyDescent="0.35">
      <c r="A681" s="13">
        <v>43353</v>
      </c>
      <c r="B681" s="14">
        <v>5269.63</v>
      </c>
      <c r="C681" s="2">
        <f t="shared" si="40"/>
        <v>3.3147887940718768E-3</v>
      </c>
      <c r="D681">
        <f t="shared" si="41"/>
        <v>1</v>
      </c>
      <c r="E681">
        <v>0.4318764429270095</v>
      </c>
      <c r="F681">
        <f t="shared" si="42"/>
        <v>0</v>
      </c>
      <c r="G681" t="b">
        <f t="shared" si="43"/>
        <v>0</v>
      </c>
      <c r="H681">
        <v>0.50898859719220368</v>
      </c>
    </row>
    <row r="682" spans="1:8" x14ac:dyDescent="0.35">
      <c r="A682" s="13">
        <v>43354</v>
      </c>
      <c r="B682" s="14">
        <v>5283.79</v>
      </c>
      <c r="C682" s="2">
        <f t="shared" si="40"/>
        <v>2.6870956784441624E-3</v>
      </c>
      <c r="D682">
        <f t="shared" si="41"/>
        <v>1</v>
      </c>
      <c r="E682">
        <v>0.5825970173617514</v>
      </c>
      <c r="F682">
        <f t="shared" si="42"/>
        <v>1</v>
      </c>
      <c r="G682" t="b">
        <f t="shared" si="43"/>
        <v>1</v>
      </c>
      <c r="H682">
        <v>0.50898866501038409</v>
      </c>
    </row>
    <row r="683" spans="1:8" x14ac:dyDescent="0.35">
      <c r="A683" s="13">
        <v>43355</v>
      </c>
      <c r="B683" s="14">
        <v>5332.13</v>
      </c>
      <c r="C683" s="2">
        <f t="shared" si="40"/>
        <v>9.1487360398501139E-3</v>
      </c>
      <c r="D683">
        <f t="shared" si="41"/>
        <v>1</v>
      </c>
      <c r="E683">
        <v>0.68495608742919567</v>
      </c>
      <c r="F683">
        <f t="shared" si="42"/>
        <v>1</v>
      </c>
      <c r="G683" t="b">
        <f t="shared" si="43"/>
        <v>1</v>
      </c>
      <c r="H683">
        <v>0.50898870950668873</v>
      </c>
    </row>
    <row r="684" spans="1:8" x14ac:dyDescent="0.35">
      <c r="A684" s="13">
        <v>43356</v>
      </c>
      <c r="B684" s="14">
        <v>5328.12</v>
      </c>
      <c r="C684" s="2">
        <f t="shared" si="40"/>
        <v>-7.5204468008094327E-4</v>
      </c>
      <c r="D684">
        <f t="shared" si="41"/>
        <v>0</v>
      </c>
      <c r="E684">
        <v>0.745321102220317</v>
      </c>
      <c r="F684">
        <f t="shared" si="42"/>
        <v>1</v>
      </c>
      <c r="G684" t="b">
        <f t="shared" si="43"/>
        <v>0</v>
      </c>
      <c r="H684">
        <v>0.5089886157341923</v>
      </c>
    </row>
    <row r="685" spans="1:8" x14ac:dyDescent="0.35">
      <c r="A685" s="13">
        <v>43357</v>
      </c>
      <c r="B685" s="14">
        <v>5352.57</v>
      </c>
      <c r="C685" s="2">
        <f t="shared" si="40"/>
        <v>4.588860611247414E-3</v>
      </c>
      <c r="D685">
        <f t="shared" si="41"/>
        <v>1</v>
      </c>
      <c r="E685">
        <v>0.61192355776282881</v>
      </c>
      <c r="F685">
        <f t="shared" si="42"/>
        <v>1</v>
      </c>
      <c r="G685" t="b">
        <f t="shared" si="43"/>
        <v>1</v>
      </c>
      <c r="H685">
        <v>0.50898867632550193</v>
      </c>
    </row>
    <row r="686" spans="1:8" x14ac:dyDescent="0.35">
      <c r="A686" s="13">
        <v>43360</v>
      </c>
      <c r="B686" s="14">
        <v>5348.87</v>
      </c>
      <c r="C686" s="2">
        <f t="shared" si="40"/>
        <v>-6.9125672340575317E-4</v>
      </c>
      <c r="D686">
        <f t="shared" si="41"/>
        <v>0</v>
      </c>
      <c r="E686">
        <v>0.70222610457125345</v>
      </c>
      <c r="F686">
        <f t="shared" si="42"/>
        <v>1</v>
      </c>
      <c r="G686" t="b">
        <f t="shared" si="43"/>
        <v>0</v>
      </c>
      <c r="H686">
        <v>0.50898857867679559</v>
      </c>
    </row>
    <row r="687" spans="1:8" x14ac:dyDescent="0.35">
      <c r="A687" s="13">
        <v>43361</v>
      </c>
      <c r="B687" s="14">
        <v>5363.79</v>
      </c>
      <c r="C687" s="2">
        <f t="shared" si="40"/>
        <v>2.7893742042712777E-3</v>
      </c>
      <c r="D687">
        <f t="shared" si="41"/>
        <v>1</v>
      </c>
      <c r="E687">
        <v>0.55390727137424034</v>
      </c>
      <c r="F687">
        <f t="shared" si="42"/>
        <v>1</v>
      </c>
      <c r="G687" t="b">
        <f t="shared" si="43"/>
        <v>1</v>
      </c>
      <c r="H687">
        <v>0.50898865098477974</v>
      </c>
    </row>
    <row r="688" spans="1:8" x14ac:dyDescent="0.35">
      <c r="A688" s="13">
        <v>43362</v>
      </c>
      <c r="B688" s="14">
        <v>5393.74</v>
      </c>
      <c r="C688" s="2">
        <f t="shared" si="40"/>
        <v>5.583738364104418E-3</v>
      </c>
      <c r="D688">
        <f t="shared" si="41"/>
        <v>1</v>
      </c>
      <c r="E688">
        <v>0.66765752989593885</v>
      </c>
      <c r="F688">
        <f t="shared" si="42"/>
        <v>1</v>
      </c>
      <c r="G688" t="b">
        <f t="shared" si="43"/>
        <v>1</v>
      </c>
      <c r="H688">
        <v>0.50898869793856816</v>
      </c>
    </row>
    <row r="689" spans="1:8" x14ac:dyDescent="0.35">
      <c r="A689" s="13">
        <v>43363</v>
      </c>
      <c r="B689" s="14">
        <v>5451.59</v>
      </c>
      <c r="C689" s="2">
        <f t="shared" si="40"/>
        <v>1.0725396478139526E-2</v>
      </c>
      <c r="D689">
        <f t="shared" si="41"/>
        <v>1</v>
      </c>
      <c r="E689">
        <v>0.73495129780854673</v>
      </c>
      <c r="F689">
        <f t="shared" si="42"/>
        <v>1</v>
      </c>
      <c r="G689" t="b">
        <f t="shared" si="43"/>
        <v>1</v>
      </c>
      <c r="H689">
        <v>0.50898873024046953</v>
      </c>
    </row>
    <row r="690" spans="1:8" x14ac:dyDescent="0.35">
      <c r="A690" s="13">
        <v>43364</v>
      </c>
      <c r="B690" s="14">
        <v>5494.17</v>
      </c>
      <c r="C690" s="2">
        <f t="shared" si="40"/>
        <v>7.8105653579965129E-3</v>
      </c>
      <c r="D690">
        <f t="shared" si="41"/>
        <v>1</v>
      </c>
      <c r="E690">
        <v>0.7765561594295024</v>
      </c>
      <c r="F690">
        <f t="shared" si="42"/>
        <v>1</v>
      </c>
      <c r="G690" t="b">
        <f t="shared" si="43"/>
        <v>1</v>
      </c>
      <c r="H690">
        <v>0.50898875409650746</v>
      </c>
    </row>
    <row r="691" spans="1:8" x14ac:dyDescent="0.35">
      <c r="A691" s="13">
        <v>43367</v>
      </c>
      <c r="B691" s="14">
        <v>5476.17</v>
      </c>
      <c r="C691" s="2">
        <f t="shared" si="40"/>
        <v>-3.2762000447746908E-3</v>
      </c>
      <c r="D691">
        <f t="shared" si="41"/>
        <v>0</v>
      </c>
      <c r="E691">
        <v>0.80461218731139772</v>
      </c>
      <c r="F691">
        <f t="shared" si="42"/>
        <v>1</v>
      </c>
      <c r="G691" t="b">
        <f t="shared" si="43"/>
        <v>0</v>
      </c>
      <c r="H691">
        <v>0.50898867542772319</v>
      </c>
    </row>
    <row r="692" spans="1:8" x14ac:dyDescent="0.35">
      <c r="A692" s="13">
        <v>43368</v>
      </c>
      <c r="B692" s="14">
        <v>5479.1</v>
      </c>
      <c r="C692" s="2">
        <f t="shared" si="40"/>
        <v>5.3504547886573661E-4</v>
      </c>
      <c r="D692">
        <f t="shared" si="41"/>
        <v>1</v>
      </c>
      <c r="E692">
        <v>0.70306203650340904</v>
      </c>
      <c r="F692">
        <f t="shared" si="42"/>
        <v>1</v>
      </c>
      <c r="G692" t="b">
        <f t="shared" si="43"/>
        <v>1</v>
      </c>
      <c r="H692">
        <v>0.50898871402326107</v>
      </c>
    </row>
    <row r="693" spans="1:8" x14ac:dyDescent="0.35">
      <c r="A693" s="13">
        <v>43369</v>
      </c>
      <c r="B693" s="14">
        <v>5512.73</v>
      </c>
      <c r="C693" s="2">
        <f t="shared" si="40"/>
        <v>6.1378693581060073E-3</v>
      </c>
      <c r="D693">
        <f t="shared" si="41"/>
        <v>1</v>
      </c>
      <c r="E693">
        <v>0.75638206768916039</v>
      </c>
      <c r="F693">
        <f t="shared" si="42"/>
        <v>1</v>
      </c>
      <c r="G693" t="b">
        <f t="shared" si="43"/>
        <v>1</v>
      </c>
      <c r="H693">
        <v>0.50898874204306099</v>
      </c>
    </row>
    <row r="694" spans="1:8" x14ac:dyDescent="0.35">
      <c r="A694" s="13">
        <v>43370</v>
      </c>
      <c r="B694" s="14">
        <v>5540.41</v>
      </c>
      <c r="C694" s="2">
        <f t="shared" si="40"/>
        <v>5.0211056953632927E-3</v>
      </c>
      <c r="D694">
        <f t="shared" si="41"/>
        <v>1</v>
      </c>
      <c r="E694">
        <v>0.79073110031601868</v>
      </c>
      <c r="F694">
        <f t="shared" si="42"/>
        <v>1</v>
      </c>
      <c r="G694" t="b">
        <f t="shared" si="43"/>
        <v>1</v>
      </c>
      <c r="H694">
        <v>0.50898876342651667</v>
      </c>
    </row>
    <row r="695" spans="1:8" x14ac:dyDescent="0.35">
      <c r="A695" s="13">
        <v>43371</v>
      </c>
      <c r="B695" s="14">
        <v>5493.49</v>
      </c>
      <c r="C695" s="2">
        <f t="shared" si="40"/>
        <v>-8.4686873354138381E-3</v>
      </c>
      <c r="D695">
        <f t="shared" si="41"/>
        <v>0</v>
      </c>
      <c r="E695">
        <v>0.81470928822069155</v>
      </c>
      <c r="F695">
        <f t="shared" si="42"/>
        <v>1</v>
      </c>
      <c r="G695" t="b">
        <f t="shared" si="43"/>
        <v>0</v>
      </c>
      <c r="H695">
        <v>0.50898868677012732</v>
      </c>
    </row>
    <row r="696" spans="1:8" x14ac:dyDescent="0.35">
      <c r="A696" s="13">
        <v>43374</v>
      </c>
      <c r="B696" s="14">
        <v>5506.82</v>
      </c>
      <c r="C696" s="2">
        <f t="shared" si="40"/>
        <v>2.4265084672949744E-3</v>
      </c>
      <c r="D696">
        <f t="shared" si="41"/>
        <v>1</v>
      </c>
      <c r="E696">
        <v>0.71964520768627183</v>
      </c>
      <c r="F696">
        <f t="shared" si="42"/>
        <v>1</v>
      </c>
      <c r="G696" t="b">
        <f t="shared" si="43"/>
        <v>1</v>
      </c>
      <c r="H696">
        <v>0.50898872197164069</v>
      </c>
    </row>
    <row r="697" spans="1:8" x14ac:dyDescent="0.35">
      <c r="A697" s="13">
        <v>43375</v>
      </c>
      <c r="B697" s="14">
        <v>5467.89</v>
      </c>
      <c r="C697" s="2">
        <f t="shared" si="40"/>
        <v>-7.069415742660845E-3</v>
      </c>
      <c r="D697">
        <f t="shared" si="41"/>
        <v>0</v>
      </c>
      <c r="E697">
        <v>0.76674920443061056</v>
      </c>
      <c r="F697">
        <f t="shared" si="42"/>
        <v>1</v>
      </c>
      <c r="G697" t="b">
        <f t="shared" si="43"/>
        <v>0</v>
      </c>
      <c r="H697">
        <v>0.50898863520171489</v>
      </c>
    </row>
    <row r="698" spans="1:8" x14ac:dyDescent="0.35">
      <c r="A698" s="13">
        <v>43376</v>
      </c>
      <c r="B698" s="14">
        <v>5491.4</v>
      </c>
      <c r="C698" s="2">
        <f t="shared" si="40"/>
        <v>4.299647578864807E-3</v>
      </c>
      <c r="D698">
        <f t="shared" si="41"/>
        <v>1</v>
      </c>
      <c r="E698">
        <v>0.64346777296438695</v>
      </c>
      <c r="F698">
        <f t="shared" si="42"/>
        <v>1</v>
      </c>
      <c r="G698" t="b">
        <f t="shared" si="43"/>
        <v>1</v>
      </c>
      <c r="H698">
        <v>0.50898868742404935</v>
      </c>
    </row>
    <row r="699" spans="1:8" x14ac:dyDescent="0.35">
      <c r="A699" s="13">
        <v>43377</v>
      </c>
      <c r="B699" s="14">
        <v>5410.85</v>
      </c>
      <c r="C699" s="2">
        <f t="shared" si="40"/>
        <v>-1.4668390574352541E-2</v>
      </c>
      <c r="D699">
        <f t="shared" si="41"/>
        <v>0</v>
      </c>
      <c r="E699">
        <v>0.72067534649583409</v>
      </c>
      <c r="F699">
        <f t="shared" si="42"/>
        <v>1</v>
      </c>
      <c r="G699" t="b">
        <f t="shared" si="43"/>
        <v>0</v>
      </c>
      <c r="H699">
        <v>0.50898859291656984</v>
      </c>
    </row>
    <row r="700" spans="1:8" x14ac:dyDescent="0.35">
      <c r="A700" s="13">
        <v>43378</v>
      </c>
      <c r="B700" s="14">
        <v>5359.36</v>
      </c>
      <c r="C700" s="2">
        <f t="shared" si="40"/>
        <v>-9.5160649435857003E-3</v>
      </c>
      <c r="D700">
        <f t="shared" si="41"/>
        <v>0</v>
      </c>
      <c r="E700">
        <v>0.57784212909364563</v>
      </c>
      <c r="F700">
        <f t="shared" si="42"/>
        <v>1</v>
      </c>
      <c r="G700" t="b">
        <f t="shared" si="43"/>
        <v>0</v>
      </c>
      <c r="H700">
        <v>0.50898849802064339</v>
      </c>
    </row>
    <row r="701" spans="1:8" x14ac:dyDescent="0.35">
      <c r="A701" s="13">
        <v>43381</v>
      </c>
      <c r="B701" s="14">
        <v>5300.25</v>
      </c>
      <c r="C701" s="2">
        <f t="shared" si="40"/>
        <v>-1.1029302006209663E-2</v>
      </c>
      <c r="D701">
        <f t="shared" si="41"/>
        <v>0</v>
      </c>
      <c r="E701">
        <v>0.4253460642496516</v>
      </c>
      <c r="F701">
        <f t="shared" si="42"/>
        <v>0</v>
      </c>
      <c r="G701" t="b">
        <f t="shared" si="43"/>
        <v>1</v>
      </c>
      <c r="H701">
        <v>0.50898842589849158</v>
      </c>
    </row>
    <row r="702" spans="1:8" x14ac:dyDescent="0.35">
      <c r="A702" s="13">
        <v>43382</v>
      </c>
      <c r="B702" s="14">
        <v>5318.55</v>
      </c>
      <c r="C702" s="2">
        <f t="shared" si="40"/>
        <v>3.4526673270129926E-3</v>
      </c>
      <c r="D702">
        <f t="shared" si="41"/>
        <v>1</v>
      </c>
      <c r="E702">
        <v>0.3200591014902156</v>
      </c>
      <c r="F702">
        <f t="shared" si="42"/>
        <v>0</v>
      </c>
      <c r="G702" t="b">
        <f t="shared" si="43"/>
        <v>0</v>
      </c>
      <c r="H702">
        <v>0.50898852861971355</v>
      </c>
    </row>
    <row r="703" spans="1:8" x14ac:dyDescent="0.35">
      <c r="A703" s="13">
        <v>43383</v>
      </c>
      <c r="B703" s="14">
        <v>5206.22</v>
      </c>
      <c r="C703" s="2">
        <f t="shared" si="40"/>
        <v>-2.112041815908472E-2</v>
      </c>
      <c r="D703">
        <f t="shared" si="41"/>
        <v>0</v>
      </c>
      <c r="E703">
        <v>0.47265906347553749</v>
      </c>
      <c r="F703">
        <f t="shared" si="42"/>
        <v>0</v>
      </c>
      <c r="G703" t="b">
        <f t="shared" si="43"/>
        <v>1</v>
      </c>
      <c r="H703">
        <v>0.50898844632657858</v>
      </c>
    </row>
    <row r="704" spans="1:8" x14ac:dyDescent="0.35">
      <c r="A704" s="13">
        <v>43384</v>
      </c>
      <c r="B704" s="14">
        <v>5106.37</v>
      </c>
      <c r="C704" s="2">
        <f t="shared" si="40"/>
        <v>-1.9178982063762229E-2</v>
      </c>
      <c r="D704">
        <f t="shared" si="41"/>
        <v>0</v>
      </c>
      <c r="E704">
        <v>0.34917455474456233</v>
      </c>
      <c r="F704">
        <f t="shared" si="42"/>
        <v>0</v>
      </c>
      <c r="G704" t="b">
        <f t="shared" si="43"/>
        <v>1</v>
      </c>
      <c r="H704">
        <v>0.50898838925905832</v>
      </c>
    </row>
    <row r="705" spans="1:8" x14ac:dyDescent="0.35">
      <c r="A705" s="13">
        <v>43385</v>
      </c>
      <c r="B705" s="14">
        <v>5095.9799999999996</v>
      </c>
      <c r="C705" s="2">
        <f t="shared" si="40"/>
        <v>-2.0347135048969234E-3</v>
      </c>
      <c r="D705">
        <f t="shared" si="41"/>
        <v>0</v>
      </c>
      <c r="E705">
        <v>0.27531913717484241</v>
      </c>
      <c r="F705">
        <f t="shared" si="42"/>
        <v>0</v>
      </c>
      <c r="G705" t="b">
        <f t="shared" si="43"/>
        <v>1</v>
      </c>
      <c r="H705">
        <v>0.50898834908674495</v>
      </c>
    </row>
    <row r="706" spans="1:8" x14ac:dyDescent="0.35">
      <c r="A706" s="13">
        <v>43388</v>
      </c>
      <c r="B706" s="14">
        <v>5095.07</v>
      </c>
      <c r="C706" s="2">
        <f t="shared" si="40"/>
        <v>-1.7857212940397549E-4</v>
      </c>
      <c r="D706">
        <f t="shared" si="41"/>
        <v>0</v>
      </c>
      <c r="E706">
        <v>0.23032795565005759</v>
      </c>
      <c r="F706">
        <f t="shared" si="42"/>
        <v>0</v>
      </c>
      <c r="G706" t="b">
        <f t="shared" si="43"/>
        <v>1</v>
      </c>
      <c r="H706">
        <v>0.50898831843099823</v>
      </c>
    </row>
    <row r="707" spans="1:8" x14ac:dyDescent="0.35">
      <c r="A707" s="13">
        <v>43389</v>
      </c>
      <c r="B707" s="14">
        <v>5173.05</v>
      </c>
      <c r="C707" s="2">
        <f t="shared" si="40"/>
        <v>1.5304990902970994E-2</v>
      </c>
      <c r="D707">
        <f t="shared" si="41"/>
        <v>1</v>
      </c>
      <c r="E707">
        <v>0.20041214739136717</v>
      </c>
      <c r="F707">
        <f t="shared" si="42"/>
        <v>0</v>
      </c>
      <c r="G707" t="b">
        <f t="shared" si="43"/>
        <v>0</v>
      </c>
      <c r="H707">
        <v>0.50898841266311856</v>
      </c>
    </row>
    <row r="708" spans="1:8" x14ac:dyDescent="0.35">
      <c r="A708" s="13">
        <v>43390</v>
      </c>
      <c r="B708" s="14">
        <v>5144.95</v>
      </c>
      <c r="C708" s="2">
        <f t="shared" ref="C708:C735" si="44">(B708/B707)-1</f>
        <v>-5.431998530847415E-3</v>
      </c>
      <c r="D708">
        <f t="shared" si="41"/>
        <v>0</v>
      </c>
      <c r="E708">
        <v>0.30421057691559777</v>
      </c>
      <c r="F708">
        <f t="shared" si="42"/>
        <v>0</v>
      </c>
      <c r="G708" t="b">
        <f t="shared" si="43"/>
        <v>1</v>
      </c>
      <c r="H708">
        <v>0.50898836542098358</v>
      </c>
    </row>
    <row r="709" spans="1:8" x14ac:dyDescent="0.35">
      <c r="A709" s="13">
        <v>43391</v>
      </c>
      <c r="B709" s="14">
        <v>5116.79</v>
      </c>
      <c r="C709" s="2">
        <f t="shared" si="44"/>
        <v>-5.4733282150457585E-3</v>
      </c>
      <c r="D709">
        <f t="shared" si="41"/>
        <v>0</v>
      </c>
      <c r="E709">
        <v>0.24839093639386947</v>
      </c>
      <c r="F709">
        <f t="shared" si="42"/>
        <v>0</v>
      </c>
      <c r="G709" t="b">
        <f t="shared" si="43"/>
        <v>1</v>
      </c>
      <c r="H709">
        <v>0.50898833177411817</v>
      </c>
    </row>
    <row r="710" spans="1:8" x14ac:dyDescent="0.35">
      <c r="A710" s="13">
        <v>43392</v>
      </c>
      <c r="B710" s="14">
        <v>5084.66</v>
      </c>
      <c r="C710" s="2">
        <f t="shared" si="44"/>
        <v>-6.2793274689796341E-3</v>
      </c>
      <c r="D710">
        <f t="shared" ref="D710:D735" si="45">IF(C710&gt;=0,1,0)</f>
        <v>0</v>
      </c>
      <c r="E710">
        <v>0.21272221924824833</v>
      </c>
      <c r="F710">
        <f t="shared" si="42"/>
        <v>0</v>
      </c>
      <c r="G710" t="b">
        <f t="shared" si="43"/>
        <v>1</v>
      </c>
      <c r="H710">
        <v>0.50898830542437545</v>
      </c>
    </row>
    <row r="711" spans="1:8" x14ac:dyDescent="0.35">
      <c r="A711" s="13">
        <v>43395</v>
      </c>
      <c r="B711" s="14">
        <v>5053.3100000000004</v>
      </c>
      <c r="C711" s="2">
        <f t="shared" si="44"/>
        <v>-6.1656039931872186E-3</v>
      </c>
      <c r="D711">
        <f t="shared" si="45"/>
        <v>0</v>
      </c>
      <c r="E711">
        <v>0.18797935901541213</v>
      </c>
      <c r="F711">
        <f t="shared" si="42"/>
        <v>0</v>
      </c>
      <c r="G711" t="b">
        <f t="shared" si="43"/>
        <v>1</v>
      </c>
      <c r="H711">
        <v>0.50898828402445317</v>
      </c>
    </row>
    <row r="712" spans="1:8" x14ac:dyDescent="0.35">
      <c r="A712" s="13">
        <v>43396</v>
      </c>
      <c r="B712" s="14">
        <v>4967.6899999999996</v>
      </c>
      <c r="C712" s="2">
        <f t="shared" si="44"/>
        <v>-1.694335000227587E-2</v>
      </c>
      <c r="D712">
        <f t="shared" si="45"/>
        <v>0</v>
      </c>
      <c r="E712">
        <v>0.16971541514831917</v>
      </c>
      <c r="F712">
        <f t="shared" si="42"/>
        <v>0</v>
      </c>
      <c r="G712" t="b">
        <f t="shared" si="43"/>
        <v>1</v>
      </c>
      <c r="H712">
        <v>0.50898826599515878</v>
      </c>
    </row>
    <row r="713" spans="1:8" x14ac:dyDescent="0.35">
      <c r="A713" s="13">
        <v>43397</v>
      </c>
      <c r="B713" s="14">
        <v>4953.09</v>
      </c>
      <c r="C713" s="2">
        <f t="shared" si="44"/>
        <v>-2.9389917647839603E-3</v>
      </c>
      <c r="D713">
        <f t="shared" si="45"/>
        <v>0</v>
      </c>
      <c r="E713">
        <v>0.15560194217279946</v>
      </c>
      <c r="F713">
        <f t="shared" ref="F713:F735" si="46">IF(E713&gt;=0.5,1,0)</f>
        <v>0</v>
      </c>
      <c r="G713" t="b">
        <f t="shared" ref="G713:G735" si="47">IF(D713=F713,TRUE,FALSE)</f>
        <v>1</v>
      </c>
      <c r="H713">
        <v>0.50898825066119735</v>
      </c>
    </row>
    <row r="714" spans="1:8" x14ac:dyDescent="0.35">
      <c r="A714" s="13">
        <v>43398</v>
      </c>
      <c r="B714" s="14">
        <v>5032.3</v>
      </c>
      <c r="C714" s="2">
        <f t="shared" si="44"/>
        <v>1.5992037293891315E-2</v>
      </c>
      <c r="D714">
        <f t="shared" si="45"/>
        <v>1</v>
      </c>
      <c r="E714">
        <v>0.14431296101511235</v>
      </c>
      <c r="F714">
        <f t="shared" si="46"/>
        <v>0</v>
      </c>
      <c r="G714" t="b">
        <f t="shared" si="47"/>
        <v>0</v>
      </c>
      <c r="H714">
        <v>0.50898832767717561</v>
      </c>
    </row>
    <row r="715" spans="1:8" x14ac:dyDescent="0.35">
      <c r="A715" s="13">
        <v>43402</v>
      </c>
      <c r="B715" s="14">
        <v>4989.3500000000004</v>
      </c>
      <c r="C715" s="2">
        <f t="shared" si="44"/>
        <v>-8.5348647735628003E-3</v>
      </c>
      <c r="D715">
        <f t="shared" si="45"/>
        <v>0</v>
      </c>
      <c r="E715">
        <v>0.21051355967684116</v>
      </c>
      <c r="F715">
        <f t="shared" si="46"/>
        <v>0</v>
      </c>
      <c r="G715" t="b">
        <f t="shared" si="47"/>
        <v>1</v>
      </c>
      <c r="H715">
        <v>0.50898830233143588</v>
      </c>
    </row>
    <row r="716" spans="1:8" x14ac:dyDescent="0.35">
      <c r="A716" s="13">
        <v>43403</v>
      </c>
      <c r="B716" s="14">
        <v>4978.53</v>
      </c>
      <c r="C716" s="2">
        <f t="shared" si="44"/>
        <v>-2.1686191588083936E-3</v>
      </c>
      <c r="D716">
        <f t="shared" si="45"/>
        <v>0</v>
      </c>
      <c r="E716">
        <v>0.18638762045562685</v>
      </c>
      <c r="F716">
        <f t="shared" si="46"/>
        <v>0</v>
      </c>
      <c r="G716" t="b">
        <f t="shared" si="47"/>
        <v>1</v>
      </c>
      <c r="H716">
        <v>0.50898828185587719</v>
      </c>
    </row>
    <row r="717" spans="1:8" x14ac:dyDescent="0.35">
      <c r="A717" s="13">
        <v>43404</v>
      </c>
      <c r="B717" s="14">
        <v>5093.4399999999996</v>
      </c>
      <c r="C717" s="2">
        <f t="shared" si="44"/>
        <v>2.3081110287574758E-2</v>
      </c>
      <c r="D717">
        <f t="shared" si="45"/>
        <v>1</v>
      </c>
      <c r="E717">
        <v>0.16850730214285978</v>
      </c>
      <c r="F717">
        <f t="shared" si="46"/>
        <v>0</v>
      </c>
      <c r="G717" t="b">
        <f t="shared" si="47"/>
        <v>0</v>
      </c>
      <c r="H717">
        <v>0.50898836679403003</v>
      </c>
    </row>
    <row r="718" spans="1:8" x14ac:dyDescent="0.35">
      <c r="A718" s="13">
        <v>43405</v>
      </c>
      <c r="B718" s="14">
        <v>5085.78</v>
      </c>
      <c r="C718" s="2">
        <f t="shared" si="44"/>
        <v>-1.5038952063830546E-3</v>
      </c>
      <c r="D718">
        <f t="shared" si="45"/>
        <v>0</v>
      </c>
      <c r="E718">
        <v>0.25147000113220147</v>
      </c>
      <c r="F718">
        <f t="shared" si="46"/>
        <v>0</v>
      </c>
      <c r="G718" t="b">
        <f t="shared" si="47"/>
        <v>1</v>
      </c>
      <c r="H718">
        <v>0.50898833266048693</v>
      </c>
    </row>
    <row r="719" spans="1:8" x14ac:dyDescent="0.35">
      <c r="A719" s="13">
        <v>43409</v>
      </c>
      <c r="B719" s="14">
        <v>5101.3900000000003</v>
      </c>
      <c r="C719" s="2">
        <f t="shared" si="44"/>
        <v>3.0693423624301719E-3</v>
      </c>
      <c r="D719">
        <f t="shared" si="45"/>
        <v>1</v>
      </c>
      <c r="E719">
        <v>0.21477882013021757</v>
      </c>
      <c r="F719">
        <f t="shared" si="46"/>
        <v>0</v>
      </c>
      <c r="G719" t="b">
        <f t="shared" si="47"/>
        <v>0</v>
      </c>
      <c r="H719">
        <v>0.50898842631233632</v>
      </c>
    </row>
    <row r="720" spans="1:8" x14ac:dyDescent="0.35">
      <c r="A720" s="13">
        <v>43410</v>
      </c>
      <c r="B720" s="14">
        <v>5075.1899999999996</v>
      </c>
      <c r="C720" s="2">
        <f t="shared" si="44"/>
        <v>-5.1358551296805111E-3</v>
      </c>
      <c r="D720">
        <f t="shared" si="45"/>
        <v>0</v>
      </c>
      <c r="E720">
        <v>0.32714540627461447</v>
      </c>
      <c r="F720">
        <f t="shared" si="46"/>
        <v>0</v>
      </c>
      <c r="G720" t="b">
        <f t="shared" si="47"/>
        <v>1</v>
      </c>
      <c r="H720">
        <v>0.50898837568394539</v>
      </c>
    </row>
    <row r="721" spans="1:8" x14ac:dyDescent="0.35">
      <c r="A721" s="13">
        <v>43411</v>
      </c>
      <c r="B721" s="14">
        <v>5137.9399999999996</v>
      </c>
      <c r="C721" s="2">
        <f t="shared" si="44"/>
        <v>1.2364069128446342E-2</v>
      </c>
      <c r="D721">
        <f t="shared" si="45"/>
        <v>1</v>
      </c>
      <c r="E721">
        <v>0.26226413604330956</v>
      </c>
      <c r="F721">
        <f t="shared" si="46"/>
        <v>0</v>
      </c>
      <c r="G721" t="b">
        <f t="shared" si="47"/>
        <v>0</v>
      </c>
      <c r="H721">
        <v>0.50898847369991251</v>
      </c>
    </row>
    <row r="722" spans="1:8" x14ac:dyDescent="0.35">
      <c r="A722" s="13">
        <v>43412</v>
      </c>
      <c r="B722" s="14">
        <v>5131.45</v>
      </c>
      <c r="C722" s="2">
        <f t="shared" si="44"/>
        <v>-1.2631521582578964E-3</v>
      </c>
      <c r="D722">
        <f t="shared" si="45"/>
        <v>0</v>
      </c>
      <c r="E722">
        <v>0.39804852404956687</v>
      </c>
      <c r="F722">
        <f t="shared" si="46"/>
        <v>0</v>
      </c>
      <c r="G722" t="b">
        <f t="shared" si="47"/>
        <v>1</v>
      </c>
      <c r="H722">
        <v>0.50898840842379611</v>
      </c>
    </row>
    <row r="723" spans="1:8" x14ac:dyDescent="0.35">
      <c r="A723" s="13">
        <v>43413</v>
      </c>
      <c r="B723" s="14">
        <v>5106.75</v>
      </c>
      <c r="C723" s="2">
        <f t="shared" si="44"/>
        <v>-4.813454286800023E-3</v>
      </c>
      <c r="D723">
        <f t="shared" si="45"/>
        <v>0</v>
      </c>
      <c r="E723">
        <v>0.30392397553574579</v>
      </c>
      <c r="F723">
        <f t="shared" si="46"/>
        <v>0</v>
      </c>
      <c r="G723" t="b">
        <f t="shared" si="47"/>
        <v>1</v>
      </c>
      <c r="H723">
        <v>0.50898836413734194</v>
      </c>
    </row>
    <row r="724" spans="1:8" x14ac:dyDescent="0.35">
      <c r="A724" s="13">
        <v>43416</v>
      </c>
      <c r="B724" s="14">
        <v>5059.09</v>
      </c>
      <c r="C724" s="2">
        <f t="shared" si="44"/>
        <v>-9.3327458755568804E-3</v>
      </c>
      <c r="D724">
        <f t="shared" si="45"/>
        <v>0</v>
      </c>
      <c r="E724">
        <v>0.24821648637230037</v>
      </c>
      <c r="F724">
        <f t="shared" si="46"/>
        <v>0</v>
      </c>
      <c r="G724" t="b">
        <f t="shared" si="47"/>
        <v>1</v>
      </c>
      <c r="H724">
        <v>0.5089883317539432</v>
      </c>
    </row>
    <row r="725" spans="1:8" x14ac:dyDescent="0.35">
      <c r="A725" s="13">
        <v>43417</v>
      </c>
      <c r="B725" s="14">
        <v>5101.8500000000004</v>
      </c>
      <c r="C725" s="2">
        <f t="shared" si="44"/>
        <v>8.4521129294004016E-3</v>
      </c>
      <c r="D725">
        <f t="shared" si="45"/>
        <v>1</v>
      </c>
      <c r="E725">
        <v>0.21260617835795004</v>
      </c>
      <c r="F725">
        <f t="shared" si="46"/>
        <v>0</v>
      </c>
      <c r="G725" t="b">
        <f t="shared" si="47"/>
        <v>0</v>
      </c>
      <c r="H725">
        <v>0.50898842313147996</v>
      </c>
    </row>
    <row r="726" spans="1:8" x14ac:dyDescent="0.35">
      <c r="A726" s="13">
        <v>43418</v>
      </c>
      <c r="B726" s="14">
        <v>5068.8500000000004</v>
      </c>
      <c r="C726" s="2">
        <f t="shared" si="44"/>
        <v>-6.4682419122474855E-3</v>
      </c>
      <c r="D726">
        <f t="shared" si="45"/>
        <v>0</v>
      </c>
      <c r="E726">
        <v>0.32371396703752142</v>
      </c>
      <c r="F726">
        <f t="shared" si="46"/>
        <v>0</v>
      </c>
      <c r="G726" t="b">
        <f t="shared" si="47"/>
        <v>1</v>
      </c>
      <c r="H726">
        <v>0.50898837421017251</v>
      </c>
    </row>
    <row r="727" spans="1:8" x14ac:dyDescent="0.35">
      <c r="A727" s="13">
        <v>43420</v>
      </c>
      <c r="B727" s="14">
        <v>5025.2</v>
      </c>
      <c r="C727" s="2">
        <f t="shared" si="44"/>
        <v>-8.6114207364590412E-3</v>
      </c>
      <c r="D727">
        <f t="shared" si="45"/>
        <v>0</v>
      </c>
      <c r="E727">
        <v>0.26021045984995439</v>
      </c>
      <c r="F727">
        <f t="shared" si="46"/>
        <v>0</v>
      </c>
      <c r="G727" t="b">
        <f t="shared" si="47"/>
        <v>1</v>
      </c>
      <c r="H727">
        <v>0.50898833857770043</v>
      </c>
    </row>
    <row r="728" spans="1:8" x14ac:dyDescent="0.35">
      <c r="A728" s="13">
        <v>43423</v>
      </c>
      <c r="B728" s="14">
        <v>4985.45</v>
      </c>
      <c r="C728" s="2">
        <f t="shared" si="44"/>
        <v>-7.9101329300326206E-3</v>
      </c>
      <c r="D728">
        <f t="shared" si="45"/>
        <v>0</v>
      </c>
      <c r="E728">
        <v>0.2205539749895411</v>
      </c>
      <c r="F728">
        <f t="shared" si="46"/>
        <v>0</v>
      </c>
      <c r="G728" t="b">
        <f t="shared" si="47"/>
        <v>1</v>
      </c>
      <c r="H728">
        <v>0.50898831146180445</v>
      </c>
    </row>
    <row r="729" spans="1:8" x14ac:dyDescent="0.35">
      <c r="A729" s="13">
        <v>43424</v>
      </c>
      <c r="B729" s="14">
        <v>4924.8900000000003</v>
      </c>
      <c r="C729" s="2">
        <f t="shared" si="44"/>
        <v>-1.2147348784964151E-2</v>
      </c>
      <c r="D729">
        <f t="shared" si="45"/>
        <v>0</v>
      </c>
      <c r="E729">
        <v>0.19356623640755774</v>
      </c>
      <c r="F729">
        <f t="shared" si="46"/>
        <v>0</v>
      </c>
      <c r="G729" t="b">
        <f t="shared" si="47"/>
        <v>1</v>
      </c>
      <c r="H729">
        <v>0.50898828945044949</v>
      </c>
    </row>
    <row r="730" spans="1:8" x14ac:dyDescent="0.35">
      <c r="A730" s="13">
        <v>43425</v>
      </c>
      <c r="B730" s="14">
        <v>4975.5</v>
      </c>
      <c r="C730" s="2">
        <f t="shared" si="44"/>
        <v>1.0276371655001393E-2</v>
      </c>
      <c r="D730">
        <f t="shared" si="45"/>
        <v>1</v>
      </c>
      <c r="E730">
        <v>0.17392427264935997</v>
      </c>
      <c r="F730">
        <f t="shared" si="46"/>
        <v>0</v>
      </c>
      <c r="G730" t="b">
        <f t="shared" si="47"/>
        <v>0</v>
      </c>
      <c r="H730">
        <v>0.50898837509492911</v>
      </c>
    </row>
    <row r="731" spans="1:8" x14ac:dyDescent="0.35">
      <c r="A731" s="13">
        <v>43426</v>
      </c>
      <c r="B731" s="14">
        <v>4938.1400000000003</v>
      </c>
      <c r="C731" s="2">
        <f t="shared" si="44"/>
        <v>-7.5087930861219565E-3</v>
      </c>
      <c r="D731">
        <f t="shared" si="45"/>
        <v>0</v>
      </c>
      <c r="E731">
        <v>0.26055793589021414</v>
      </c>
      <c r="F731">
        <f t="shared" si="46"/>
        <v>0</v>
      </c>
      <c r="G731" t="b">
        <f t="shared" si="47"/>
        <v>1</v>
      </c>
      <c r="H731">
        <v>0.50898833848078151</v>
      </c>
    </row>
    <row r="732" spans="1:8" x14ac:dyDescent="0.35">
      <c r="A732" s="13">
        <v>43427</v>
      </c>
      <c r="B732" s="14">
        <v>4946.95</v>
      </c>
      <c r="C732" s="2">
        <f t="shared" si="44"/>
        <v>1.7840725455331441E-3</v>
      </c>
      <c r="D732">
        <f t="shared" si="45"/>
        <v>1</v>
      </c>
      <c r="E732">
        <v>0.22078185873397077</v>
      </c>
      <c r="F732">
        <f t="shared" si="46"/>
        <v>0</v>
      </c>
      <c r="G732" t="b">
        <f t="shared" si="47"/>
        <v>0</v>
      </c>
      <c r="H732">
        <v>0.50898843374153535</v>
      </c>
    </row>
    <row r="733" spans="1:8" x14ac:dyDescent="0.35">
      <c r="A733" s="13">
        <v>43430</v>
      </c>
      <c r="B733" s="14">
        <v>4994.9799999999996</v>
      </c>
      <c r="C733" s="2">
        <f t="shared" si="44"/>
        <v>9.7090126239398611E-3</v>
      </c>
      <c r="D733">
        <f t="shared" si="45"/>
        <v>1</v>
      </c>
      <c r="E733">
        <v>0.33654055565863539</v>
      </c>
      <c r="F733">
        <f t="shared" si="46"/>
        <v>0</v>
      </c>
      <c r="G733" t="b">
        <f t="shared" si="47"/>
        <v>0</v>
      </c>
      <c r="H733">
        <v>0.50898853642495767</v>
      </c>
    </row>
    <row r="734" spans="1:8" x14ac:dyDescent="0.35">
      <c r="A734" s="13">
        <v>43431</v>
      </c>
      <c r="B734" s="14">
        <v>4983.1499999999996</v>
      </c>
      <c r="C734" s="2">
        <f t="shared" si="44"/>
        <v>-2.3683778513627907E-3</v>
      </c>
      <c r="D734">
        <f t="shared" si="45"/>
        <v>0</v>
      </c>
      <c r="E734">
        <v>0.49153505173889345</v>
      </c>
      <c r="F734">
        <f t="shared" si="46"/>
        <v>0</v>
      </c>
      <c r="G734" t="b">
        <f t="shared" si="47"/>
        <v>1</v>
      </c>
      <c r="H734">
        <v>0.50898845174731799</v>
      </c>
    </row>
    <row r="735" spans="1:8" x14ac:dyDescent="0.35">
      <c r="A735" s="15">
        <v>43432</v>
      </c>
      <c r="B735" s="16">
        <v>4983.24</v>
      </c>
      <c r="C735" s="2">
        <f t="shared" si="44"/>
        <v>1.8060865115465674E-5</v>
      </c>
      <c r="D735">
        <f t="shared" si="45"/>
        <v>1</v>
      </c>
      <c r="E735">
        <v>0.36144639896468939</v>
      </c>
      <c r="F735">
        <f t="shared" si="46"/>
        <v>0</v>
      </c>
      <c r="G735" t="b">
        <f t="shared" si="47"/>
        <v>0</v>
      </c>
      <c r="H735">
        <v>0.5089885530528957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0449-EC2C-4282-88DA-E11639E7753E}">
  <sheetPr codeName="Feuil4"/>
  <dimension ref="A1:L735"/>
  <sheetViews>
    <sheetView workbookViewId="0">
      <selection activeCell="K11" sqref="K11:L13"/>
    </sheetView>
  </sheetViews>
  <sheetFormatPr baseColWidth="10" defaultRowHeight="14.5" x14ac:dyDescent="0.35"/>
  <cols>
    <col min="10" max="10" width="19.453125" customWidth="1"/>
    <col min="11" max="11" width="13.7265625" customWidth="1"/>
  </cols>
  <sheetData>
    <row r="1" spans="1:12" x14ac:dyDescent="0.35">
      <c r="A1" s="5" t="s">
        <v>0</v>
      </c>
      <c r="B1" s="5" t="s">
        <v>1</v>
      </c>
      <c r="C1" s="5" t="s">
        <v>2</v>
      </c>
      <c r="D1" s="5" t="s">
        <v>31</v>
      </c>
      <c r="E1" s="5" t="s">
        <v>32</v>
      </c>
      <c r="F1" s="5" t="s">
        <v>33</v>
      </c>
      <c r="G1" s="5" t="s">
        <v>34</v>
      </c>
      <c r="H1" s="5" t="s">
        <v>36</v>
      </c>
    </row>
    <row r="2" spans="1:12" x14ac:dyDescent="0.35">
      <c r="A2" s="11">
        <v>42373</v>
      </c>
      <c r="B2" s="12">
        <v>4522.45</v>
      </c>
      <c r="C2" s="8"/>
      <c r="D2" s="8"/>
      <c r="E2" s="8"/>
      <c r="F2" s="8"/>
      <c r="G2" s="8"/>
      <c r="H2" s="8"/>
    </row>
    <row r="3" spans="1:12" x14ac:dyDescent="0.35">
      <c r="A3" s="13">
        <v>42374</v>
      </c>
      <c r="B3" s="14">
        <v>4537.63</v>
      </c>
      <c r="C3" s="2">
        <f>(B3/B2)-1</f>
        <v>3.356587690300783E-3</v>
      </c>
      <c r="D3" s="8"/>
      <c r="E3" s="8"/>
      <c r="F3" s="8"/>
      <c r="G3" s="8"/>
      <c r="H3" s="8"/>
      <c r="J3" s="22"/>
      <c r="K3" s="22"/>
    </row>
    <row r="4" spans="1:12" x14ac:dyDescent="0.35">
      <c r="A4" s="13">
        <v>42375</v>
      </c>
      <c r="B4" s="14">
        <v>4480.47</v>
      </c>
      <c r="C4" s="2">
        <f t="shared" ref="C4:C67" si="0">(B4/B3)-1</f>
        <v>-1.2596884276593667E-2</v>
      </c>
      <c r="D4" s="8"/>
      <c r="E4" s="8"/>
      <c r="F4" s="8"/>
      <c r="G4" s="8"/>
      <c r="H4" s="8"/>
      <c r="J4" s="28"/>
      <c r="K4" s="28"/>
    </row>
    <row r="5" spans="1:12" x14ac:dyDescent="0.35">
      <c r="A5" s="13">
        <v>42376</v>
      </c>
      <c r="B5" s="14">
        <v>4403.58</v>
      </c>
      <c r="C5" s="2">
        <f t="shared" si="0"/>
        <v>-1.7161146040482467E-2</v>
      </c>
      <c r="D5">
        <f>IF(C5&gt;=0,1,0)</f>
        <v>0</v>
      </c>
      <c r="E5" s="24"/>
      <c r="F5">
        <f t="shared" ref="F5:F7" si="1">IF(E5&gt;=0.5,1,0)</f>
        <v>0</v>
      </c>
      <c r="G5" t="b">
        <f t="shared" ref="G5:G7" si="2">IF(D5=F5,TRUE,FALSE)</f>
        <v>1</v>
      </c>
      <c r="H5" s="24"/>
    </row>
    <row r="6" spans="1:12" x14ac:dyDescent="0.35">
      <c r="A6" s="13">
        <v>42377</v>
      </c>
      <c r="B6" s="14">
        <v>4333.76</v>
      </c>
      <c r="C6" s="2">
        <f t="shared" si="0"/>
        <v>-1.58552813846915E-2</v>
      </c>
      <c r="D6">
        <f t="shared" ref="D6:D69" si="3">IF(C6&gt;=0,1,0)</f>
        <v>0</v>
      </c>
      <c r="E6" s="24"/>
      <c r="F6">
        <f t="shared" si="1"/>
        <v>0</v>
      </c>
      <c r="G6" t="b">
        <f t="shared" si="2"/>
        <v>1</v>
      </c>
      <c r="H6" s="24"/>
    </row>
    <row r="7" spans="1:12" x14ac:dyDescent="0.35">
      <c r="A7" s="13">
        <v>42380</v>
      </c>
      <c r="B7" s="14">
        <v>4312.74</v>
      </c>
      <c r="C7" s="2">
        <f t="shared" si="0"/>
        <v>-4.8502916635901894E-3</v>
      </c>
      <c r="D7">
        <f t="shared" si="3"/>
        <v>0</v>
      </c>
      <c r="E7" s="24"/>
      <c r="F7">
        <f t="shared" si="1"/>
        <v>0</v>
      </c>
      <c r="G7" t="b">
        <f t="shared" si="2"/>
        <v>1</v>
      </c>
      <c r="H7" s="24"/>
      <c r="J7" s="21" t="s">
        <v>35</v>
      </c>
    </row>
    <row r="8" spans="1:12" x14ac:dyDescent="0.35">
      <c r="A8" s="13">
        <v>42381</v>
      </c>
      <c r="B8" s="14">
        <v>4378.75</v>
      </c>
      <c r="C8" s="2">
        <f t="shared" si="0"/>
        <v>1.5305814864795986E-2</v>
      </c>
      <c r="D8">
        <f t="shared" si="3"/>
        <v>1</v>
      </c>
      <c r="F8">
        <f>IF(E8&gt;=0.5,1,0)</f>
        <v>0</v>
      </c>
      <c r="G8" t="b">
        <f>IF(D8=F8,TRUE,FALSE)</f>
        <v>0</v>
      </c>
      <c r="J8" s="10">
        <v>0.53138075313807531</v>
      </c>
    </row>
    <row r="9" spans="1:12" x14ac:dyDescent="0.35">
      <c r="A9" s="13">
        <v>42382</v>
      </c>
      <c r="B9" s="14">
        <v>4391.9399999999996</v>
      </c>
      <c r="C9" s="2">
        <f t="shared" si="0"/>
        <v>3.0122751926919822E-3</v>
      </c>
      <c r="D9">
        <f t="shared" si="3"/>
        <v>1</v>
      </c>
      <c r="F9">
        <f t="shared" ref="F9:F72" si="4">IF(E9&gt;=0.5,1,0)</f>
        <v>0</v>
      </c>
      <c r="G9" t="b">
        <f t="shared" ref="G9:G72" si="5">IF(D9=F9,TRUE,FALSE)</f>
        <v>0</v>
      </c>
    </row>
    <row r="10" spans="1:12" x14ac:dyDescent="0.35">
      <c r="A10" s="13">
        <v>42383</v>
      </c>
      <c r="B10" s="14">
        <v>4312.8900000000003</v>
      </c>
      <c r="C10" s="2">
        <f t="shared" si="0"/>
        <v>-1.7998879766116804E-2</v>
      </c>
      <c r="D10">
        <f t="shared" si="3"/>
        <v>0</v>
      </c>
      <c r="F10">
        <f t="shared" si="4"/>
        <v>0</v>
      </c>
      <c r="G10" t="b">
        <f t="shared" si="5"/>
        <v>1</v>
      </c>
    </row>
    <row r="11" spans="1:12" x14ac:dyDescent="0.35">
      <c r="A11" s="13">
        <v>42384</v>
      </c>
      <c r="B11" s="14">
        <v>4210.16</v>
      </c>
      <c r="C11" s="2">
        <f t="shared" si="0"/>
        <v>-2.3819295182580746E-2</v>
      </c>
      <c r="D11">
        <f t="shared" si="3"/>
        <v>0</v>
      </c>
      <c r="F11">
        <f t="shared" si="4"/>
        <v>0</v>
      </c>
      <c r="G11" t="b">
        <f t="shared" si="5"/>
        <v>1</v>
      </c>
      <c r="K11" s="24"/>
      <c r="L11" s="24"/>
    </row>
    <row r="12" spans="1:12" x14ac:dyDescent="0.35">
      <c r="A12" s="13">
        <v>42387</v>
      </c>
      <c r="B12" s="14">
        <v>4189.57</v>
      </c>
      <c r="C12" s="2">
        <f t="shared" si="0"/>
        <v>-4.8905504778916642E-3</v>
      </c>
      <c r="D12">
        <f t="shared" si="3"/>
        <v>0</v>
      </c>
      <c r="E12">
        <v>0.94598059785460598</v>
      </c>
      <c r="F12">
        <f t="shared" si="4"/>
        <v>1</v>
      </c>
      <c r="G12" t="b">
        <f t="shared" si="5"/>
        <v>0</v>
      </c>
      <c r="H12">
        <v>0.37794343935042457</v>
      </c>
      <c r="K12" s="29"/>
      <c r="L12" s="40"/>
    </row>
    <row r="13" spans="1:12" x14ac:dyDescent="0.35">
      <c r="A13" s="13">
        <v>42388</v>
      </c>
      <c r="B13" s="14">
        <v>4272.26</v>
      </c>
      <c r="C13" s="2">
        <f t="shared" si="0"/>
        <v>1.9737109058925117E-2</v>
      </c>
      <c r="D13">
        <f t="shared" si="3"/>
        <v>1</v>
      </c>
      <c r="E13">
        <v>0.94034953861591419</v>
      </c>
      <c r="F13">
        <f>IF(E13&gt;=0.5,1,0)</f>
        <v>1</v>
      </c>
      <c r="G13" t="b">
        <f t="shared" si="5"/>
        <v>1</v>
      </c>
      <c r="H13">
        <v>0.37794343210478848</v>
      </c>
      <c r="K13" s="29"/>
      <c r="L13" s="40"/>
    </row>
    <row r="14" spans="1:12" x14ac:dyDescent="0.35">
      <c r="A14" s="13">
        <v>42389</v>
      </c>
      <c r="B14" s="14">
        <v>4124.95</v>
      </c>
      <c r="C14" s="2">
        <f t="shared" si="0"/>
        <v>-3.4480579365488095E-2</v>
      </c>
      <c r="D14">
        <f t="shared" si="3"/>
        <v>0</v>
      </c>
      <c r="E14">
        <v>0.93775851185648196</v>
      </c>
      <c r="F14">
        <f t="shared" si="4"/>
        <v>1</v>
      </c>
      <c r="G14" t="b">
        <f t="shared" si="5"/>
        <v>0</v>
      </c>
      <c r="H14">
        <v>0.37794340984126146</v>
      </c>
    </row>
    <row r="15" spans="1:12" x14ac:dyDescent="0.35">
      <c r="A15" s="13">
        <v>42390</v>
      </c>
      <c r="B15" s="14">
        <v>4206.3999999999996</v>
      </c>
      <c r="C15" s="2">
        <f t="shared" si="0"/>
        <v>1.974569388719849E-2</v>
      </c>
      <c r="D15">
        <f t="shared" si="3"/>
        <v>1</v>
      </c>
      <c r="E15">
        <v>0.92896445309636255</v>
      </c>
      <c r="F15">
        <f t="shared" si="4"/>
        <v>1</v>
      </c>
      <c r="G15" t="b">
        <f t="shared" si="5"/>
        <v>1</v>
      </c>
      <c r="H15">
        <v>0.37794340033519191</v>
      </c>
    </row>
    <row r="16" spans="1:12" x14ac:dyDescent="0.35">
      <c r="A16" s="13">
        <v>42391</v>
      </c>
      <c r="B16" s="14">
        <v>4336.6899999999996</v>
      </c>
      <c r="C16" s="2">
        <f t="shared" si="0"/>
        <v>3.0974229745150295E-2</v>
      </c>
      <c r="D16">
        <f t="shared" si="3"/>
        <v>1</v>
      </c>
      <c r="E16">
        <v>0.92486094625823467</v>
      </c>
      <c r="F16">
        <f t="shared" si="4"/>
        <v>1</v>
      </c>
      <c r="G16" t="b">
        <f t="shared" si="5"/>
        <v>1</v>
      </c>
      <c r="H16">
        <v>0.37794339734730215</v>
      </c>
    </row>
    <row r="17" spans="1:8" x14ac:dyDescent="0.35">
      <c r="A17" s="13">
        <v>42394</v>
      </c>
      <c r="B17" s="14">
        <v>4311.33</v>
      </c>
      <c r="C17" s="2">
        <f t="shared" si="0"/>
        <v>-5.8477779135699404E-3</v>
      </c>
      <c r="D17">
        <f t="shared" si="3"/>
        <v>0</v>
      </c>
      <c r="E17">
        <v>0.92353331927822702</v>
      </c>
      <c r="F17">
        <f t="shared" si="4"/>
        <v>1</v>
      </c>
      <c r="G17" t="b">
        <f t="shared" si="5"/>
        <v>0</v>
      </c>
      <c r="H17">
        <v>0.37794337349474244</v>
      </c>
    </row>
    <row r="18" spans="1:8" x14ac:dyDescent="0.35">
      <c r="A18" s="13">
        <v>42395</v>
      </c>
      <c r="B18" s="14">
        <v>4356.8100000000004</v>
      </c>
      <c r="C18" s="2">
        <f t="shared" si="0"/>
        <v>1.0548948932232127E-2</v>
      </c>
      <c r="D18">
        <f t="shared" si="3"/>
        <v>1</v>
      </c>
      <c r="E18">
        <v>0.91215963081411999</v>
      </c>
      <c r="F18">
        <f t="shared" si="4"/>
        <v>1</v>
      </c>
      <c r="G18" t="b">
        <f t="shared" si="5"/>
        <v>1</v>
      </c>
      <c r="H18">
        <v>0.3779433639959231</v>
      </c>
    </row>
    <row r="19" spans="1:8" x14ac:dyDescent="0.35">
      <c r="A19" s="13">
        <v>42396</v>
      </c>
      <c r="B19" s="14">
        <v>4380.3599999999997</v>
      </c>
      <c r="C19" s="2">
        <f t="shared" si="0"/>
        <v>5.405330964627586E-3</v>
      </c>
      <c r="D19">
        <f t="shared" si="3"/>
        <v>1</v>
      </c>
      <c r="E19">
        <v>0.90721210394158269</v>
      </c>
      <c r="F19">
        <f t="shared" si="4"/>
        <v>1</v>
      </c>
      <c r="G19" t="b">
        <f t="shared" si="5"/>
        <v>1</v>
      </c>
      <c r="H19">
        <v>0.37794336184596006</v>
      </c>
    </row>
    <row r="20" spans="1:8" x14ac:dyDescent="0.35">
      <c r="A20" s="13">
        <v>42397</v>
      </c>
      <c r="B20" s="14">
        <v>4322.16</v>
      </c>
      <c r="C20" s="2">
        <f t="shared" si="0"/>
        <v>-1.3286579185272429E-2</v>
      </c>
      <c r="D20">
        <f t="shared" si="3"/>
        <v>0</v>
      </c>
      <c r="E20">
        <v>0.90609741597094684</v>
      </c>
      <c r="F20">
        <f t="shared" si="4"/>
        <v>1</v>
      </c>
      <c r="G20" t="b">
        <f t="shared" si="5"/>
        <v>0</v>
      </c>
      <c r="H20">
        <v>0.37794333465642921</v>
      </c>
    </row>
    <row r="21" spans="1:8" x14ac:dyDescent="0.35">
      <c r="A21" s="13">
        <v>42398</v>
      </c>
      <c r="B21" s="14">
        <v>4417.0200000000004</v>
      </c>
      <c r="C21" s="2">
        <f t="shared" si="0"/>
        <v>2.1947359653506693E-2</v>
      </c>
      <c r="D21">
        <f t="shared" si="3"/>
        <v>1</v>
      </c>
      <c r="E21">
        <v>0.89023333267818805</v>
      </c>
      <c r="F21">
        <f t="shared" si="4"/>
        <v>1</v>
      </c>
      <c r="G21" t="b">
        <f t="shared" si="5"/>
        <v>1</v>
      </c>
      <c r="H21">
        <v>0.37794332471673686</v>
      </c>
    </row>
    <row r="22" spans="1:8" x14ac:dyDescent="0.35">
      <c r="A22" s="13">
        <v>42401</v>
      </c>
      <c r="B22" s="14">
        <v>4392.33</v>
      </c>
      <c r="C22" s="2">
        <f t="shared" si="0"/>
        <v>-5.5897414999254158E-3</v>
      </c>
      <c r="D22">
        <f t="shared" si="3"/>
        <v>0</v>
      </c>
      <c r="E22">
        <v>0.8838620662260287</v>
      </c>
      <c r="F22">
        <f t="shared" si="4"/>
        <v>1</v>
      </c>
      <c r="G22" t="b">
        <f t="shared" si="5"/>
        <v>0</v>
      </c>
      <c r="H22">
        <v>0.37794329022341866</v>
      </c>
    </row>
    <row r="23" spans="1:8" x14ac:dyDescent="0.35">
      <c r="A23" s="13">
        <v>42402</v>
      </c>
      <c r="B23" s="14">
        <v>4283.99</v>
      </c>
      <c r="C23" s="2">
        <f t="shared" si="0"/>
        <v>-2.4665724114536047E-2</v>
      </c>
      <c r="D23">
        <f t="shared" si="3"/>
        <v>0</v>
      </c>
      <c r="E23">
        <v>0.85830046016555805</v>
      </c>
      <c r="F23">
        <f t="shared" si="4"/>
        <v>1</v>
      </c>
      <c r="G23" t="b">
        <f t="shared" si="5"/>
        <v>0</v>
      </c>
      <c r="H23">
        <v>0.37794323723955031</v>
      </c>
    </row>
    <row r="24" spans="1:8" x14ac:dyDescent="0.35">
      <c r="A24" s="13">
        <v>42404</v>
      </c>
      <c r="B24" s="14">
        <v>4228.53</v>
      </c>
      <c r="C24" s="2">
        <f t="shared" si="0"/>
        <v>-1.294587522379842E-2</v>
      </c>
      <c r="D24">
        <f t="shared" si="3"/>
        <v>0</v>
      </c>
      <c r="E24">
        <v>0.81175582857246009</v>
      </c>
      <c r="F24">
        <f t="shared" si="4"/>
        <v>1</v>
      </c>
      <c r="G24" t="b">
        <f t="shared" si="5"/>
        <v>0</v>
      </c>
      <c r="H24">
        <v>0.37794316750359974</v>
      </c>
    </row>
    <row r="25" spans="1:8" x14ac:dyDescent="0.35">
      <c r="A25" s="13">
        <v>42405</v>
      </c>
      <c r="B25" s="14">
        <v>4200.67</v>
      </c>
      <c r="C25" s="2">
        <f t="shared" si="0"/>
        <v>-6.5885780637714442E-3</v>
      </c>
      <c r="D25">
        <f t="shared" si="3"/>
        <v>0</v>
      </c>
      <c r="E25">
        <v>0.735768709442851</v>
      </c>
      <c r="F25">
        <f t="shared" si="4"/>
        <v>1</v>
      </c>
      <c r="G25" t="b">
        <f t="shared" si="5"/>
        <v>0</v>
      </c>
      <c r="H25">
        <v>0.3779430815118861</v>
      </c>
    </row>
    <row r="26" spans="1:8" x14ac:dyDescent="0.35">
      <c r="A26" s="13">
        <v>42408</v>
      </c>
      <c r="B26" s="14">
        <v>4066.31</v>
      </c>
      <c r="C26" s="2">
        <f t="shared" si="0"/>
        <v>-3.1985373761804659E-2</v>
      </c>
      <c r="D26">
        <f t="shared" si="3"/>
        <v>0</v>
      </c>
      <c r="E26">
        <v>0.62197854679431208</v>
      </c>
      <c r="F26">
        <f t="shared" si="4"/>
        <v>1</v>
      </c>
      <c r="G26" t="b">
        <f t="shared" si="5"/>
        <v>0</v>
      </c>
      <c r="H26">
        <v>0.37794298340748933</v>
      </c>
    </row>
    <row r="27" spans="1:8" x14ac:dyDescent="0.35">
      <c r="A27" s="13">
        <v>42409</v>
      </c>
      <c r="B27" s="14">
        <v>3997.54</v>
      </c>
      <c r="C27" s="2">
        <f t="shared" si="0"/>
        <v>-1.6912139015471062E-2</v>
      </c>
      <c r="D27">
        <f t="shared" si="3"/>
        <v>0</v>
      </c>
      <c r="E27">
        <v>0.48047814223034307</v>
      </c>
      <c r="F27">
        <f t="shared" si="4"/>
        <v>0</v>
      </c>
      <c r="G27" t="b">
        <f t="shared" si="5"/>
        <v>1</v>
      </c>
      <c r="H27">
        <v>0.37794288773617946</v>
      </c>
    </row>
    <row r="28" spans="1:8" x14ac:dyDescent="0.35">
      <c r="A28" s="13">
        <v>42410</v>
      </c>
      <c r="B28" s="14">
        <v>4061.2</v>
      </c>
      <c r="C28" s="2">
        <f t="shared" si="0"/>
        <v>1.5924793748155031E-2</v>
      </c>
      <c r="D28">
        <f t="shared" si="3"/>
        <v>1</v>
      </c>
      <c r="E28">
        <v>0.3494203620690311</v>
      </c>
      <c r="F28">
        <f t="shared" si="4"/>
        <v>0</v>
      </c>
      <c r="G28" t="b">
        <f t="shared" si="5"/>
        <v>0</v>
      </c>
      <c r="H28">
        <v>0.3779428970480872</v>
      </c>
    </row>
    <row r="29" spans="1:8" x14ac:dyDescent="0.35">
      <c r="A29" s="13">
        <v>42411</v>
      </c>
      <c r="B29" s="14">
        <v>3896.71</v>
      </c>
      <c r="C29" s="2">
        <f t="shared" si="0"/>
        <v>-4.0502807052102741E-2</v>
      </c>
      <c r="D29">
        <f t="shared" si="3"/>
        <v>0</v>
      </c>
      <c r="E29">
        <v>0.35940934200260705</v>
      </c>
      <c r="F29">
        <f t="shared" si="4"/>
        <v>0</v>
      </c>
      <c r="G29" t="b">
        <f t="shared" si="5"/>
        <v>1</v>
      </c>
      <c r="H29">
        <v>0.37794286905053914</v>
      </c>
    </row>
    <row r="30" spans="1:8" x14ac:dyDescent="0.35">
      <c r="A30" s="13">
        <v>42412</v>
      </c>
      <c r="B30" s="14">
        <v>3995.06</v>
      </c>
      <c r="C30" s="2">
        <f t="shared" si="0"/>
        <v>2.5239240282186826E-2</v>
      </c>
      <c r="D30">
        <f t="shared" si="3"/>
        <v>1</v>
      </c>
      <c r="E30">
        <v>0.32467861065714571</v>
      </c>
      <c r="F30">
        <f t="shared" si="4"/>
        <v>0</v>
      </c>
      <c r="G30" t="b">
        <f t="shared" si="5"/>
        <v>0</v>
      </c>
      <c r="H30">
        <v>0.37794291461135454</v>
      </c>
    </row>
    <row r="31" spans="1:8" x14ac:dyDescent="0.35">
      <c r="A31" s="13">
        <v>42415</v>
      </c>
      <c r="B31" s="14">
        <v>4115.25</v>
      </c>
      <c r="C31" s="2">
        <f t="shared" si="0"/>
        <v>3.0084654548367284E-2</v>
      </c>
      <c r="D31">
        <f t="shared" si="3"/>
        <v>1</v>
      </c>
      <c r="E31">
        <v>0.37888708087468154</v>
      </c>
      <c r="F31">
        <f t="shared" si="4"/>
        <v>0</v>
      </c>
      <c r="G31" t="b">
        <f t="shared" si="5"/>
        <v>0</v>
      </c>
      <c r="H31">
        <v>0.37794299299177697</v>
      </c>
    </row>
    <row r="32" spans="1:8" x14ac:dyDescent="0.35">
      <c r="A32" s="13">
        <v>42416</v>
      </c>
      <c r="B32" s="14">
        <v>4110.66</v>
      </c>
      <c r="C32" s="2">
        <f t="shared" si="0"/>
        <v>-1.1153635866594236E-3</v>
      </c>
      <c r="D32">
        <f t="shared" si="3"/>
        <v>0</v>
      </c>
      <c r="E32">
        <v>0.48423916467860312</v>
      </c>
      <c r="F32">
        <f t="shared" si="4"/>
        <v>0</v>
      </c>
      <c r="G32" t="b">
        <f t="shared" si="5"/>
        <v>1</v>
      </c>
      <c r="H32">
        <v>0.3779429857512846</v>
      </c>
    </row>
    <row r="33" spans="1:8" x14ac:dyDescent="0.35">
      <c r="A33" s="13">
        <v>42417</v>
      </c>
      <c r="B33" s="14">
        <v>4233.47</v>
      </c>
      <c r="C33" s="2">
        <f t="shared" si="0"/>
        <v>2.9875980986021844E-2</v>
      </c>
      <c r="D33">
        <f t="shared" si="3"/>
        <v>1</v>
      </c>
      <c r="E33">
        <v>0.47354489004218431</v>
      </c>
      <c r="F33">
        <f t="shared" si="4"/>
        <v>0</v>
      </c>
      <c r="G33" t="b">
        <f t="shared" si="5"/>
        <v>0</v>
      </c>
      <c r="H33">
        <v>0.3779430316239818</v>
      </c>
    </row>
    <row r="34" spans="1:8" x14ac:dyDescent="0.35">
      <c r="A34" s="13">
        <v>42418</v>
      </c>
      <c r="B34" s="14">
        <v>4239.76</v>
      </c>
      <c r="C34" s="2">
        <f t="shared" si="0"/>
        <v>1.485778805566218E-3</v>
      </c>
      <c r="D34">
        <f t="shared" si="3"/>
        <v>1</v>
      </c>
      <c r="E34">
        <v>0.53828769389744868</v>
      </c>
      <c r="F34">
        <f t="shared" si="4"/>
        <v>1</v>
      </c>
      <c r="G34" t="b">
        <f t="shared" si="5"/>
        <v>1</v>
      </c>
      <c r="H34">
        <v>0.37794309492273548</v>
      </c>
    </row>
    <row r="35" spans="1:8" x14ac:dyDescent="0.35">
      <c r="A35" s="13">
        <v>42419</v>
      </c>
      <c r="B35" s="14">
        <v>4223.04</v>
      </c>
      <c r="C35" s="2">
        <f t="shared" si="0"/>
        <v>-3.9436194501576427E-3</v>
      </c>
      <c r="D35">
        <f t="shared" si="3"/>
        <v>0</v>
      </c>
      <c r="E35">
        <v>0.62933037976909112</v>
      </c>
      <c r="F35">
        <f t="shared" si="4"/>
        <v>1</v>
      </c>
      <c r="G35" t="b">
        <f t="shared" si="5"/>
        <v>0</v>
      </c>
      <c r="H35">
        <v>0.3779430735961759</v>
      </c>
    </row>
    <row r="36" spans="1:8" x14ac:dyDescent="0.35">
      <c r="A36" s="13">
        <v>42422</v>
      </c>
      <c r="B36" s="14">
        <v>4298.7</v>
      </c>
      <c r="C36" s="2">
        <f t="shared" si="0"/>
        <v>1.7916003637190148E-2</v>
      </c>
      <c r="D36">
        <f t="shared" si="3"/>
        <v>1</v>
      </c>
      <c r="E36">
        <v>0.59921153338759381</v>
      </c>
      <c r="F36">
        <f t="shared" si="4"/>
        <v>1</v>
      </c>
      <c r="G36" t="b">
        <f t="shared" si="5"/>
        <v>1</v>
      </c>
      <c r="H36">
        <v>0.37794309691034578</v>
      </c>
    </row>
    <row r="37" spans="1:8" x14ac:dyDescent="0.35">
      <c r="A37" s="13">
        <v>42423</v>
      </c>
      <c r="B37" s="14">
        <v>4238.42</v>
      </c>
      <c r="C37" s="2">
        <f t="shared" si="0"/>
        <v>-1.4022844115662791E-2</v>
      </c>
      <c r="D37">
        <f t="shared" si="3"/>
        <v>0</v>
      </c>
      <c r="E37">
        <v>0.63302173121884464</v>
      </c>
      <c r="F37">
        <f t="shared" si="4"/>
        <v>1</v>
      </c>
      <c r="G37" t="b">
        <f t="shared" si="5"/>
        <v>0</v>
      </c>
      <c r="H37">
        <v>0.37794305880146639</v>
      </c>
    </row>
    <row r="38" spans="1:8" x14ac:dyDescent="0.35">
      <c r="A38" s="13">
        <v>42424</v>
      </c>
      <c r="B38" s="14">
        <v>4155.34</v>
      </c>
      <c r="C38" s="2">
        <f t="shared" si="0"/>
        <v>-1.9601644008852337E-2</v>
      </c>
      <c r="D38">
        <f t="shared" si="3"/>
        <v>0</v>
      </c>
      <c r="E38">
        <v>0.57468504738932669</v>
      </c>
      <c r="F38">
        <f t="shared" si="4"/>
        <v>1</v>
      </c>
      <c r="G38" t="b">
        <f t="shared" si="5"/>
        <v>0</v>
      </c>
      <c r="H38">
        <v>0.37794298948191446</v>
      </c>
    </row>
    <row r="39" spans="1:8" x14ac:dyDescent="0.35">
      <c r="A39" s="13">
        <v>42425</v>
      </c>
      <c r="B39" s="14">
        <v>4248.45</v>
      </c>
      <c r="C39" s="2">
        <f t="shared" si="0"/>
        <v>2.2407312037041383E-2</v>
      </c>
      <c r="D39">
        <f t="shared" si="3"/>
        <v>1</v>
      </c>
      <c r="E39">
        <v>0.46956949853211144</v>
      </c>
      <c r="F39">
        <f t="shared" si="4"/>
        <v>0</v>
      </c>
      <c r="G39" t="b">
        <f t="shared" si="5"/>
        <v>0</v>
      </c>
      <c r="H39">
        <v>0.37794300138480813</v>
      </c>
    </row>
    <row r="40" spans="1:8" x14ac:dyDescent="0.35">
      <c r="A40" s="13">
        <v>42426</v>
      </c>
      <c r="B40" s="14">
        <v>4314.57</v>
      </c>
      <c r="C40" s="2">
        <f t="shared" si="0"/>
        <v>1.5563323094304859E-2</v>
      </c>
      <c r="D40">
        <f t="shared" si="3"/>
        <v>1</v>
      </c>
      <c r="E40">
        <v>0.48734901485843507</v>
      </c>
      <c r="F40">
        <f t="shared" si="4"/>
        <v>0</v>
      </c>
      <c r="G40" t="b">
        <f t="shared" si="5"/>
        <v>0</v>
      </c>
      <c r="H40">
        <v>0.37794305158816299</v>
      </c>
    </row>
    <row r="41" spans="1:8" x14ac:dyDescent="0.35">
      <c r="A41" s="13">
        <v>42429</v>
      </c>
      <c r="B41" s="14">
        <v>4353.55</v>
      </c>
      <c r="C41" s="2">
        <f t="shared" si="0"/>
        <v>9.0345040177817193E-3</v>
      </c>
      <c r="D41">
        <f t="shared" si="3"/>
        <v>1</v>
      </c>
      <c r="E41">
        <v>0.56444256784949864</v>
      </c>
      <c r="F41">
        <f t="shared" si="4"/>
        <v>1</v>
      </c>
      <c r="G41" t="b">
        <f t="shared" si="5"/>
        <v>1</v>
      </c>
      <c r="H41">
        <v>0.37794311437298678</v>
      </c>
    </row>
    <row r="42" spans="1:8" x14ac:dyDescent="0.35">
      <c r="A42" s="13">
        <v>42430</v>
      </c>
      <c r="B42" s="14">
        <v>4406.84</v>
      </c>
      <c r="C42" s="2">
        <f t="shared" si="0"/>
        <v>1.2240585269492676E-2</v>
      </c>
      <c r="D42">
        <f t="shared" si="3"/>
        <v>1</v>
      </c>
      <c r="E42">
        <v>0.65567999862962645</v>
      </c>
      <c r="F42">
        <f t="shared" si="4"/>
        <v>1</v>
      </c>
      <c r="G42" t="b">
        <f t="shared" si="5"/>
        <v>1</v>
      </c>
      <c r="H42">
        <v>0.37794317221601431</v>
      </c>
    </row>
    <row r="43" spans="1:8" x14ac:dyDescent="0.35">
      <c r="A43" s="13">
        <v>42431</v>
      </c>
      <c r="B43" s="14">
        <v>4424.8900000000003</v>
      </c>
      <c r="C43" s="2">
        <f t="shared" si="0"/>
        <v>4.0959054560638641E-3</v>
      </c>
      <c r="D43">
        <f t="shared" si="3"/>
        <v>1</v>
      </c>
      <c r="E43">
        <v>0.73185040992401418</v>
      </c>
      <c r="F43">
        <f t="shared" si="4"/>
        <v>1</v>
      </c>
      <c r="G43" t="b">
        <f t="shared" si="5"/>
        <v>1</v>
      </c>
      <c r="H43">
        <v>0.37794321896098665</v>
      </c>
    </row>
    <row r="44" spans="1:8" x14ac:dyDescent="0.35">
      <c r="A44" s="13">
        <v>42432</v>
      </c>
      <c r="B44" s="14">
        <v>4416.08</v>
      </c>
      <c r="C44" s="2">
        <f t="shared" si="0"/>
        <v>-1.9910099460100916E-3</v>
      </c>
      <c r="D44">
        <f t="shared" si="3"/>
        <v>0</v>
      </c>
      <c r="E44">
        <v>0.78543756464876335</v>
      </c>
      <c r="F44">
        <f t="shared" si="4"/>
        <v>1</v>
      </c>
      <c r="G44" t="b">
        <f t="shared" si="5"/>
        <v>0</v>
      </c>
      <c r="H44">
        <v>0.37794319637526319</v>
      </c>
    </row>
    <row r="45" spans="1:8" x14ac:dyDescent="0.35">
      <c r="A45" s="13">
        <v>42433</v>
      </c>
      <c r="B45" s="14">
        <v>4456.62</v>
      </c>
      <c r="C45" s="2">
        <f t="shared" si="0"/>
        <v>9.1800873172587227E-3</v>
      </c>
      <c r="D45">
        <f t="shared" si="3"/>
        <v>1</v>
      </c>
      <c r="E45">
        <v>0.76114119608555109</v>
      </c>
      <c r="F45">
        <f t="shared" si="4"/>
        <v>1</v>
      </c>
      <c r="G45" t="b">
        <f t="shared" si="5"/>
        <v>1</v>
      </c>
      <c r="H45">
        <v>0.37794319990995195</v>
      </c>
    </row>
    <row r="46" spans="1:8" x14ac:dyDescent="0.35">
      <c r="A46" s="13">
        <v>42436</v>
      </c>
      <c r="B46" s="14">
        <v>4442.29</v>
      </c>
      <c r="C46" s="2">
        <f t="shared" si="0"/>
        <v>-3.2154412985625491E-3</v>
      </c>
      <c r="D46">
        <f t="shared" si="3"/>
        <v>0</v>
      </c>
      <c r="E46">
        <v>0.76553062479981238</v>
      </c>
      <c r="F46">
        <f t="shared" si="4"/>
        <v>1</v>
      </c>
      <c r="G46" t="b">
        <f t="shared" si="5"/>
        <v>0</v>
      </c>
      <c r="H46">
        <v>0.37794315499933129</v>
      </c>
    </row>
    <row r="47" spans="1:8" x14ac:dyDescent="0.35">
      <c r="A47" s="13">
        <v>42437</v>
      </c>
      <c r="B47" s="14">
        <v>4404.0200000000004</v>
      </c>
      <c r="C47" s="2">
        <f t="shared" si="0"/>
        <v>-8.6149260854198051E-3</v>
      </c>
      <c r="D47">
        <f t="shared" si="3"/>
        <v>0</v>
      </c>
      <c r="E47">
        <v>0.71079331074725316</v>
      </c>
      <c r="F47">
        <f t="shared" si="4"/>
        <v>1</v>
      </c>
      <c r="G47" t="b">
        <f t="shared" si="5"/>
        <v>0</v>
      </c>
      <c r="H47">
        <v>0.37794308156853723</v>
      </c>
    </row>
    <row r="48" spans="1:8" x14ac:dyDescent="0.35">
      <c r="A48" s="13">
        <v>42438</v>
      </c>
      <c r="B48" s="14">
        <v>4425.6499999999996</v>
      </c>
      <c r="C48" s="2">
        <f t="shared" si="0"/>
        <v>4.9114218373211838E-3</v>
      </c>
      <c r="D48">
        <f t="shared" si="3"/>
        <v>1</v>
      </c>
      <c r="E48">
        <v>0.60901806500254718</v>
      </c>
      <c r="F48">
        <f t="shared" si="4"/>
        <v>1</v>
      </c>
      <c r="G48" t="b">
        <f t="shared" si="5"/>
        <v>1</v>
      </c>
      <c r="H48">
        <v>0.37794307720680786</v>
      </c>
    </row>
    <row r="49" spans="1:8" x14ac:dyDescent="0.35">
      <c r="A49" s="13">
        <v>42439</v>
      </c>
      <c r="B49" s="14">
        <v>4350.3500000000004</v>
      </c>
      <c r="C49" s="2">
        <f t="shared" si="0"/>
        <v>-1.7014449854823477E-2</v>
      </c>
      <c r="D49">
        <f t="shared" si="3"/>
        <v>0</v>
      </c>
      <c r="E49">
        <v>0.60233717206178816</v>
      </c>
      <c r="F49">
        <f t="shared" si="4"/>
        <v>1</v>
      </c>
      <c r="G49" t="b">
        <f t="shared" si="5"/>
        <v>0</v>
      </c>
      <c r="H49">
        <v>0.37794302394550139</v>
      </c>
    </row>
    <row r="50" spans="1:8" x14ac:dyDescent="0.35">
      <c r="A50" s="13">
        <v>42440</v>
      </c>
      <c r="B50" s="14">
        <v>4492.79</v>
      </c>
      <c r="C50" s="2">
        <f t="shared" si="0"/>
        <v>3.2742193156872323E-2</v>
      </c>
      <c r="D50">
        <f t="shared" si="3"/>
        <v>1</v>
      </c>
      <c r="E50">
        <v>0.52293935386155976</v>
      </c>
      <c r="F50">
        <f t="shared" si="4"/>
        <v>1</v>
      </c>
      <c r="G50" t="b">
        <f t="shared" si="5"/>
        <v>1</v>
      </c>
      <c r="H50">
        <v>0.37794304053566874</v>
      </c>
    </row>
    <row r="51" spans="1:8" x14ac:dyDescent="0.35">
      <c r="A51" s="13">
        <v>42443</v>
      </c>
      <c r="B51" s="14">
        <v>4506.59</v>
      </c>
      <c r="C51" s="2">
        <f t="shared" si="0"/>
        <v>3.0715880332712331E-3</v>
      </c>
      <c r="D51">
        <f t="shared" si="3"/>
        <v>1</v>
      </c>
      <c r="E51">
        <v>0.54614496913868127</v>
      </c>
      <c r="F51">
        <f t="shared" si="4"/>
        <v>1</v>
      </c>
      <c r="G51" t="b">
        <f t="shared" si="5"/>
        <v>1</v>
      </c>
      <c r="H51">
        <v>0.37794308807354471</v>
      </c>
    </row>
    <row r="52" spans="1:8" x14ac:dyDescent="0.35">
      <c r="A52" s="13">
        <v>42444</v>
      </c>
      <c r="B52" s="14">
        <v>4472.63</v>
      </c>
      <c r="C52" s="2">
        <f t="shared" si="0"/>
        <v>-7.5356311534885423E-3</v>
      </c>
      <c r="D52">
        <f t="shared" si="3"/>
        <v>0</v>
      </c>
      <c r="E52">
        <v>0.61608829318862768</v>
      </c>
      <c r="F52">
        <f t="shared" si="4"/>
        <v>1</v>
      </c>
      <c r="G52" t="b">
        <f t="shared" si="5"/>
        <v>0</v>
      </c>
      <c r="H52">
        <v>0.37794305967178704</v>
      </c>
    </row>
    <row r="53" spans="1:8" x14ac:dyDescent="0.35">
      <c r="A53" s="13">
        <v>42445</v>
      </c>
      <c r="B53" s="14">
        <v>4463</v>
      </c>
      <c r="C53" s="2">
        <f t="shared" si="0"/>
        <v>-2.1530956059410133E-3</v>
      </c>
      <c r="D53">
        <f t="shared" si="3"/>
        <v>0</v>
      </c>
      <c r="E53">
        <v>0.57547490471648077</v>
      </c>
      <c r="F53">
        <f t="shared" si="4"/>
        <v>1</v>
      </c>
      <c r="G53" t="b">
        <f t="shared" si="5"/>
        <v>0</v>
      </c>
      <c r="H53">
        <v>0.37794299431387668</v>
      </c>
    </row>
    <row r="54" spans="1:8" x14ac:dyDescent="0.35">
      <c r="A54" s="13">
        <v>42446</v>
      </c>
      <c r="B54" s="14">
        <v>4442.8900000000003</v>
      </c>
      <c r="C54" s="2">
        <f t="shared" si="0"/>
        <v>-4.5059377100604703E-3</v>
      </c>
      <c r="D54">
        <f t="shared" si="3"/>
        <v>0</v>
      </c>
      <c r="E54">
        <v>0.47969072405913082</v>
      </c>
      <c r="F54">
        <f t="shared" si="4"/>
        <v>0</v>
      </c>
      <c r="G54" t="b">
        <f t="shared" si="5"/>
        <v>1</v>
      </c>
      <c r="H54">
        <v>0.37794291745921532</v>
      </c>
    </row>
    <row r="55" spans="1:8" x14ac:dyDescent="0.35">
      <c r="A55" s="13">
        <v>42447</v>
      </c>
      <c r="B55" s="14">
        <v>4462.51</v>
      </c>
      <c r="C55" s="2">
        <f t="shared" si="0"/>
        <v>4.4160445115679625E-3</v>
      </c>
      <c r="D55">
        <f t="shared" si="3"/>
        <v>1</v>
      </c>
      <c r="E55">
        <v>0.37064988736445442</v>
      </c>
      <c r="F55">
        <f t="shared" si="4"/>
        <v>0</v>
      </c>
      <c r="G55" t="b">
        <f t="shared" si="5"/>
        <v>0</v>
      </c>
      <c r="H55">
        <v>0.377942933695747</v>
      </c>
    </row>
    <row r="56" spans="1:8" x14ac:dyDescent="0.35">
      <c r="A56" s="13">
        <v>42450</v>
      </c>
      <c r="B56" s="14">
        <v>4427.8</v>
      </c>
      <c r="C56" s="2">
        <f t="shared" si="0"/>
        <v>-7.7781338305124015E-3</v>
      </c>
      <c r="D56">
        <f t="shared" si="3"/>
        <v>0</v>
      </c>
      <c r="E56">
        <v>0.39166455922971755</v>
      </c>
      <c r="F56">
        <f t="shared" si="4"/>
        <v>0</v>
      </c>
      <c r="G56" t="b">
        <f t="shared" si="5"/>
        <v>1</v>
      </c>
      <c r="H56">
        <v>0.37794290737507791</v>
      </c>
    </row>
    <row r="57" spans="1:8" x14ac:dyDescent="0.35">
      <c r="A57" s="13">
        <v>42451</v>
      </c>
      <c r="B57" s="14">
        <v>4431.97</v>
      </c>
      <c r="C57" s="2">
        <f t="shared" si="0"/>
        <v>9.4177695469532807E-4</v>
      </c>
      <c r="D57">
        <f t="shared" si="3"/>
        <v>1</v>
      </c>
      <c r="E57">
        <v>0.35554769384453977</v>
      </c>
      <c r="F57">
        <f t="shared" si="4"/>
        <v>0</v>
      </c>
      <c r="G57" t="b">
        <f t="shared" si="5"/>
        <v>0</v>
      </c>
      <c r="H57">
        <v>0.37794294778002441</v>
      </c>
    </row>
    <row r="58" spans="1:8" x14ac:dyDescent="0.35">
      <c r="A58" s="13">
        <v>42452</v>
      </c>
      <c r="B58" s="14">
        <v>4423.9799999999996</v>
      </c>
      <c r="C58" s="2">
        <f t="shared" si="0"/>
        <v>-1.8028100370717226E-3</v>
      </c>
      <c r="D58">
        <f t="shared" si="3"/>
        <v>0</v>
      </c>
      <c r="E58">
        <v>0.41163636298700029</v>
      </c>
      <c r="F58">
        <f t="shared" si="4"/>
        <v>0</v>
      </c>
      <c r="G58" t="b">
        <f t="shared" si="5"/>
        <v>1</v>
      </c>
      <c r="H58">
        <v>0.37794293107881083</v>
      </c>
    </row>
    <row r="59" spans="1:8" x14ac:dyDescent="0.35">
      <c r="A59" s="13">
        <v>42453</v>
      </c>
      <c r="B59" s="14">
        <v>4329.68</v>
      </c>
      <c r="C59" s="2">
        <f t="shared" si="0"/>
        <v>-2.1315647900758905E-2</v>
      </c>
      <c r="D59">
        <f t="shared" si="3"/>
        <v>0</v>
      </c>
      <c r="E59">
        <v>0.38909475121150577</v>
      </c>
      <c r="F59">
        <f t="shared" si="4"/>
        <v>0</v>
      </c>
      <c r="G59" t="b">
        <f t="shared" si="5"/>
        <v>1</v>
      </c>
      <c r="H59">
        <v>0.37794288822133554</v>
      </c>
    </row>
    <row r="60" spans="1:8" x14ac:dyDescent="0.35">
      <c r="A60" s="13">
        <v>42458</v>
      </c>
      <c r="B60" s="14">
        <v>4366.67</v>
      </c>
      <c r="C60" s="2">
        <f t="shared" si="0"/>
        <v>8.5433565529091648E-3</v>
      </c>
      <c r="D60">
        <f t="shared" si="3"/>
        <v>1</v>
      </c>
      <c r="E60">
        <v>0.33288486559048408</v>
      </c>
      <c r="F60">
        <f t="shared" si="4"/>
        <v>0</v>
      </c>
      <c r="G60" t="b">
        <f t="shared" si="5"/>
        <v>0</v>
      </c>
      <c r="H60">
        <v>0.37794292295427157</v>
      </c>
    </row>
    <row r="61" spans="1:8" x14ac:dyDescent="0.35">
      <c r="A61" s="13">
        <v>42459</v>
      </c>
      <c r="B61" s="14">
        <v>4444.42</v>
      </c>
      <c r="C61" s="2">
        <f t="shared" si="0"/>
        <v>1.7805329919595492E-2</v>
      </c>
      <c r="D61">
        <f t="shared" si="3"/>
        <v>1</v>
      </c>
      <c r="E61">
        <v>0.37714840682148693</v>
      </c>
      <c r="F61">
        <f t="shared" si="4"/>
        <v>0</v>
      </c>
      <c r="G61" t="b">
        <f t="shared" si="5"/>
        <v>0</v>
      </c>
      <c r="H61">
        <v>0.37794299421987476</v>
      </c>
    </row>
    <row r="62" spans="1:8" x14ac:dyDescent="0.35">
      <c r="A62" s="13">
        <v>42460</v>
      </c>
      <c r="B62" s="14">
        <v>4385.0600000000004</v>
      </c>
      <c r="C62" s="2">
        <f t="shared" si="0"/>
        <v>-1.335607345840395E-2</v>
      </c>
      <c r="D62">
        <f t="shared" si="3"/>
        <v>0</v>
      </c>
      <c r="E62">
        <v>0.47687750847012722</v>
      </c>
      <c r="F62">
        <f t="shared" si="4"/>
        <v>0</v>
      </c>
      <c r="G62" t="b">
        <f t="shared" si="5"/>
        <v>1</v>
      </c>
      <c r="H62">
        <v>0.37794298614233984</v>
      </c>
    </row>
    <row r="63" spans="1:8" x14ac:dyDescent="0.35">
      <c r="A63" s="13">
        <v>42461</v>
      </c>
      <c r="B63" s="14">
        <v>4322.24</v>
      </c>
      <c r="C63" s="2">
        <f t="shared" si="0"/>
        <v>-1.432591572293207E-2</v>
      </c>
      <c r="D63">
        <f t="shared" si="3"/>
        <v>0</v>
      </c>
      <c r="E63">
        <v>0.46451527295453188</v>
      </c>
      <c r="F63">
        <f t="shared" si="4"/>
        <v>0</v>
      </c>
      <c r="G63" t="b">
        <f t="shared" si="5"/>
        <v>1</v>
      </c>
      <c r="H63">
        <v>0.37794293878998869</v>
      </c>
    </row>
    <row r="64" spans="1:8" x14ac:dyDescent="0.35">
      <c r="A64" s="13">
        <v>42464</v>
      </c>
      <c r="B64" s="14">
        <v>4345.22</v>
      </c>
      <c r="C64" s="2">
        <f t="shared" si="0"/>
        <v>5.3166876434442845E-3</v>
      </c>
      <c r="D64">
        <f t="shared" si="3"/>
        <v>1</v>
      </c>
      <c r="E64">
        <v>0.39800152811744516</v>
      </c>
      <c r="F64">
        <f t="shared" si="4"/>
        <v>0</v>
      </c>
      <c r="G64" t="b">
        <f t="shared" si="5"/>
        <v>0</v>
      </c>
      <c r="H64">
        <v>0.37794296846614617</v>
      </c>
    </row>
    <row r="65" spans="1:8" x14ac:dyDescent="0.35">
      <c r="A65" s="13">
        <v>42466</v>
      </c>
      <c r="B65" s="14">
        <v>4284.6400000000003</v>
      </c>
      <c r="C65" s="2">
        <f t="shared" si="0"/>
        <v>-1.3941756688959361E-2</v>
      </c>
      <c r="D65">
        <f t="shared" si="3"/>
        <v>0</v>
      </c>
      <c r="E65">
        <v>0.43985310250629645</v>
      </c>
      <c r="F65">
        <f t="shared" si="4"/>
        <v>0</v>
      </c>
      <c r="G65" t="b">
        <f t="shared" si="5"/>
        <v>1</v>
      </c>
      <c r="H65">
        <v>0.37794294257423749</v>
      </c>
    </row>
    <row r="66" spans="1:8" x14ac:dyDescent="0.35">
      <c r="A66" s="13">
        <v>42467</v>
      </c>
      <c r="B66" s="14">
        <v>4245.91</v>
      </c>
      <c r="C66" s="2">
        <f t="shared" si="0"/>
        <v>-9.0392658426380335E-3</v>
      </c>
      <c r="D66">
        <f t="shared" si="3"/>
        <v>0</v>
      </c>
      <c r="E66">
        <v>0.4044070321423715</v>
      </c>
      <c r="F66">
        <f t="shared" si="4"/>
        <v>0</v>
      </c>
      <c r="G66" t="b">
        <f t="shared" si="5"/>
        <v>1</v>
      </c>
      <c r="H66">
        <v>0.37794289230629613</v>
      </c>
    </row>
    <row r="67" spans="1:8" x14ac:dyDescent="0.35">
      <c r="A67" s="13">
        <v>42468</v>
      </c>
      <c r="B67" s="14">
        <v>4303.12</v>
      </c>
      <c r="C67" s="2">
        <f t="shared" si="0"/>
        <v>1.3474143352072865E-2</v>
      </c>
      <c r="D67">
        <f t="shared" si="3"/>
        <v>1</v>
      </c>
      <c r="E67">
        <v>0.33907151892659793</v>
      </c>
      <c r="F67">
        <f t="shared" si="4"/>
        <v>0</v>
      </c>
      <c r="G67" t="b">
        <f t="shared" si="5"/>
        <v>0</v>
      </c>
      <c r="H67">
        <v>0.37794292234078636</v>
      </c>
    </row>
    <row r="68" spans="1:8" x14ac:dyDescent="0.35">
      <c r="A68" s="13">
        <v>42471</v>
      </c>
      <c r="B68" s="14">
        <v>4312.63</v>
      </c>
      <c r="C68" s="2">
        <f t="shared" ref="C68:C131" si="6">(B68/B67)-1</f>
        <v>2.2100243544218579E-3</v>
      </c>
      <c r="D68">
        <f t="shared" si="3"/>
        <v>1</v>
      </c>
      <c r="E68">
        <v>0.37940589192619434</v>
      </c>
      <c r="F68">
        <f t="shared" si="4"/>
        <v>0</v>
      </c>
      <c r="G68" t="b">
        <f t="shared" si="5"/>
        <v>0</v>
      </c>
      <c r="H68">
        <v>0.37794299104475559</v>
      </c>
    </row>
    <row r="69" spans="1:8" x14ac:dyDescent="0.35">
      <c r="A69" s="13">
        <v>42472</v>
      </c>
      <c r="B69" s="14">
        <v>4345.91</v>
      </c>
      <c r="C69" s="2">
        <f t="shared" si="6"/>
        <v>7.7168688248236972E-3</v>
      </c>
      <c r="D69">
        <f t="shared" si="3"/>
        <v>1</v>
      </c>
      <c r="E69">
        <v>0.47690503113070482</v>
      </c>
      <c r="F69">
        <f t="shared" si="4"/>
        <v>0</v>
      </c>
      <c r="G69" t="b">
        <f t="shared" si="5"/>
        <v>0</v>
      </c>
      <c r="H69">
        <v>0.37794307299571106</v>
      </c>
    </row>
    <row r="70" spans="1:8" x14ac:dyDescent="0.35">
      <c r="A70" s="13">
        <v>42473</v>
      </c>
      <c r="B70" s="14">
        <v>4490.3100000000004</v>
      </c>
      <c r="C70" s="2">
        <f t="shared" si="6"/>
        <v>3.3226642981562193E-2</v>
      </c>
      <c r="D70">
        <f t="shared" ref="D70:D133" si="7">IF(C70&gt;=0,1,0)</f>
        <v>1</v>
      </c>
      <c r="E70">
        <v>0.59558583538485399</v>
      </c>
      <c r="F70">
        <f t="shared" si="4"/>
        <v>1</v>
      </c>
      <c r="G70" t="b">
        <f t="shared" si="5"/>
        <v>1</v>
      </c>
      <c r="H70">
        <v>0.37794314834226028</v>
      </c>
    </row>
    <row r="71" spans="1:8" x14ac:dyDescent="0.35">
      <c r="A71" s="13">
        <v>42474</v>
      </c>
      <c r="B71" s="14">
        <v>4511.51</v>
      </c>
      <c r="C71" s="2">
        <f t="shared" si="6"/>
        <v>4.7212775955334241E-3</v>
      </c>
      <c r="D71">
        <f t="shared" si="7"/>
        <v>1</v>
      </c>
      <c r="E71">
        <v>0.69773506607486946</v>
      </c>
      <c r="F71">
        <f t="shared" si="4"/>
        <v>1</v>
      </c>
      <c r="G71" t="b">
        <f t="shared" si="5"/>
        <v>1</v>
      </c>
      <c r="H71">
        <v>0.37794320791121316</v>
      </c>
    </row>
    <row r="72" spans="1:8" x14ac:dyDescent="0.35">
      <c r="A72" s="13">
        <v>42475</v>
      </c>
      <c r="B72" s="14">
        <v>4495.17</v>
      </c>
      <c r="C72" s="2">
        <f t="shared" si="6"/>
        <v>-3.621847230749875E-3</v>
      </c>
      <c r="D72">
        <f t="shared" si="7"/>
        <v>0</v>
      </c>
      <c r="E72">
        <v>0.76832412496835356</v>
      </c>
      <c r="F72">
        <f t="shared" si="4"/>
        <v>1</v>
      </c>
      <c r="G72" t="b">
        <f t="shared" si="5"/>
        <v>0</v>
      </c>
      <c r="H72">
        <v>0.37794319014991462</v>
      </c>
    </row>
    <row r="73" spans="1:8" x14ac:dyDescent="0.35">
      <c r="A73" s="13">
        <v>42478</v>
      </c>
      <c r="B73" s="14">
        <v>4506.84</v>
      </c>
      <c r="C73" s="2">
        <f t="shared" si="6"/>
        <v>2.5961198352899562E-3</v>
      </c>
      <c r="D73">
        <f t="shared" si="7"/>
        <v>1</v>
      </c>
      <c r="E73">
        <v>0.74749481854932431</v>
      </c>
      <c r="F73">
        <f t="shared" ref="F73:F136" si="8">IF(E73&gt;=0.5,1,0)</f>
        <v>1</v>
      </c>
      <c r="G73" t="b">
        <f t="shared" ref="G73:G136" si="9">IF(D73=F73,TRUE,FALSE)</f>
        <v>1</v>
      </c>
      <c r="H73">
        <v>0.3779431974195081</v>
      </c>
    </row>
    <row r="74" spans="1:8" x14ac:dyDescent="0.35">
      <c r="A74" s="13">
        <v>42479</v>
      </c>
      <c r="B74" s="14">
        <v>4566.4799999999996</v>
      </c>
      <c r="C74" s="2">
        <f t="shared" si="6"/>
        <v>1.3233218840695393E-2</v>
      </c>
      <c r="D74">
        <f t="shared" si="7"/>
        <v>1</v>
      </c>
      <c r="E74">
        <v>0.7560638530472682</v>
      </c>
      <c r="F74">
        <f t="shared" si="8"/>
        <v>1</v>
      </c>
      <c r="G74" t="b">
        <f t="shared" si="9"/>
        <v>1</v>
      </c>
      <c r="H74">
        <v>0.3779432162046561</v>
      </c>
    </row>
    <row r="75" spans="1:8" x14ac:dyDescent="0.35">
      <c r="A75" s="13">
        <v>42480</v>
      </c>
      <c r="B75" s="14">
        <v>4591.92</v>
      </c>
      <c r="C75" s="2">
        <f t="shared" si="6"/>
        <v>5.5710306406686616E-3</v>
      </c>
      <c r="D75">
        <f t="shared" si="7"/>
        <v>1</v>
      </c>
      <c r="E75">
        <v>0.77750375716883757</v>
      </c>
      <c r="F75">
        <f t="shared" si="8"/>
        <v>1</v>
      </c>
      <c r="G75" t="b">
        <f t="shared" si="9"/>
        <v>1</v>
      </c>
      <c r="H75">
        <v>0.37794323842733546</v>
      </c>
    </row>
    <row r="76" spans="1:8" x14ac:dyDescent="0.35">
      <c r="A76" s="13">
        <v>42481</v>
      </c>
      <c r="B76" s="14">
        <v>4582.83</v>
      </c>
      <c r="C76" s="2">
        <f t="shared" si="6"/>
        <v>-1.9795641039043188E-3</v>
      </c>
      <c r="D76">
        <f t="shared" si="7"/>
        <v>0</v>
      </c>
      <c r="E76">
        <v>0.80126604572482141</v>
      </c>
      <c r="F76">
        <f t="shared" si="8"/>
        <v>1</v>
      </c>
      <c r="G76" t="b">
        <f t="shared" si="9"/>
        <v>0</v>
      </c>
      <c r="H76">
        <v>0.37794320742766202</v>
      </c>
    </row>
    <row r="77" spans="1:8" x14ac:dyDescent="0.35">
      <c r="A77" s="13">
        <v>42482</v>
      </c>
      <c r="B77" s="14">
        <v>4569.66</v>
      </c>
      <c r="C77" s="2">
        <f t="shared" si="6"/>
        <v>-2.8737701376660985E-3</v>
      </c>
      <c r="D77">
        <f t="shared" si="7"/>
        <v>0</v>
      </c>
      <c r="E77">
        <v>0.76681399184392951</v>
      </c>
      <c r="F77">
        <f t="shared" si="8"/>
        <v>1</v>
      </c>
      <c r="G77" t="b">
        <f t="shared" si="9"/>
        <v>0</v>
      </c>
      <c r="H77">
        <v>0.37794314581387511</v>
      </c>
    </row>
    <row r="78" spans="1:8" x14ac:dyDescent="0.35">
      <c r="A78" s="13">
        <v>42485</v>
      </c>
      <c r="B78" s="14">
        <v>4546.12</v>
      </c>
      <c r="C78" s="2">
        <f t="shared" si="6"/>
        <v>-5.1513679354699971E-3</v>
      </c>
      <c r="D78">
        <f t="shared" si="7"/>
        <v>0</v>
      </c>
      <c r="E78">
        <v>0.68851515154300769</v>
      </c>
      <c r="F78">
        <f t="shared" si="8"/>
        <v>1</v>
      </c>
      <c r="G78" t="b">
        <f t="shared" si="9"/>
        <v>0</v>
      </c>
      <c r="H78">
        <v>0.37794306336530437</v>
      </c>
    </row>
    <row r="79" spans="1:8" x14ac:dyDescent="0.35">
      <c r="A79" s="13">
        <v>42486</v>
      </c>
      <c r="B79" s="14">
        <v>4533.18</v>
      </c>
      <c r="C79" s="2">
        <f t="shared" si="6"/>
        <v>-2.8463832894862762E-3</v>
      </c>
      <c r="D79">
        <f t="shared" si="7"/>
        <v>0</v>
      </c>
      <c r="E79">
        <v>0.56896925886558225</v>
      </c>
      <c r="F79">
        <f t="shared" si="8"/>
        <v>1</v>
      </c>
      <c r="G79" t="b">
        <f t="shared" si="9"/>
        <v>0</v>
      </c>
      <c r="H79">
        <v>0.37794297194323595</v>
      </c>
    </row>
    <row r="80" spans="1:8" x14ac:dyDescent="0.35">
      <c r="A80" s="13">
        <v>42487</v>
      </c>
      <c r="B80" s="14">
        <v>4559.3999999999996</v>
      </c>
      <c r="C80" s="2">
        <f t="shared" si="6"/>
        <v>5.7840191653539819E-3</v>
      </c>
      <c r="D80">
        <f t="shared" si="7"/>
        <v>1</v>
      </c>
      <c r="E80">
        <v>0.43087313840376512</v>
      </c>
      <c r="F80">
        <f t="shared" si="8"/>
        <v>0</v>
      </c>
      <c r="G80" t="b">
        <f t="shared" si="9"/>
        <v>0</v>
      </c>
      <c r="H80">
        <v>0.37794297672753518</v>
      </c>
    </row>
    <row r="81" spans="1:8" x14ac:dyDescent="0.35">
      <c r="A81" s="13">
        <v>42488</v>
      </c>
      <c r="B81" s="14">
        <v>4557.3599999999997</v>
      </c>
      <c r="C81" s="2">
        <f t="shared" si="6"/>
        <v>-4.4742729306490592E-4</v>
      </c>
      <c r="D81">
        <f t="shared" si="7"/>
        <v>0</v>
      </c>
      <c r="E81">
        <v>0.43588841538844408</v>
      </c>
      <c r="F81">
        <f t="shared" si="8"/>
        <v>0</v>
      </c>
      <c r="G81" t="b">
        <f t="shared" si="9"/>
        <v>1</v>
      </c>
      <c r="H81">
        <v>0.37794294015939534</v>
      </c>
    </row>
    <row r="82" spans="1:8" x14ac:dyDescent="0.35">
      <c r="A82" s="13">
        <v>42489</v>
      </c>
      <c r="B82" s="14">
        <v>4428.96</v>
      </c>
      <c r="C82" s="2">
        <f t="shared" si="6"/>
        <v>-2.817420611933219E-2</v>
      </c>
      <c r="D82">
        <f t="shared" si="7"/>
        <v>0</v>
      </c>
      <c r="E82">
        <v>0.38308958918823466</v>
      </c>
      <c r="F82">
        <f t="shared" si="8"/>
        <v>0</v>
      </c>
      <c r="G82" t="b">
        <f t="shared" si="9"/>
        <v>1</v>
      </c>
      <c r="H82">
        <v>0.37794288834475759</v>
      </c>
    </row>
    <row r="83" spans="1:8" x14ac:dyDescent="0.35">
      <c r="A83" s="13">
        <v>42492</v>
      </c>
      <c r="B83" s="14">
        <v>4442.75</v>
      </c>
      <c r="C83" s="2">
        <f t="shared" si="6"/>
        <v>3.1135977746468146E-3</v>
      </c>
      <c r="D83">
        <f t="shared" si="7"/>
        <v>1</v>
      </c>
      <c r="E83">
        <v>0.31464169576720058</v>
      </c>
      <c r="F83">
        <f t="shared" si="8"/>
        <v>0</v>
      </c>
      <c r="G83" t="b">
        <f t="shared" si="9"/>
        <v>0</v>
      </c>
      <c r="H83">
        <v>0.37794291791760704</v>
      </c>
    </row>
    <row r="84" spans="1:8" x14ac:dyDescent="0.35">
      <c r="A84" s="13">
        <v>42493</v>
      </c>
      <c r="B84" s="14">
        <v>4371.9799999999996</v>
      </c>
      <c r="C84" s="2">
        <f t="shared" si="6"/>
        <v>-1.5929323054414635E-2</v>
      </c>
      <c r="D84">
        <f t="shared" si="7"/>
        <v>0</v>
      </c>
      <c r="E84">
        <v>0.35092780170732185</v>
      </c>
      <c r="F84">
        <f t="shared" si="8"/>
        <v>0</v>
      </c>
      <c r="G84" t="b">
        <f t="shared" si="9"/>
        <v>1</v>
      </c>
      <c r="H84">
        <v>0.37794290272653958</v>
      </c>
    </row>
    <row r="85" spans="1:8" x14ac:dyDescent="0.35">
      <c r="A85" s="13">
        <v>42494</v>
      </c>
      <c r="B85" s="14">
        <v>4324.2299999999996</v>
      </c>
      <c r="C85" s="2">
        <f t="shared" si="6"/>
        <v>-1.0921824893983967E-2</v>
      </c>
      <c r="D85">
        <f t="shared" si="7"/>
        <v>0</v>
      </c>
      <c r="E85">
        <v>0.33106034423746683</v>
      </c>
      <c r="F85">
        <f t="shared" si="8"/>
        <v>0</v>
      </c>
      <c r="G85" t="b">
        <f t="shared" si="9"/>
        <v>1</v>
      </c>
      <c r="H85">
        <v>0.37794286675805866</v>
      </c>
    </row>
    <row r="86" spans="1:8" x14ac:dyDescent="0.35">
      <c r="A86" s="13">
        <v>42495</v>
      </c>
      <c r="B86" s="14">
        <v>4319.46</v>
      </c>
      <c r="C86" s="2">
        <f t="shared" si="6"/>
        <v>-1.1030865610754947E-3</v>
      </c>
      <c r="D86">
        <f t="shared" si="7"/>
        <v>0</v>
      </c>
      <c r="E86">
        <v>0.28832248634037544</v>
      </c>
      <c r="F86">
        <f t="shared" si="8"/>
        <v>0</v>
      </c>
      <c r="G86" t="b">
        <f t="shared" si="9"/>
        <v>1</v>
      </c>
      <c r="H86">
        <v>0.37794282589370981</v>
      </c>
    </row>
    <row r="87" spans="1:8" x14ac:dyDescent="0.35">
      <c r="A87" s="13">
        <v>42496</v>
      </c>
      <c r="B87" s="14">
        <v>4301.24</v>
      </c>
      <c r="C87" s="2">
        <f t="shared" si="6"/>
        <v>-4.2181198575748091E-3</v>
      </c>
      <c r="D87">
        <f t="shared" si="7"/>
        <v>0</v>
      </c>
      <c r="E87">
        <v>0.2443186111717211</v>
      </c>
      <c r="F87">
        <f t="shared" si="8"/>
        <v>0</v>
      </c>
      <c r="G87" t="b">
        <f t="shared" si="9"/>
        <v>1</v>
      </c>
      <c r="H87">
        <v>0.37794278791450248</v>
      </c>
    </row>
    <row r="88" spans="1:8" x14ac:dyDescent="0.35">
      <c r="A88" s="13">
        <v>42499</v>
      </c>
      <c r="B88" s="14">
        <v>4322.8100000000004</v>
      </c>
      <c r="C88" s="2">
        <f t="shared" si="6"/>
        <v>5.0148329318988605E-3</v>
      </c>
      <c r="D88">
        <f t="shared" si="7"/>
        <v>1</v>
      </c>
      <c r="E88">
        <v>0.20793398523386086</v>
      </c>
      <c r="F88">
        <f t="shared" si="8"/>
        <v>0</v>
      </c>
      <c r="G88" t="b">
        <f t="shared" si="9"/>
        <v>0</v>
      </c>
      <c r="H88">
        <v>0.37794282005838303</v>
      </c>
    </row>
    <row r="89" spans="1:8" x14ac:dyDescent="0.35">
      <c r="A89" s="13">
        <v>42500</v>
      </c>
      <c r="B89" s="14">
        <v>4338.21</v>
      </c>
      <c r="C89" s="2">
        <f t="shared" si="6"/>
        <v>3.5624975421080229E-3</v>
      </c>
      <c r="D89">
        <f t="shared" si="7"/>
        <v>1</v>
      </c>
      <c r="E89">
        <v>0.23771773729475321</v>
      </c>
      <c r="F89">
        <f t="shared" si="8"/>
        <v>0</v>
      </c>
      <c r="G89" t="b">
        <f t="shared" si="9"/>
        <v>0</v>
      </c>
      <c r="H89">
        <v>0.37794288905257478</v>
      </c>
    </row>
    <row r="90" spans="1:8" x14ac:dyDescent="0.35">
      <c r="A90" s="13">
        <v>42501</v>
      </c>
      <c r="B90" s="14">
        <v>4316.67</v>
      </c>
      <c r="C90" s="2">
        <f t="shared" si="6"/>
        <v>-4.9651814919056125E-3</v>
      </c>
      <c r="D90">
        <f t="shared" si="7"/>
        <v>0</v>
      </c>
      <c r="E90">
        <v>0.31306758371584759</v>
      </c>
      <c r="F90">
        <f t="shared" si="8"/>
        <v>0</v>
      </c>
      <c r="G90" t="b">
        <f t="shared" si="9"/>
        <v>1</v>
      </c>
      <c r="H90">
        <v>0.37794289794513891</v>
      </c>
    </row>
    <row r="91" spans="1:8" x14ac:dyDescent="0.35">
      <c r="A91" s="13">
        <v>42502</v>
      </c>
      <c r="B91" s="14">
        <v>4293.2700000000004</v>
      </c>
      <c r="C91" s="2">
        <f t="shared" si="6"/>
        <v>-5.42084523486841E-3</v>
      </c>
      <c r="D91">
        <f t="shared" si="7"/>
        <v>0</v>
      </c>
      <c r="E91">
        <v>0.32319864732815429</v>
      </c>
      <c r="F91">
        <f t="shared" si="8"/>
        <v>0</v>
      </c>
      <c r="G91" t="b">
        <f t="shared" si="9"/>
        <v>1</v>
      </c>
      <c r="H91">
        <v>0.37794287511533531</v>
      </c>
    </row>
    <row r="92" spans="1:8" x14ac:dyDescent="0.35">
      <c r="A92" s="13">
        <v>42503</v>
      </c>
      <c r="B92" s="14">
        <v>4319.99</v>
      </c>
      <c r="C92" s="2">
        <f t="shared" si="6"/>
        <v>6.2236942936269024E-3</v>
      </c>
      <c r="D92">
        <f t="shared" si="7"/>
        <v>1</v>
      </c>
      <c r="E92">
        <v>0.29605717518645125</v>
      </c>
      <c r="F92">
        <f t="shared" si="8"/>
        <v>0</v>
      </c>
      <c r="G92" t="b">
        <f t="shared" si="9"/>
        <v>0</v>
      </c>
      <c r="H92">
        <v>0.37794291878155262</v>
      </c>
    </row>
    <row r="93" spans="1:8" x14ac:dyDescent="0.35">
      <c r="A93" s="13">
        <v>42506</v>
      </c>
      <c r="B93" s="14">
        <v>4312.28</v>
      </c>
      <c r="C93" s="2">
        <f t="shared" si="6"/>
        <v>-1.784726353533217E-3</v>
      </c>
      <c r="D93">
        <f t="shared" si="7"/>
        <v>0</v>
      </c>
      <c r="E93">
        <v>0.35031921803162713</v>
      </c>
      <c r="F93">
        <f t="shared" si="8"/>
        <v>0</v>
      </c>
      <c r="G93" t="b">
        <f t="shared" si="9"/>
        <v>1</v>
      </c>
      <c r="H93">
        <v>0.37794291077350589</v>
      </c>
    </row>
    <row r="94" spans="1:8" x14ac:dyDescent="0.35">
      <c r="A94" s="13">
        <v>42507</v>
      </c>
      <c r="B94" s="14">
        <v>4297.57</v>
      </c>
      <c r="C94" s="2">
        <f t="shared" si="6"/>
        <v>-3.4111885128053077E-3</v>
      </c>
      <c r="D94">
        <f t="shared" si="7"/>
        <v>0</v>
      </c>
      <c r="E94">
        <v>0.34004076796138499</v>
      </c>
      <c r="F94">
        <f t="shared" si="8"/>
        <v>0</v>
      </c>
      <c r="G94" t="b">
        <f t="shared" si="9"/>
        <v>1</v>
      </c>
      <c r="H94">
        <v>0.37794287811552879</v>
      </c>
    </row>
    <row r="95" spans="1:8" x14ac:dyDescent="0.35">
      <c r="A95" s="13">
        <v>42508</v>
      </c>
      <c r="B95" s="14">
        <v>4319.3</v>
      </c>
      <c r="C95" s="2">
        <f t="shared" si="6"/>
        <v>5.0563457954146962E-3</v>
      </c>
      <c r="D95">
        <f t="shared" si="7"/>
        <v>1</v>
      </c>
      <c r="E95">
        <v>0.29980425845027869</v>
      </c>
      <c r="F95">
        <f t="shared" si="8"/>
        <v>0</v>
      </c>
      <c r="G95" t="b">
        <f t="shared" si="9"/>
        <v>0</v>
      </c>
      <c r="H95">
        <v>0.37794291595802576</v>
      </c>
    </row>
    <row r="96" spans="1:8" x14ac:dyDescent="0.35">
      <c r="A96" s="13">
        <v>42509</v>
      </c>
      <c r="B96" s="14">
        <v>4282.54</v>
      </c>
      <c r="C96" s="2">
        <f t="shared" si="6"/>
        <v>-8.5106382978723527E-3</v>
      </c>
      <c r="D96">
        <f t="shared" si="7"/>
        <v>0</v>
      </c>
      <c r="E96">
        <v>0.34793249329869924</v>
      </c>
      <c r="F96">
        <f t="shared" si="8"/>
        <v>0</v>
      </c>
      <c r="G96" t="b">
        <f t="shared" si="9"/>
        <v>1</v>
      </c>
      <c r="H96">
        <v>0.37794290569493549</v>
      </c>
    </row>
    <row r="97" spans="1:8" x14ac:dyDescent="0.35">
      <c r="A97" s="13">
        <v>42510</v>
      </c>
      <c r="B97" s="14">
        <v>4353.8999999999996</v>
      </c>
      <c r="C97" s="2">
        <f t="shared" si="6"/>
        <v>1.666300840155599E-2</v>
      </c>
      <c r="D97">
        <f t="shared" si="7"/>
        <v>1</v>
      </c>
      <c r="E97">
        <v>0.33489410104568357</v>
      </c>
      <c r="F97">
        <f t="shared" si="8"/>
        <v>0</v>
      </c>
      <c r="G97" t="b">
        <f t="shared" si="9"/>
        <v>0</v>
      </c>
      <c r="H97">
        <v>0.37794295533611821</v>
      </c>
    </row>
    <row r="98" spans="1:8" x14ac:dyDescent="0.35">
      <c r="A98" s="13">
        <v>42513</v>
      </c>
      <c r="B98" s="14">
        <v>4325.1000000000004</v>
      </c>
      <c r="C98" s="2">
        <f t="shared" si="6"/>
        <v>-6.6147591814234019E-3</v>
      </c>
      <c r="D98">
        <f t="shared" si="7"/>
        <v>0</v>
      </c>
      <c r="E98">
        <v>0.40141578951023338</v>
      </c>
      <c r="F98">
        <f t="shared" si="8"/>
        <v>0</v>
      </c>
      <c r="G98" t="b">
        <f t="shared" si="9"/>
        <v>1</v>
      </c>
      <c r="H98">
        <v>0.3779429450849871</v>
      </c>
    </row>
    <row r="99" spans="1:8" x14ac:dyDescent="0.35">
      <c r="A99" s="13">
        <v>42514</v>
      </c>
      <c r="B99" s="14">
        <v>4431.5200000000004</v>
      </c>
      <c r="C99" s="2">
        <f t="shared" si="6"/>
        <v>2.4605211440198005E-2</v>
      </c>
      <c r="D99">
        <f t="shared" si="7"/>
        <v>1</v>
      </c>
      <c r="E99">
        <v>0.38652448676338458</v>
      </c>
      <c r="F99">
        <f t="shared" si="8"/>
        <v>0</v>
      </c>
      <c r="G99" t="b">
        <f t="shared" si="9"/>
        <v>0</v>
      </c>
      <c r="H99">
        <v>0.37794299298720285</v>
      </c>
    </row>
    <row r="100" spans="1:8" x14ac:dyDescent="0.35">
      <c r="A100" s="13">
        <v>42515</v>
      </c>
      <c r="B100" s="14">
        <v>4481.6400000000003</v>
      </c>
      <c r="C100" s="2">
        <f t="shared" si="6"/>
        <v>1.1309889157670394E-2</v>
      </c>
      <c r="D100">
        <f t="shared" si="7"/>
        <v>1</v>
      </c>
      <c r="E100">
        <v>0.45443817174986956</v>
      </c>
      <c r="F100">
        <f t="shared" si="8"/>
        <v>0</v>
      </c>
      <c r="G100" t="b">
        <f t="shared" si="9"/>
        <v>0</v>
      </c>
      <c r="H100">
        <v>0.37794306437613046</v>
      </c>
    </row>
    <row r="101" spans="1:8" x14ac:dyDescent="0.35">
      <c r="A101" s="13">
        <v>42516</v>
      </c>
      <c r="B101" s="14">
        <v>4512.6400000000003</v>
      </c>
      <c r="C101" s="2">
        <f t="shared" si="6"/>
        <v>6.9171107005470134E-3</v>
      </c>
      <c r="D101">
        <f t="shared" si="7"/>
        <v>1</v>
      </c>
      <c r="E101">
        <v>0.56128169146987916</v>
      </c>
      <c r="F101">
        <f t="shared" si="8"/>
        <v>1</v>
      </c>
      <c r="G101" t="b">
        <f t="shared" si="9"/>
        <v>1</v>
      </c>
      <c r="H101">
        <v>0.37794313735998952</v>
      </c>
    </row>
    <row r="102" spans="1:8" x14ac:dyDescent="0.35">
      <c r="A102" s="13">
        <v>42517</v>
      </c>
      <c r="B102" s="14">
        <v>4514.74</v>
      </c>
      <c r="C102" s="2">
        <f t="shared" si="6"/>
        <v>4.6535952347181997E-4</v>
      </c>
      <c r="D102">
        <f t="shared" si="7"/>
        <v>1</v>
      </c>
      <c r="E102">
        <v>0.6666537153442974</v>
      </c>
      <c r="F102">
        <f t="shared" si="8"/>
        <v>1</v>
      </c>
      <c r="G102" t="b">
        <f t="shared" si="9"/>
        <v>1</v>
      </c>
      <c r="H102">
        <v>0.37794319893010891</v>
      </c>
    </row>
    <row r="103" spans="1:8" x14ac:dyDescent="0.35">
      <c r="A103" s="13">
        <v>42520</v>
      </c>
      <c r="B103" s="14">
        <v>4529.3999999999996</v>
      </c>
      <c r="C103" s="2">
        <f t="shared" si="6"/>
        <v>3.2471415851189622E-3</v>
      </c>
      <c r="D103">
        <f t="shared" si="7"/>
        <v>1</v>
      </c>
      <c r="E103">
        <v>0.74577020988905152</v>
      </c>
      <c r="F103">
        <f t="shared" si="8"/>
        <v>1</v>
      </c>
      <c r="G103" t="b">
        <f t="shared" si="9"/>
        <v>1</v>
      </c>
      <c r="H103">
        <v>0.37794324582041883</v>
      </c>
    </row>
    <row r="104" spans="1:8" x14ac:dyDescent="0.35">
      <c r="A104" s="13">
        <v>42521</v>
      </c>
      <c r="B104" s="14">
        <v>4505.62</v>
      </c>
      <c r="C104" s="2">
        <f t="shared" si="6"/>
        <v>-5.2501435068661451E-3</v>
      </c>
      <c r="D104">
        <f t="shared" si="7"/>
        <v>0</v>
      </c>
      <c r="E104">
        <v>0.79768385776820516</v>
      </c>
      <c r="F104">
        <f t="shared" si="8"/>
        <v>1</v>
      </c>
      <c r="G104" t="b">
        <f t="shared" si="9"/>
        <v>0</v>
      </c>
      <c r="H104">
        <v>0.37794322631167709</v>
      </c>
    </row>
    <row r="105" spans="1:8" x14ac:dyDescent="0.35">
      <c r="A105" s="13">
        <v>42522</v>
      </c>
      <c r="B105" s="14">
        <v>4475.3900000000003</v>
      </c>
      <c r="C105" s="2">
        <f t="shared" si="6"/>
        <v>-6.7093984845592036E-3</v>
      </c>
      <c r="D105">
        <f t="shared" si="7"/>
        <v>0</v>
      </c>
      <c r="E105">
        <v>0.77591410165485275</v>
      </c>
      <c r="F105">
        <f t="shared" si="8"/>
        <v>1</v>
      </c>
      <c r="G105" t="b">
        <f t="shared" si="9"/>
        <v>0</v>
      </c>
      <c r="H105">
        <v>0.37794317059071125</v>
      </c>
    </row>
    <row r="106" spans="1:8" x14ac:dyDescent="0.35">
      <c r="A106" s="13">
        <v>42523</v>
      </c>
      <c r="B106" s="14">
        <v>4466</v>
      </c>
      <c r="C106" s="2">
        <f t="shared" si="6"/>
        <v>-2.0981411675854433E-3</v>
      </c>
      <c r="D106">
        <f t="shared" si="7"/>
        <v>0</v>
      </c>
      <c r="E106">
        <v>0.70814147418220441</v>
      </c>
      <c r="F106">
        <f t="shared" si="8"/>
        <v>1</v>
      </c>
      <c r="G106" t="b">
        <f t="shared" si="9"/>
        <v>0</v>
      </c>
      <c r="H106">
        <v>0.37794309253857988</v>
      </c>
    </row>
    <row r="107" spans="1:8" x14ac:dyDescent="0.35">
      <c r="A107" s="13">
        <v>42524</v>
      </c>
      <c r="B107" s="14">
        <v>4421.78</v>
      </c>
      <c r="C107" s="2">
        <f t="shared" si="6"/>
        <v>-9.9014778325123842E-3</v>
      </c>
      <c r="D107">
        <f t="shared" si="7"/>
        <v>0</v>
      </c>
      <c r="E107">
        <v>0.59728925595867532</v>
      </c>
      <c r="F107">
        <f t="shared" si="8"/>
        <v>1</v>
      </c>
      <c r="G107" t="b">
        <f t="shared" si="9"/>
        <v>0</v>
      </c>
      <c r="H107">
        <v>0.37794300233729572</v>
      </c>
    </row>
    <row r="108" spans="1:8" x14ac:dyDescent="0.35">
      <c r="A108" s="13">
        <v>42527</v>
      </c>
      <c r="B108" s="14">
        <v>4423.38</v>
      </c>
      <c r="C108" s="2">
        <f t="shared" si="6"/>
        <v>3.6184522974913591E-4</v>
      </c>
      <c r="D108">
        <f t="shared" si="7"/>
        <v>1</v>
      </c>
      <c r="E108">
        <v>0.46027942355696511</v>
      </c>
      <c r="F108">
        <f t="shared" si="8"/>
        <v>0</v>
      </c>
      <c r="G108" t="b">
        <f t="shared" si="9"/>
        <v>0</v>
      </c>
      <c r="H108">
        <v>0.3779430053659259</v>
      </c>
    </row>
    <row r="109" spans="1:8" x14ac:dyDescent="0.35">
      <c r="A109" s="13">
        <v>42528</v>
      </c>
      <c r="B109" s="14">
        <v>4475.8599999999997</v>
      </c>
      <c r="C109" s="2">
        <f t="shared" si="6"/>
        <v>1.1864230520552077E-2</v>
      </c>
      <c r="D109">
        <f t="shared" si="7"/>
        <v>1</v>
      </c>
      <c r="E109">
        <v>0.46281608903522919</v>
      </c>
      <c r="F109">
        <f t="shared" si="8"/>
        <v>0</v>
      </c>
      <c r="G109" t="b">
        <f t="shared" si="9"/>
        <v>0</v>
      </c>
      <c r="H109">
        <v>0.37794305464855243</v>
      </c>
    </row>
    <row r="110" spans="1:8" x14ac:dyDescent="0.35">
      <c r="A110" s="13">
        <v>42529</v>
      </c>
      <c r="B110" s="14">
        <v>4448.7299999999996</v>
      </c>
      <c r="C110" s="2">
        <f t="shared" si="6"/>
        <v>-6.0614049590470565E-3</v>
      </c>
      <c r="D110">
        <f t="shared" si="7"/>
        <v>0</v>
      </c>
      <c r="E110">
        <v>0.53537387321266749</v>
      </c>
      <c r="F110">
        <f t="shared" si="8"/>
        <v>1</v>
      </c>
      <c r="G110" t="b">
        <f t="shared" si="9"/>
        <v>0</v>
      </c>
      <c r="H110">
        <v>0.37794303136951701</v>
      </c>
    </row>
    <row r="111" spans="1:8" x14ac:dyDescent="0.35">
      <c r="A111" s="13">
        <v>42530</v>
      </c>
      <c r="B111" s="14">
        <v>4405.6099999999997</v>
      </c>
      <c r="C111" s="2">
        <f t="shared" si="6"/>
        <v>-9.6926538585169197E-3</v>
      </c>
      <c r="D111">
        <f t="shared" si="7"/>
        <v>0</v>
      </c>
      <c r="E111">
        <v>0.50050402294343388</v>
      </c>
      <c r="F111">
        <f t="shared" si="8"/>
        <v>1</v>
      </c>
      <c r="G111" t="b">
        <f t="shared" si="9"/>
        <v>0</v>
      </c>
      <c r="H111">
        <v>0.37794297353421535</v>
      </c>
    </row>
    <row r="112" spans="1:8" x14ac:dyDescent="0.35">
      <c r="A112" s="13">
        <v>42531</v>
      </c>
      <c r="B112" s="14">
        <v>4306.72</v>
      </c>
      <c r="C112" s="2">
        <f t="shared" si="6"/>
        <v>-2.2446380864397764E-2</v>
      </c>
      <c r="D112">
        <f t="shared" si="7"/>
        <v>0</v>
      </c>
      <c r="E112">
        <v>0.41695408924206206</v>
      </c>
      <c r="F112">
        <f t="shared" si="8"/>
        <v>0</v>
      </c>
      <c r="G112" t="b">
        <f t="shared" si="9"/>
        <v>1</v>
      </c>
      <c r="H112">
        <v>0.37794290673488246</v>
      </c>
    </row>
    <row r="113" spans="1:8" x14ac:dyDescent="0.35">
      <c r="A113" s="13">
        <v>42534</v>
      </c>
      <c r="B113" s="14">
        <v>4227.0200000000004</v>
      </c>
      <c r="C113" s="2">
        <f t="shared" si="6"/>
        <v>-1.8505962774454709E-2</v>
      </c>
      <c r="D113">
        <f t="shared" si="7"/>
        <v>0</v>
      </c>
      <c r="E113">
        <v>0.32743815556106964</v>
      </c>
      <c r="F113">
        <f t="shared" si="8"/>
        <v>0</v>
      </c>
      <c r="G113" t="b">
        <f t="shared" si="9"/>
        <v>1</v>
      </c>
      <c r="H113">
        <v>0.37794284556165453</v>
      </c>
    </row>
    <row r="114" spans="1:8" x14ac:dyDescent="0.35">
      <c r="A114" s="13">
        <v>42535</v>
      </c>
      <c r="B114" s="14">
        <v>4130.33</v>
      </c>
      <c r="C114" s="2">
        <f t="shared" si="6"/>
        <v>-2.287427076285431E-2</v>
      </c>
      <c r="D114">
        <f t="shared" si="7"/>
        <v>0</v>
      </c>
      <c r="E114">
        <v>0.25635518876862423</v>
      </c>
      <c r="F114">
        <f t="shared" si="8"/>
        <v>0</v>
      </c>
      <c r="G114" t="b">
        <f t="shared" si="9"/>
        <v>1</v>
      </c>
      <c r="H114">
        <v>0.37794279586342661</v>
      </c>
    </row>
    <row r="115" spans="1:8" x14ac:dyDescent="0.35">
      <c r="A115" s="13">
        <v>42536</v>
      </c>
      <c r="B115" s="14">
        <v>4171.58</v>
      </c>
      <c r="C115" s="2">
        <f t="shared" si="6"/>
        <v>9.987095462105966E-3</v>
      </c>
      <c r="D115">
        <f t="shared" si="7"/>
        <v>1</v>
      </c>
      <c r="E115">
        <v>0.2073562581220193</v>
      </c>
      <c r="F115">
        <f t="shared" si="8"/>
        <v>0</v>
      </c>
      <c r="G115" t="b">
        <f t="shared" si="9"/>
        <v>0</v>
      </c>
      <c r="H115">
        <v>0.37794282178094163</v>
      </c>
    </row>
    <row r="116" spans="1:8" x14ac:dyDescent="0.35">
      <c r="A116" s="13">
        <v>42537</v>
      </c>
      <c r="B116" s="14">
        <v>4153.01</v>
      </c>
      <c r="C116" s="2">
        <f t="shared" si="6"/>
        <v>-4.4515507313774849E-3</v>
      </c>
      <c r="D116">
        <f t="shared" si="7"/>
        <v>0</v>
      </c>
      <c r="E116">
        <v>0.23095570832462958</v>
      </c>
      <c r="F116">
        <f t="shared" si="8"/>
        <v>0</v>
      </c>
      <c r="G116" t="b">
        <f t="shared" si="9"/>
        <v>1</v>
      </c>
      <c r="H116">
        <v>0.37794281891777909</v>
      </c>
    </row>
    <row r="117" spans="1:8" x14ac:dyDescent="0.35">
      <c r="A117" s="13">
        <v>42538</v>
      </c>
      <c r="B117" s="14">
        <v>4193.83</v>
      </c>
      <c r="C117" s="2">
        <f t="shared" si="6"/>
        <v>9.8290155814697577E-3</v>
      </c>
      <c r="D117">
        <f t="shared" si="7"/>
        <v>1</v>
      </c>
      <c r="E117">
        <v>0.22778867093554994</v>
      </c>
      <c r="F117">
        <f t="shared" si="8"/>
        <v>0</v>
      </c>
      <c r="G117" t="b">
        <f t="shared" si="9"/>
        <v>0</v>
      </c>
      <c r="H117">
        <v>0.37794287009535832</v>
      </c>
    </row>
    <row r="118" spans="1:8" x14ac:dyDescent="0.35">
      <c r="A118" s="13">
        <v>42541</v>
      </c>
      <c r="B118" s="14">
        <v>4340.76</v>
      </c>
      <c r="C118" s="2">
        <f t="shared" si="6"/>
        <v>3.5034801124509185E-2</v>
      </c>
      <c r="D118">
        <f t="shared" si="7"/>
        <v>1</v>
      </c>
      <c r="E118">
        <v>0.28055611763571164</v>
      </c>
      <c r="F118">
        <f t="shared" si="8"/>
        <v>0</v>
      </c>
      <c r="G118" t="b">
        <f t="shared" si="9"/>
        <v>0</v>
      </c>
      <c r="H118">
        <v>0.37794295039335651</v>
      </c>
    </row>
    <row r="119" spans="1:8" x14ac:dyDescent="0.35">
      <c r="A119" s="13">
        <v>42542</v>
      </c>
      <c r="B119" s="14">
        <v>4367.24</v>
      </c>
      <c r="C119" s="2">
        <f t="shared" si="6"/>
        <v>6.1003142306876867E-3</v>
      </c>
      <c r="D119">
        <f t="shared" si="7"/>
        <v>1</v>
      </c>
      <c r="E119">
        <v>0.37918288098597935</v>
      </c>
      <c r="F119">
        <f t="shared" si="8"/>
        <v>0</v>
      </c>
      <c r="G119" t="b">
        <f t="shared" si="9"/>
        <v>0</v>
      </c>
      <c r="H119">
        <v>0.37794304397213163</v>
      </c>
    </row>
    <row r="120" spans="1:8" x14ac:dyDescent="0.35">
      <c r="A120" s="13">
        <v>42543</v>
      </c>
      <c r="B120" s="14">
        <v>4380.03</v>
      </c>
      <c r="C120" s="2">
        <f t="shared" si="6"/>
        <v>2.9286231120799755E-3</v>
      </c>
      <c r="D120">
        <f t="shared" si="7"/>
        <v>1</v>
      </c>
      <c r="E120">
        <v>0.5109562803272778</v>
      </c>
      <c r="F120">
        <f t="shared" si="8"/>
        <v>1</v>
      </c>
      <c r="G120" t="b">
        <f t="shared" si="9"/>
        <v>1</v>
      </c>
      <c r="H120">
        <v>0.37794313460265472</v>
      </c>
    </row>
    <row r="121" spans="1:8" x14ac:dyDescent="0.35">
      <c r="A121" s="13">
        <v>42544</v>
      </c>
      <c r="B121" s="14">
        <v>4465.8999999999996</v>
      </c>
      <c r="C121" s="2">
        <f t="shared" si="6"/>
        <v>1.9604888550991628E-2</v>
      </c>
      <c r="D121">
        <f t="shared" si="7"/>
        <v>1</v>
      </c>
      <c r="E121">
        <v>0.63985897798839453</v>
      </c>
      <c r="F121">
        <f t="shared" si="8"/>
        <v>1</v>
      </c>
      <c r="G121" t="b">
        <f t="shared" si="9"/>
        <v>1</v>
      </c>
      <c r="H121">
        <v>0.3779432084728927</v>
      </c>
    </row>
    <row r="122" spans="1:8" x14ac:dyDescent="0.35">
      <c r="A122" s="13">
        <v>42545</v>
      </c>
      <c r="B122" s="14">
        <v>4106.7299999999996</v>
      </c>
      <c r="C122" s="2">
        <f t="shared" si="6"/>
        <v>-8.0424998320607344E-2</v>
      </c>
      <c r="D122">
        <f t="shared" si="7"/>
        <v>0</v>
      </c>
      <c r="E122">
        <v>0.73480925860663693</v>
      </c>
      <c r="F122">
        <f t="shared" si="8"/>
        <v>1</v>
      </c>
      <c r="G122" t="b">
        <f t="shared" si="9"/>
        <v>0</v>
      </c>
      <c r="H122">
        <v>0.37794319734977544</v>
      </c>
    </row>
    <row r="123" spans="1:8" x14ac:dyDescent="0.35">
      <c r="A123" s="13">
        <v>42548</v>
      </c>
      <c r="B123" s="14">
        <v>3984.72</v>
      </c>
      <c r="C123" s="2">
        <f t="shared" si="6"/>
        <v>-2.9709769086353366E-2</v>
      </c>
      <c r="D123">
        <f t="shared" si="7"/>
        <v>0</v>
      </c>
      <c r="E123">
        <v>0.71772235161910258</v>
      </c>
      <c r="F123">
        <f t="shared" si="8"/>
        <v>1</v>
      </c>
      <c r="G123" t="b">
        <f t="shared" si="9"/>
        <v>0</v>
      </c>
      <c r="H123">
        <v>0.37794313938896762</v>
      </c>
    </row>
    <row r="124" spans="1:8" x14ac:dyDescent="0.35">
      <c r="A124" s="13">
        <v>42549</v>
      </c>
      <c r="B124" s="14">
        <v>4088.85</v>
      </c>
      <c r="C124" s="2">
        <f t="shared" si="6"/>
        <v>2.6132325483346319E-2</v>
      </c>
      <c r="D124">
        <f t="shared" si="7"/>
        <v>1</v>
      </c>
      <c r="E124">
        <v>0.64047775011479058</v>
      </c>
      <c r="F124">
        <f t="shared" si="8"/>
        <v>1</v>
      </c>
      <c r="G124" t="b">
        <f t="shared" si="9"/>
        <v>1</v>
      </c>
      <c r="H124">
        <v>0.37794313910524524</v>
      </c>
    </row>
    <row r="125" spans="1:8" x14ac:dyDescent="0.35">
      <c r="A125" s="13">
        <v>42550</v>
      </c>
      <c r="B125" s="14">
        <v>4195.32</v>
      </c>
      <c r="C125" s="2">
        <f t="shared" si="6"/>
        <v>2.6039106350196128E-2</v>
      </c>
      <c r="D125">
        <f t="shared" si="7"/>
        <v>1</v>
      </c>
      <c r="E125">
        <v>0.64049379537592077</v>
      </c>
      <c r="F125">
        <f t="shared" si="8"/>
        <v>1</v>
      </c>
      <c r="G125" t="b">
        <f t="shared" si="9"/>
        <v>1</v>
      </c>
      <c r="H125">
        <v>0.377943167718785</v>
      </c>
    </row>
    <row r="126" spans="1:8" x14ac:dyDescent="0.35">
      <c r="A126" s="13">
        <v>42551</v>
      </c>
      <c r="B126" s="14">
        <v>4237.4799999999996</v>
      </c>
      <c r="C126" s="2">
        <f t="shared" si="6"/>
        <v>1.0049293021747951E-2</v>
      </c>
      <c r="D126">
        <f t="shared" si="7"/>
        <v>1</v>
      </c>
      <c r="E126">
        <v>0.68035589403391228</v>
      </c>
      <c r="F126">
        <f t="shared" si="8"/>
        <v>1</v>
      </c>
      <c r="G126" t="b">
        <f t="shared" si="9"/>
        <v>1</v>
      </c>
      <c r="H126">
        <v>0.37794320605475784</v>
      </c>
    </row>
    <row r="127" spans="1:8" x14ac:dyDescent="0.35">
      <c r="A127" s="13">
        <v>42552</v>
      </c>
      <c r="B127" s="14">
        <v>4273.96</v>
      </c>
      <c r="C127" s="2">
        <f t="shared" si="6"/>
        <v>8.6088901894523229E-3</v>
      </c>
      <c r="D127">
        <f t="shared" si="7"/>
        <v>1</v>
      </c>
      <c r="E127">
        <v>0.72987183054652305</v>
      </c>
      <c r="F127">
        <f t="shared" si="8"/>
        <v>1</v>
      </c>
      <c r="G127" t="b">
        <f t="shared" si="9"/>
        <v>1</v>
      </c>
      <c r="H127">
        <v>0.37794324311948596</v>
      </c>
    </row>
    <row r="128" spans="1:8" x14ac:dyDescent="0.35">
      <c r="A128" s="13">
        <v>42555</v>
      </c>
      <c r="B128" s="14">
        <v>4234.8599999999997</v>
      </c>
      <c r="C128" s="2">
        <f t="shared" si="6"/>
        <v>-9.1484244120207947E-3</v>
      </c>
      <c r="D128">
        <f t="shared" si="7"/>
        <v>0</v>
      </c>
      <c r="E128">
        <v>0.77348535747339264</v>
      </c>
      <c r="F128">
        <f t="shared" si="8"/>
        <v>1</v>
      </c>
      <c r="G128" t="b">
        <f t="shared" si="9"/>
        <v>0</v>
      </c>
      <c r="H128">
        <v>0.37794321420388388</v>
      </c>
    </row>
    <row r="129" spans="1:8" x14ac:dyDescent="0.35">
      <c r="A129" s="13">
        <v>42556</v>
      </c>
      <c r="B129" s="14">
        <v>4163.42</v>
      </c>
      <c r="C129" s="2">
        <f t="shared" si="6"/>
        <v>-1.686950690223521E-2</v>
      </c>
      <c r="D129">
        <f t="shared" si="7"/>
        <v>0</v>
      </c>
      <c r="E129">
        <v>0.74135771410062334</v>
      </c>
      <c r="F129">
        <f t="shared" si="8"/>
        <v>1</v>
      </c>
      <c r="G129" t="b">
        <f t="shared" si="9"/>
        <v>0</v>
      </c>
      <c r="H129">
        <v>0.3779431472989091</v>
      </c>
    </row>
    <row r="130" spans="1:8" x14ac:dyDescent="0.35">
      <c r="A130" s="13">
        <v>42557</v>
      </c>
      <c r="B130" s="14">
        <v>4085.3</v>
      </c>
      <c r="C130" s="2">
        <f t="shared" si="6"/>
        <v>-1.8763420457220237E-2</v>
      </c>
      <c r="D130">
        <f t="shared" si="7"/>
        <v>0</v>
      </c>
      <c r="E130">
        <v>0.65917120911647054</v>
      </c>
      <c r="F130">
        <f t="shared" si="8"/>
        <v>1</v>
      </c>
      <c r="G130" t="b">
        <f t="shared" si="9"/>
        <v>0</v>
      </c>
      <c r="H130">
        <v>0.37794306028983637</v>
      </c>
    </row>
    <row r="131" spans="1:8" x14ac:dyDescent="0.35">
      <c r="A131" s="13">
        <v>42558</v>
      </c>
      <c r="B131" s="14">
        <v>4117.8500000000004</v>
      </c>
      <c r="C131" s="2">
        <f t="shared" si="6"/>
        <v>7.9675911193792803E-3</v>
      </c>
      <c r="D131">
        <f t="shared" si="7"/>
        <v>1</v>
      </c>
      <c r="E131">
        <v>0.53626750123216049</v>
      </c>
      <c r="F131">
        <f t="shared" si="8"/>
        <v>1</v>
      </c>
      <c r="G131" t="b">
        <f t="shared" si="9"/>
        <v>1</v>
      </c>
      <c r="H131">
        <v>0.37794305841201248</v>
      </c>
    </row>
    <row r="132" spans="1:8" x14ac:dyDescent="0.35">
      <c r="A132" s="13">
        <v>42559</v>
      </c>
      <c r="B132" s="14">
        <v>4190.68</v>
      </c>
      <c r="C132" s="2">
        <f t="shared" ref="C132:C195" si="10">(B132/B131)-1</f>
        <v>1.7686414026737207E-2</v>
      </c>
      <c r="D132">
        <f t="shared" si="7"/>
        <v>1</v>
      </c>
      <c r="E132">
        <v>0.53381757025571397</v>
      </c>
      <c r="F132">
        <f t="shared" si="8"/>
        <v>1</v>
      </c>
      <c r="G132" t="b">
        <f t="shared" si="9"/>
        <v>1</v>
      </c>
      <c r="H132">
        <v>0.37794309770591394</v>
      </c>
    </row>
    <row r="133" spans="1:8" x14ac:dyDescent="0.35">
      <c r="A133" s="13">
        <v>42562</v>
      </c>
      <c r="B133" s="14">
        <v>4264.53</v>
      </c>
      <c r="C133" s="2">
        <f t="shared" si="10"/>
        <v>1.7622438363224857E-2</v>
      </c>
      <c r="D133">
        <f t="shared" si="7"/>
        <v>1</v>
      </c>
      <c r="E133">
        <v>0.59366481605057264</v>
      </c>
      <c r="F133">
        <f t="shared" si="8"/>
        <v>1</v>
      </c>
      <c r="G133" t="b">
        <f t="shared" si="9"/>
        <v>1</v>
      </c>
      <c r="H133">
        <v>0.37794315060057043</v>
      </c>
    </row>
    <row r="134" spans="1:8" x14ac:dyDescent="0.35">
      <c r="A134" s="13">
        <v>42563</v>
      </c>
      <c r="B134" s="14">
        <v>4331.38</v>
      </c>
      <c r="C134" s="2">
        <f t="shared" si="10"/>
        <v>1.5675818906186745E-2</v>
      </c>
      <c r="D134">
        <f t="shared" ref="D134:D197" si="11">IF(C134&gt;=0,1,0)</f>
        <v>1</v>
      </c>
      <c r="E134">
        <v>0.67073686864813309</v>
      </c>
      <c r="F134">
        <f t="shared" si="8"/>
        <v>1</v>
      </c>
      <c r="G134" t="b">
        <f t="shared" si="9"/>
        <v>1</v>
      </c>
      <c r="H134">
        <v>0.37794320154025729</v>
      </c>
    </row>
    <row r="135" spans="1:8" x14ac:dyDescent="0.35">
      <c r="A135" s="13">
        <v>42564</v>
      </c>
      <c r="B135" s="14">
        <v>4335.26</v>
      </c>
      <c r="C135" s="2">
        <f t="shared" si="10"/>
        <v>8.9578840923687508E-4</v>
      </c>
      <c r="D135">
        <f t="shared" si="11"/>
        <v>1</v>
      </c>
      <c r="E135">
        <v>0.73775772994536215</v>
      </c>
      <c r="F135">
        <f t="shared" si="8"/>
        <v>1</v>
      </c>
      <c r="G135" t="b">
        <f t="shared" si="9"/>
        <v>1</v>
      </c>
      <c r="H135">
        <v>0.3779432441114931</v>
      </c>
    </row>
    <row r="136" spans="1:8" x14ac:dyDescent="0.35">
      <c r="A136" s="13">
        <v>42565</v>
      </c>
      <c r="B136" s="14">
        <v>4385.5200000000004</v>
      </c>
      <c r="C136" s="2">
        <f t="shared" si="10"/>
        <v>1.1593306975821616E-2</v>
      </c>
      <c r="D136">
        <f t="shared" si="11"/>
        <v>1</v>
      </c>
      <c r="E136">
        <v>0.78672190478226678</v>
      </c>
      <c r="F136">
        <f t="shared" si="8"/>
        <v>1</v>
      </c>
      <c r="G136" t="b">
        <f t="shared" si="9"/>
        <v>1</v>
      </c>
      <c r="H136">
        <v>0.37794327747487805</v>
      </c>
    </row>
    <row r="137" spans="1:8" x14ac:dyDescent="0.35">
      <c r="A137" s="13">
        <v>42566</v>
      </c>
      <c r="B137" s="14">
        <v>4372.51</v>
      </c>
      <c r="C137" s="2">
        <f t="shared" si="10"/>
        <v>-2.9665809299695978E-3</v>
      </c>
      <c r="D137">
        <f t="shared" si="11"/>
        <v>0</v>
      </c>
      <c r="E137">
        <v>0.82025726948992816</v>
      </c>
      <c r="F137">
        <f t="shared" ref="F137:F200" si="12">IF(E137&gt;=0.5,1,0)</f>
        <v>1</v>
      </c>
      <c r="G137" t="b">
        <f t="shared" ref="G137:G200" si="13">IF(D137=F137,TRUE,FALSE)</f>
        <v>0</v>
      </c>
      <c r="H137">
        <v>0.37794325377418947</v>
      </c>
    </row>
    <row r="138" spans="1:8" x14ac:dyDescent="0.35">
      <c r="A138" s="13">
        <v>42569</v>
      </c>
      <c r="B138" s="14">
        <v>4357.74</v>
      </c>
      <c r="C138" s="2">
        <f t="shared" si="10"/>
        <v>-3.377922520474641E-3</v>
      </c>
      <c r="D138">
        <f t="shared" si="11"/>
        <v>0</v>
      </c>
      <c r="E138">
        <v>0.79630891078642174</v>
      </c>
      <c r="F138">
        <f t="shared" si="12"/>
        <v>1</v>
      </c>
      <c r="G138" t="b">
        <f t="shared" si="13"/>
        <v>0</v>
      </c>
      <c r="H138">
        <v>0.37794319869286291</v>
      </c>
    </row>
    <row r="139" spans="1:8" x14ac:dyDescent="0.35">
      <c r="A139" s="13">
        <v>42570</v>
      </c>
      <c r="B139" s="14">
        <v>4330.13</v>
      </c>
      <c r="C139" s="2">
        <f t="shared" si="10"/>
        <v>-6.3358529880166436E-3</v>
      </c>
      <c r="D139">
        <f t="shared" si="11"/>
        <v>0</v>
      </c>
      <c r="E139">
        <v>0.73253880471011745</v>
      </c>
      <c r="F139">
        <f t="shared" si="12"/>
        <v>1</v>
      </c>
      <c r="G139" t="b">
        <f t="shared" si="13"/>
        <v>0</v>
      </c>
      <c r="H139">
        <v>0.3779431228154071</v>
      </c>
    </row>
    <row r="140" spans="1:8" x14ac:dyDescent="0.35">
      <c r="A140" s="13">
        <v>42571</v>
      </c>
      <c r="B140" s="14">
        <v>4379.76</v>
      </c>
      <c r="C140" s="2">
        <f t="shared" si="10"/>
        <v>1.1461549653243752E-2</v>
      </c>
      <c r="D140">
        <f t="shared" si="11"/>
        <v>1</v>
      </c>
      <c r="E140">
        <v>0.62740531327489391</v>
      </c>
      <c r="F140">
        <f t="shared" si="12"/>
        <v>1</v>
      </c>
      <c r="G140" t="b">
        <f t="shared" si="13"/>
        <v>1</v>
      </c>
      <c r="H140">
        <v>0.37794311427685479</v>
      </c>
    </row>
    <row r="141" spans="1:8" x14ac:dyDescent="0.35">
      <c r="A141" s="13">
        <v>42572</v>
      </c>
      <c r="B141" s="14">
        <v>4376.25</v>
      </c>
      <c r="C141" s="2">
        <f t="shared" si="10"/>
        <v>-8.0141377609732611E-4</v>
      </c>
      <c r="D141">
        <f t="shared" si="11"/>
        <v>0</v>
      </c>
      <c r="E141">
        <v>0.61423534650400169</v>
      </c>
      <c r="F141">
        <f t="shared" si="12"/>
        <v>1</v>
      </c>
      <c r="G141" t="b">
        <f t="shared" si="13"/>
        <v>0</v>
      </c>
      <c r="H141">
        <v>0.37794306019609564</v>
      </c>
    </row>
    <row r="142" spans="1:8" x14ac:dyDescent="0.35">
      <c r="A142" s="13">
        <v>42573</v>
      </c>
      <c r="B142" s="14">
        <v>4381.1000000000004</v>
      </c>
      <c r="C142" s="2">
        <f t="shared" si="10"/>
        <v>1.1082547843475066E-3</v>
      </c>
      <c r="D142">
        <f t="shared" si="11"/>
        <v>1</v>
      </c>
      <c r="E142">
        <v>0.53121395373336266</v>
      </c>
      <c r="F142">
        <f t="shared" si="12"/>
        <v>1</v>
      </c>
      <c r="G142" t="b">
        <f t="shared" si="13"/>
        <v>1</v>
      </c>
      <c r="H142">
        <v>0.37794307362492563</v>
      </c>
    </row>
    <row r="143" spans="1:8" x14ac:dyDescent="0.35">
      <c r="A143" s="13">
        <v>42576</v>
      </c>
      <c r="B143" s="14">
        <v>4388</v>
      </c>
      <c r="C143" s="2">
        <f t="shared" si="10"/>
        <v>1.5749469311359121E-3</v>
      </c>
      <c r="D143">
        <f t="shared" si="11"/>
        <v>1</v>
      </c>
      <c r="E143">
        <v>0.55109530604980828</v>
      </c>
      <c r="F143">
        <f t="shared" si="12"/>
        <v>1</v>
      </c>
      <c r="G143" t="b">
        <f t="shared" si="13"/>
        <v>1</v>
      </c>
      <c r="H143">
        <v>0.37794311849349688</v>
      </c>
    </row>
    <row r="144" spans="1:8" x14ac:dyDescent="0.35">
      <c r="A144" s="13">
        <v>42577</v>
      </c>
      <c r="B144" s="14">
        <v>4394.7700000000004</v>
      </c>
      <c r="C144" s="2">
        <f t="shared" si="10"/>
        <v>1.542844120328235E-3</v>
      </c>
      <c r="D144">
        <f t="shared" si="11"/>
        <v>1</v>
      </c>
      <c r="E144">
        <v>0.6185172204320426</v>
      </c>
      <c r="F144">
        <f t="shared" si="12"/>
        <v>1</v>
      </c>
      <c r="G144" t="b">
        <f t="shared" si="13"/>
        <v>1</v>
      </c>
      <c r="H144">
        <v>0.37794317194007898</v>
      </c>
    </row>
    <row r="145" spans="1:8" x14ac:dyDescent="0.35">
      <c r="A145" s="13">
        <v>42578</v>
      </c>
      <c r="B145" s="14">
        <v>4446.96</v>
      </c>
      <c r="C145" s="2">
        <f t="shared" si="10"/>
        <v>1.1875479262851041E-2</v>
      </c>
      <c r="D145">
        <f t="shared" si="11"/>
        <v>1</v>
      </c>
      <c r="E145">
        <v>0.69335770755500992</v>
      </c>
      <c r="F145">
        <f t="shared" si="12"/>
        <v>1</v>
      </c>
      <c r="G145" t="b">
        <f t="shared" si="13"/>
        <v>1</v>
      </c>
      <c r="H145">
        <v>0.37794322089295068</v>
      </c>
    </row>
    <row r="146" spans="1:8" x14ac:dyDescent="0.35">
      <c r="A146" s="13">
        <v>42579</v>
      </c>
      <c r="B146" s="14">
        <v>4420.58</v>
      </c>
      <c r="C146" s="2">
        <f t="shared" si="10"/>
        <v>-5.9321424073974782E-3</v>
      </c>
      <c r="D146">
        <f t="shared" si="11"/>
        <v>0</v>
      </c>
      <c r="E146">
        <v>0.75448890666674839</v>
      </c>
      <c r="F146">
        <f t="shared" si="12"/>
        <v>1</v>
      </c>
      <c r="G146" t="b">
        <f t="shared" si="13"/>
        <v>0</v>
      </c>
      <c r="H146">
        <v>0.37794319791581193</v>
      </c>
    </row>
    <row r="147" spans="1:8" x14ac:dyDescent="0.35">
      <c r="A147" s="13">
        <v>42580</v>
      </c>
      <c r="B147" s="14">
        <v>4439.8100000000004</v>
      </c>
      <c r="C147" s="2">
        <f t="shared" si="10"/>
        <v>4.3501079043928303E-3</v>
      </c>
      <c r="D147">
        <f t="shared" si="11"/>
        <v>1</v>
      </c>
      <c r="E147">
        <v>0.72612791730084181</v>
      </c>
      <c r="F147">
        <f t="shared" si="12"/>
        <v>1</v>
      </c>
      <c r="G147" t="b">
        <f t="shared" si="13"/>
        <v>1</v>
      </c>
      <c r="H147">
        <v>0.37794320495454364</v>
      </c>
    </row>
    <row r="148" spans="1:8" x14ac:dyDescent="0.35">
      <c r="A148" s="13">
        <v>42583</v>
      </c>
      <c r="B148" s="14">
        <v>4409.17</v>
      </c>
      <c r="C148" s="2">
        <f t="shared" si="10"/>
        <v>-6.9011962223609613E-3</v>
      </c>
      <c r="D148">
        <f t="shared" si="11"/>
        <v>0</v>
      </c>
      <c r="E148">
        <v>0.73468799006001151</v>
      </c>
      <c r="F148">
        <f t="shared" si="12"/>
        <v>1</v>
      </c>
      <c r="G148" t="b">
        <f t="shared" si="13"/>
        <v>0</v>
      </c>
      <c r="H148">
        <v>0.37794315948817281</v>
      </c>
    </row>
    <row r="149" spans="1:8" x14ac:dyDescent="0.35">
      <c r="A149" s="13">
        <v>42584</v>
      </c>
      <c r="B149" s="14">
        <v>4327.99</v>
      </c>
      <c r="C149" s="2">
        <f t="shared" si="10"/>
        <v>-1.8411628492437382E-2</v>
      </c>
      <c r="D149">
        <f t="shared" si="11"/>
        <v>0</v>
      </c>
      <c r="E149">
        <v>0.6752446379334075</v>
      </c>
      <c r="F149">
        <f t="shared" si="12"/>
        <v>1</v>
      </c>
      <c r="G149" t="b">
        <f t="shared" si="13"/>
        <v>0</v>
      </c>
      <c r="H149">
        <v>0.37794308494345891</v>
      </c>
    </row>
    <row r="150" spans="1:8" x14ac:dyDescent="0.35">
      <c r="A150" s="13">
        <v>42585</v>
      </c>
      <c r="B150" s="14">
        <v>4321.08</v>
      </c>
      <c r="C150" s="2">
        <f t="shared" si="10"/>
        <v>-1.5965840956193578E-3</v>
      </c>
      <c r="D150">
        <f t="shared" si="11"/>
        <v>0</v>
      </c>
      <c r="E150">
        <v>0.5673092921741687</v>
      </c>
      <c r="F150">
        <f t="shared" si="12"/>
        <v>1</v>
      </c>
      <c r="G150" t="b">
        <f t="shared" si="13"/>
        <v>0</v>
      </c>
      <c r="H150">
        <v>0.37794299735291942</v>
      </c>
    </row>
    <row r="151" spans="1:8" x14ac:dyDescent="0.35">
      <c r="A151" s="13">
        <v>42586</v>
      </c>
      <c r="B151" s="14">
        <v>4345.63</v>
      </c>
      <c r="C151" s="2">
        <f t="shared" si="10"/>
        <v>5.6814500078683494E-3</v>
      </c>
      <c r="D151">
        <f t="shared" si="11"/>
        <v>1</v>
      </c>
      <c r="E151">
        <v>0.43601292096243971</v>
      </c>
      <c r="F151">
        <f t="shared" si="12"/>
        <v>0</v>
      </c>
      <c r="G151" t="b">
        <f t="shared" si="13"/>
        <v>0</v>
      </c>
      <c r="H151">
        <v>0.3779430032353554</v>
      </c>
    </row>
    <row r="152" spans="1:8" x14ac:dyDescent="0.35">
      <c r="A152" s="13">
        <v>42587</v>
      </c>
      <c r="B152" s="14">
        <v>4410.55</v>
      </c>
      <c r="C152" s="2">
        <f t="shared" si="10"/>
        <v>1.4939145762524753E-2</v>
      </c>
      <c r="D152">
        <f t="shared" si="11"/>
        <v>1</v>
      </c>
      <c r="E152">
        <v>0.44399987572144578</v>
      </c>
      <c r="F152">
        <f t="shared" si="12"/>
        <v>0</v>
      </c>
      <c r="G152" t="b">
        <f t="shared" si="13"/>
        <v>0</v>
      </c>
      <c r="H152">
        <v>0.37794305496297742</v>
      </c>
    </row>
    <row r="153" spans="1:8" x14ac:dyDescent="0.35">
      <c r="A153" s="13">
        <v>42590</v>
      </c>
      <c r="B153" s="14">
        <v>4415.46</v>
      </c>
      <c r="C153" s="2">
        <f t="shared" si="10"/>
        <v>1.113239845370817E-3</v>
      </c>
      <c r="D153">
        <f t="shared" si="11"/>
        <v>1</v>
      </c>
      <c r="E153">
        <v>0.52116211086660913</v>
      </c>
      <c r="F153">
        <f t="shared" si="12"/>
        <v>1</v>
      </c>
      <c r="G153" t="b">
        <f t="shared" si="13"/>
        <v>1</v>
      </c>
      <c r="H153">
        <v>0.37794312242469291</v>
      </c>
    </row>
    <row r="154" spans="1:8" x14ac:dyDescent="0.35">
      <c r="A154" s="13">
        <v>42591</v>
      </c>
      <c r="B154" s="14">
        <v>4468.07</v>
      </c>
      <c r="C154" s="2">
        <f t="shared" si="10"/>
        <v>1.1914953368391989E-2</v>
      </c>
      <c r="D154">
        <f t="shared" si="11"/>
        <v>1</v>
      </c>
      <c r="E154">
        <v>0.62147663091776095</v>
      </c>
      <c r="F154">
        <f t="shared" si="12"/>
        <v>1</v>
      </c>
      <c r="G154" t="b">
        <f t="shared" si="13"/>
        <v>1</v>
      </c>
      <c r="H154">
        <v>0.37794318671678212</v>
      </c>
    </row>
    <row r="155" spans="1:8" x14ac:dyDescent="0.35">
      <c r="A155" s="13">
        <v>42592</v>
      </c>
      <c r="B155" s="14">
        <v>4452.01</v>
      </c>
      <c r="C155" s="2">
        <f t="shared" si="10"/>
        <v>-3.5943931048527666E-3</v>
      </c>
      <c r="D155">
        <f t="shared" si="11"/>
        <v>0</v>
      </c>
      <c r="E155">
        <v>0.7095161536645116</v>
      </c>
      <c r="F155">
        <f t="shared" si="12"/>
        <v>1</v>
      </c>
      <c r="G155" t="b">
        <f t="shared" si="13"/>
        <v>0</v>
      </c>
      <c r="H155">
        <v>0.37794316837136793</v>
      </c>
    </row>
    <row r="156" spans="1:8" x14ac:dyDescent="0.35">
      <c r="A156" s="13">
        <v>42593</v>
      </c>
      <c r="B156" s="14">
        <v>4503.95</v>
      </c>
      <c r="C156" s="2">
        <f t="shared" si="10"/>
        <v>1.1666640461274635E-2</v>
      </c>
      <c r="D156">
        <f t="shared" si="11"/>
        <v>1</v>
      </c>
      <c r="E156">
        <v>0.68505994789110369</v>
      </c>
      <c r="F156">
        <f t="shared" si="12"/>
        <v>1</v>
      </c>
      <c r="G156" t="b">
        <f t="shared" si="13"/>
        <v>1</v>
      </c>
      <c r="H156">
        <v>0.37794318268829091</v>
      </c>
    </row>
    <row r="157" spans="1:8" x14ac:dyDescent="0.35">
      <c r="A157" s="13">
        <v>42594</v>
      </c>
      <c r="B157" s="14">
        <v>4500.1899999999996</v>
      </c>
      <c r="C157" s="2">
        <f t="shared" si="10"/>
        <v>-8.3482276668267463E-4</v>
      </c>
      <c r="D157">
        <f t="shared" si="11"/>
        <v>0</v>
      </c>
      <c r="E157">
        <v>0.70377134395491026</v>
      </c>
      <c r="F157">
        <f t="shared" si="12"/>
        <v>1</v>
      </c>
      <c r="G157" t="b">
        <f t="shared" si="13"/>
        <v>0</v>
      </c>
      <c r="H157">
        <v>0.37794313972850269</v>
      </c>
    </row>
    <row r="158" spans="1:8" x14ac:dyDescent="0.35">
      <c r="A158" s="13">
        <v>42597</v>
      </c>
      <c r="B158" s="14">
        <v>4497.8599999999997</v>
      </c>
      <c r="C158" s="2">
        <f t="shared" si="10"/>
        <v>-5.1775591697234002E-4</v>
      </c>
      <c r="D158">
        <f t="shared" si="11"/>
        <v>0</v>
      </c>
      <c r="E158">
        <v>0.6442515557145676</v>
      </c>
      <c r="F158">
        <f t="shared" si="12"/>
        <v>1</v>
      </c>
      <c r="G158" t="b">
        <f t="shared" si="13"/>
        <v>0</v>
      </c>
      <c r="H158">
        <v>0.37794306702700492</v>
      </c>
    </row>
    <row r="159" spans="1:8" x14ac:dyDescent="0.35">
      <c r="A159" s="13">
        <v>42598</v>
      </c>
      <c r="B159" s="14">
        <v>4460.4399999999996</v>
      </c>
      <c r="C159" s="2">
        <f t="shared" si="10"/>
        <v>-8.3195119456808131E-3</v>
      </c>
      <c r="D159">
        <f t="shared" si="11"/>
        <v>0</v>
      </c>
      <c r="E159">
        <v>0.53530197675933644</v>
      </c>
      <c r="F159">
        <f t="shared" si="12"/>
        <v>1</v>
      </c>
      <c r="G159" t="b">
        <f t="shared" si="13"/>
        <v>0</v>
      </c>
      <c r="H159">
        <v>0.3779429840750923</v>
      </c>
    </row>
    <row r="160" spans="1:8" x14ac:dyDescent="0.35">
      <c r="A160" s="13">
        <v>42599</v>
      </c>
      <c r="B160" s="14">
        <v>4417.68</v>
      </c>
      <c r="C160" s="2">
        <f t="shared" si="10"/>
        <v>-9.5864981930032789E-3</v>
      </c>
      <c r="D160">
        <f t="shared" si="11"/>
        <v>0</v>
      </c>
      <c r="E160">
        <v>0.40874449625349657</v>
      </c>
      <c r="F160">
        <f t="shared" si="12"/>
        <v>0</v>
      </c>
      <c r="G160" t="b">
        <f t="shared" si="13"/>
        <v>1</v>
      </c>
      <c r="H160">
        <v>0.37794290711459344</v>
      </c>
    </row>
    <row r="161" spans="1:8" x14ac:dyDescent="0.35">
      <c r="A161" s="13">
        <v>42600</v>
      </c>
      <c r="B161" s="14">
        <v>4437.0600000000004</v>
      </c>
      <c r="C161" s="2">
        <f t="shared" si="10"/>
        <v>4.386918020318431E-3</v>
      </c>
      <c r="D161">
        <f t="shared" si="11"/>
        <v>1</v>
      </c>
      <c r="E161">
        <v>0.30270988633879303</v>
      </c>
      <c r="F161">
        <f t="shared" si="12"/>
        <v>0</v>
      </c>
      <c r="G161" t="b">
        <f t="shared" si="13"/>
        <v>0</v>
      </c>
      <c r="H161">
        <v>0.37794292167078969</v>
      </c>
    </row>
    <row r="162" spans="1:8" x14ac:dyDescent="0.35">
      <c r="A162" s="13">
        <v>42601</v>
      </c>
      <c r="B162" s="14">
        <v>4400.5200000000004</v>
      </c>
      <c r="C162" s="2">
        <f t="shared" si="10"/>
        <v>-8.2351827561493174E-3</v>
      </c>
      <c r="D162">
        <f t="shared" si="11"/>
        <v>0</v>
      </c>
      <c r="E162">
        <v>0.31999718990294379</v>
      </c>
      <c r="F162">
        <f t="shared" si="12"/>
        <v>0</v>
      </c>
      <c r="G162" t="b">
        <f t="shared" si="13"/>
        <v>1</v>
      </c>
      <c r="H162">
        <v>0.37794290365016242</v>
      </c>
    </row>
    <row r="163" spans="1:8" x14ac:dyDescent="0.35">
      <c r="A163" s="13">
        <v>42604</v>
      </c>
      <c r="B163" s="14">
        <v>4389.9399999999996</v>
      </c>
      <c r="C163" s="2">
        <f t="shared" si="10"/>
        <v>-2.4042613145720537E-3</v>
      </c>
      <c r="D163">
        <f t="shared" si="11"/>
        <v>0</v>
      </c>
      <c r="E163">
        <v>0.29700658270492597</v>
      </c>
      <c r="F163">
        <f t="shared" si="12"/>
        <v>0</v>
      </c>
      <c r="G163" t="b">
        <f t="shared" si="13"/>
        <v>1</v>
      </c>
      <c r="H163">
        <v>0.37794287180355596</v>
      </c>
    </row>
    <row r="164" spans="1:8" x14ac:dyDescent="0.35">
      <c r="A164" s="13">
        <v>42605</v>
      </c>
      <c r="B164" s="14">
        <v>4421.45</v>
      </c>
      <c r="C164" s="2">
        <f t="shared" si="10"/>
        <v>7.1777746392889252E-3</v>
      </c>
      <c r="D164">
        <f t="shared" si="11"/>
        <v>1</v>
      </c>
      <c r="E164">
        <v>0.25975614584461965</v>
      </c>
      <c r="F164">
        <f t="shared" si="12"/>
        <v>0</v>
      </c>
      <c r="G164" t="b">
        <f t="shared" si="13"/>
        <v>0</v>
      </c>
      <c r="H164">
        <v>0.37794290818611437</v>
      </c>
    </row>
    <row r="165" spans="1:8" x14ac:dyDescent="0.35">
      <c r="A165" s="13">
        <v>42606</v>
      </c>
      <c r="B165" s="14">
        <v>4435.47</v>
      </c>
      <c r="C165" s="2">
        <f t="shared" si="10"/>
        <v>3.1709054721869023E-3</v>
      </c>
      <c r="D165">
        <f t="shared" si="11"/>
        <v>1</v>
      </c>
      <c r="E165">
        <v>0.30201200876922907</v>
      </c>
      <c r="F165">
        <f t="shared" si="12"/>
        <v>0</v>
      </c>
      <c r="G165" t="b">
        <f t="shared" si="13"/>
        <v>0</v>
      </c>
      <c r="H165">
        <v>0.37794297950641753</v>
      </c>
    </row>
    <row r="166" spans="1:8" x14ac:dyDescent="0.35">
      <c r="A166" s="13">
        <v>42607</v>
      </c>
      <c r="B166" s="14">
        <v>4406.6099999999997</v>
      </c>
      <c r="C166" s="2">
        <f t="shared" si="10"/>
        <v>-6.5066385298515605E-3</v>
      </c>
      <c r="D166">
        <f t="shared" si="11"/>
        <v>0</v>
      </c>
      <c r="E166">
        <v>0.3966104275254041</v>
      </c>
      <c r="F166">
        <f t="shared" si="12"/>
        <v>0</v>
      </c>
      <c r="G166" t="b">
        <f t="shared" si="13"/>
        <v>1</v>
      </c>
      <c r="H166">
        <v>0.37794298059668141</v>
      </c>
    </row>
    <row r="167" spans="1:8" x14ac:dyDescent="0.35">
      <c r="A167" s="13">
        <v>42608</v>
      </c>
      <c r="B167" s="14">
        <v>4441.87</v>
      </c>
      <c r="C167" s="2">
        <f t="shared" si="10"/>
        <v>8.0016157545141908E-3</v>
      </c>
      <c r="D167">
        <f t="shared" si="11"/>
        <v>1</v>
      </c>
      <c r="E167">
        <v>0.39824082992908411</v>
      </c>
      <c r="F167">
        <f t="shared" si="12"/>
        <v>0</v>
      </c>
      <c r="G167" t="b">
        <f t="shared" si="13"/>
        <v>0</v>
      </c>
      <c r="H167">
        <v>0.37794303287326286</v>
      </c>
    </row>
    <row r="168" spans="1:8" x14ac:dyDescent="0.35">
      <c r="A168" s="13">
        <v>42611</v>
      </c>
      <c r="B168" s="14">
        <v>4424.25</v>
      </c>
      <c r="C168" s="2">
        <f t="shared" si="10"/>
        <v>-3.9667977676068888E-3</v>
      </c>
      <c r="D168">
        <f t="shared" si="11"/>
        <v>0</v>
      </c>
      <c r="E168">
        <v>0.47464112473895181</v>
      </c>
      <c r="F168">
        <f t="shared" si="12"/>
        <v>0</v>
      </c>
      <c r="G168" t="b">
        <f t="shared" si="13"/>
        <v>1</v>
      </c>
      <c r="H168">
        <v>0.37794301680588371</v>
      </c>
    </row>
    <row r="169" spans="1:8" x14ac:dyDescent="0.35">
      <c r="A169" s="13">
        <v>42612</v>
      </c>
      <c r="B169" s="14">
        <v>4457.49</v>
      </c>
      <c r="C169" s="2">
        <f t="shared" si="10"/>
        <v>7.5131378199695398E-3</v>
      </c>
      <c r="D169">
        <f t="shared" si="11"/>
        <v>1</v>
      </c>
      <c r="E169">
        <v>0.45045991373639743</v>
      </c>
      <c r="F169">
        <f t="shared" si="12"/>
        <v>0</v>
      </c>
      <c r="G169" t="b">
        <f t="shared" si="13"/>
        <v>0</v>
      </c>
      <c r="H169">
        <v>0.37794305729697558</v>
      </c>
    </row>
    <row r="170" spans="1:8" x14ac:dyDescent="0.35">
      <c r="A170" s="13">
        <v>42613</v>
      </c>
      <c r="B170" s="14">
        <v>4438.22</v>
      </c>
      <c r="C170" s="2">
        <f t="shared" si="10"/>
        <v>-4.3230607359746598E-3</v>
      </c>
      <c r="D170">
        <f t="shared" si="11"/>
        <v>0</v>
      </c>
      <c r="E170">
        <v>0.51083490823339495</v>
      </c>
      <c r="F170">
        <f t="shared" si="12"/>
        <v>1</v>
      </c>
      <c r="G170" t="b">
        <f t="shared" si="13"/>
        <v>0</v>
      </c>
      <c r="H170">
        <v>0.37794303270509955</v>
      </c>
    </row>
    <row r="171" spans="1:8" x14ac:dyDescent="0.35">
      <c r="A171" s="13">
        <v>42614</v>
      </c>
      <c r="B171" s="14">
        <v>4439.67</v>
      </c>
      <c r="C171" s="2">
        <f t="shared" si="10"/>
        <v>3.2670755392927298E-4</v>
      </c>
      <c r="D171">
        <f t="shared" si="11"/>
        <v>1</v>
      </c>
      <c r="E171">
        <v>0.47286049117087231</v>
      </c>
      <c r="F171">
        <f t="shared" si="12"/>
        <v>0</v>
      </c>
      <c r="G171" t="b">
        <f t="shared" si="13"/>
        <v>0</v>
      </c>
      <c r="H171">
        <v>0.3779430665437768</v>
      </c>
    </row>
    <row r="172" spans="1:8" x14ac:dyDescent="0.35">
      <c r="A172" s="13">
        <v>42615</v>
      </c>
      <c r="B172" s="14">
        <v>4542.17</v>
      </c>
      <c r="C172" s="2">
        <f t="shared" si="10"/>
        <v>2.3087301533672555E-2</v>
      </c>
      <c r="D172">
        <f t="shared" si="11"/>
        <v>1</v>
      </c>
      <c r="E172">
        <v>0.52407447734155965</v>
      </c>
      <c r="F172">
        <f t="shared" si="12"/>
        <v>1</v>
      </c>
      <c r="G172" t="b">
        <f t="shared" si="13"/>
        <v>1</v>
      </c>
      <c r="H172">
        <v>0.37794312454074058</v>
      </c>
    </row>
    <row r="173" spans="1:8" x14ac:dyDescent="0.35">
      <c r="A173" s="13">
        <v>42618</v>
      </c>
      <c r="B173" s="14">
        <v>4541.08</v>
      </c>
      <c r="C173" s="2">
        <f t="shared" si="10"/>
        <v>-2.3997340478232321E-4</v>
      </c>
      <c r="D173">
        <f t="shared" si="11"/>
        <v>0</v>
      </c>
      <c r="E173">
        <v>0.61143685557161909</v>
      </c>
      <c r="F173">
        <f t="shared" si="12"/>
        <v>1</v>
      </c>
      <c r="G173" t="b">
        <f t="shared" si="13"/>
        <v>0</v>
      </c>
      <c r="H173">
        <v>0.37794310381985546</v>
      </c>
    </row>
    <row r="174" spans="1:8" x14ac:dyDescent="0.35">
      <c r="A174" s="13">
        <v>42619</v>
      </c>
      <c r="B174" s="14">
        <v>4529.96</v>
      </c>
      <c r="C174" s="2">
        <f t="shared" si="10"/>
        <v>-2.4487566834321406E-3</v>
      </c>
      <c r="D174">
        <f t="shared" si="11"/>
        <v>0</v>
      </c>
      <c r="E174">
        <v>0.57938932599620951</v>
      </c>
      <c r="F174">
        <f t="shared" si="12"/>
        <v>1</v>
      </c>
      <c r="G174" t="b">
        <f t="shared" si="13"/>
        <v>0</v>
      </c>
      <c r="H174">
        <v>0.37794304407384888</v>
      </c>
    </row>
    <row r="175" spans="1:8" x14ac:dyDescent="0.35">
      <c r="A175" s="13">
        <v>42620</v>
      </c>
      <c r="B175" s="14">
        <v>4557.66</v>
      </c>
      <c r="C175" s="2">
        <f t="shared" si="10"/>
        <v>6.114844281185583E-3</v>
      </c>
      <c r="D175">
        <f t="shared" si="11"/>
        <v>1</v>
      </c>
      <c r="E175">
        <v>0.48782092199101074</v>
      </c>
      <c r="F175">
        <f t="shared" si="12"/>
        <v>0</v>
      </c>
      <c r="G175" t="b">
        <f t="shared" si="13"/>
        <v>0</v>
      </c>
      <c r="H175">
        <v>0.37794305863867633</v>
      </c>
    </row>
    <row r="176" spans="1:8" x14ac:dyDescent="0.35">
      <c r="A176" s="13">
        <v>42621</v>
      </c>
      <c r="B176" s="14">
        <v>4542.2</v>
      </c>
      <c r="C176" s="2">
        <f t="shared" si="10"/>
        <v>-3.392091555754484E-3</v>
      </c>
      <c r="D176">
        <f t="shared" si="11"/>
        <v>0</v>
      </c>
      <c r="E176">
        <v>0.51016198880527108</v>
      </c>
      <c r="F176">
        <f t="shared" si="12"/>
        <v>1</v>
      </c>
      <c r="G176" t="b">
        <f t="shared" si="13"/>
        <v>0</v>
      </c>
      <c r="H176">
        <v>0.37794302150176434</v>
      </c>
    </row>
    <row r="177" spans="1:8" x14ac:dyDescent="0.35">
      <c r="A177" s="13">
        <v>42622</v>
      </c>
      <c r="B177" s="14">
        <v>4491.3999999999996</v>
      </c>
      <c r="C177" s="2">
        <f t="shared" si="10"/>
        <v>-1.1184007749548752E-2</v>
      </c>
      <c r="D177">
        <f t="shared" si="11"/>
        <v>0</v>
      </c>
      <c r="E177">
        <v>0.453290961031873</v>
      </c>
      <c r="F177">
        <f t="shared" si="12"/>
        <v>0</v>
      </c>
      <c r="G177" t="b">
        <f t="shared" si="13"/>
        <v>1</v>
      </c>
      <c r="H177">
        <v>0.37794296271607564</v>
      </c>
    </row>
    <row r="178" spans="1:8" x14ac:dyDescent="0.35">
      <c r="A178" s="13">
        <v>42625</v>
      </c>
      <c r="B178" s="14">
        <v>4439.8</v>
      </c>
      <c r="C178" s="2">
        <f t="shared" si="10"/>
        <v>-1.1488622701162132E-2</v>
      </c>
      <c r="D178">
        <f t="shared" si="11"/>
        <v>0</v>
      </c>
      <c r="E178">
        <v>0.36793693106563535</v>
      </c>
      <c r="F178">
        <f t="shared" si="12"/>
        <v>0</v>
      </c>
      <c r="G178" t="b">
        <f t="shared" si="13"/>
        <v>1</v>
      </c>
      <c r="H178">
        <v>0.37794290257052698</v>
      </c>
    </row>
    <row r="179" spans="1:8" x14ac:dyDescent="0.35">
      <c r="A179" s="13">
        <v>42626</v>
      </c>
      <c r="B179" s="14">
        <v>4387.18</v>
      </c>
      <c r="C179" s="2">
        <f t="shared" si="10"/>
        <v>-1.1851885220054981E-2</v>
      </c>
      <c r="D179">
        <f t="shared" si="11"/>
        <v>0</v>
      </c>
      <c r="E179">
        <v>0.28908979186918127</v>
      </c>
      <c r="F179">
        <f t="shared" si="12"/>
        <v>0</v>
      </c>
      <c r="G179" t="b">
        <f t="shared" si="13"/>
        <v>1</v>
      </c>
      <c r="H179">
        <v>0.37794285073289874</v>
      </c>
    </row>
    <row r="180" spans="1:8" x14ac:dyDescent="0.35">
      <c r="A180" s="13">
        <v>42627</v>
      </c>
      <c r="B180" s="14">
        <v>4370.26</v>
      </c>
      <c r="C180" s="2">
        <f t="shared" si="10"/>
        <v>-3.8566915421751613E-3</v>
      </c>
      <c r="D180">
        <f t="shared" si="11"/>
        <v>0</v>
      </c>
      <c r="E180">
        <v>0.23058269302978462</v>
      </c>
      <c r="F180">
        <f t="shared" si="12"/>
        <v>0</v>
      </c>
      <c r="G180" t="b">
        <f t="shared" si="13"/>
        <v>1</v>
      </c>
      <c r="H180">
        <v>0.37794280941793051</v>
      </c>
    </row>
    <row r="181" spans="1:8" x14ac:dyDescent="0.35">
      <c r="A181" s="13">
        <v>42628</v>
      </c>
      <c r="B181" s="14">
        <v>4373.22</v>
      </c>
      <c r="C181" s="2">
        <f t="shared" si="10"/>
        <v>6.7730524042053375E-4</v>
      </c>
      <c r="D181">
        <f t="shared" si="11"/>
        <v>1</v>
      </c>
      <c r="E181">
        <v>0.1909166102222967</v>
      </c>
      <c r="F181">
        <f t="shared" si="12"/>
        <v>0</v>
      </c>
      <c r="G181" t="b">
        <f t="shared" si="13"/>
        <v>0</v>
      </c>
      <c r="H181">
        <v>0.37794283536384671</v>
      </c>
    </row>
    <row r="182" spans="1:8" x14ac:dyDescent="0.35">
      <c r="A182" s="13">
        <v>42629</v>
      </c>
      <c r="B182" s="14">
        <v>4332.45</v>
      </c>
      <c r="C182" s="2">
        <f t="shared" si="10"/>
        <v>-9.3226501296528319E-3</v>
      </c>
      <c r="D182">
        <f t="shared" si="11"/>
        <v>0</v>
      </c>
      <c r="E182">
        <v>0.21432613199249181</v>
      </c>
      <c r="F182">
        <f t="shared" si="12"/>
        <v>0</v>
      </c>
      <c r="G182" t="b">
        <f t="shared" si="13"/>
        <v>1</v>
      </c>
      <c r="H182">
        <v>0.37794283475501256</v>
      </c>
    </row>
    <row r="183" spans="1:8" x14ac:dyDescent="0.35">
      <c r="A183" s="13">
        <v>42632</v>
      </c>
      <c r="B183" s="14">
        <v>4394.1899999999996</v>
      </c>
      <c r="C183" s="2">
        <f t="shared" si="10"/>
        <v>1.4250597237128959E-2</v>
      </c>
      <c r="D183">
        <f t="shared" si="11"/>
        <v>1</v>
      </c>
      <c r="E183">
        <v>0.21366886859610901</v>
      </c>
      <c r="F183">
        <f t="shared" si="12"/>
        <v>0</v>
      </c>
      <c r="G183" t="b">
        <f t="shared" si="13"/>
        <v>0</v>
      </c>
      <c r="H183">
        <v>0.37794288425340006</v>
      </c>
    </row>
    <row r="184" spans="1:8" x14ac:dyDescent="0.35">
      <c r="A184" s="13">
        <v>42633</v>
      </c>
      <c r="B184" s="14">
        <v>4388.6000000000004</v>
      </c>
      <c r="C184" s="2">
        <f t="shared" si="10"/>
        <v>-1.2721343410274644E-3</v>
      </c>
      <c r="D184">
        <f t="shared" si="11"/>
        <v>0</v>
      </c>
      <c r="E184">
        <v>0.2640845591381718</v>
      </c>
      <c r="F184">
        <f t="shared" si="12"/>
        <v>0</v>
      </c>
      <c r="G184" t="b">
        <f t="shared" si="13"/>
        <v>1</v>
      </c>
      <c r="H184">
        <v>0.37794288991193448</v>
      </c>
    </row>
    <row r="185" spans="1:8" x14ac:dyDescent="0.35">
      <c r="A185" s="13">
        <v>42634</v>
      </c>
      <c r="B185" s="14">
        <v>4409.55</v>
      </c>
      <c r="C185" s="2">
        <f t="shared" si="10"/>
        <v>4.7737319418492685E-3</v>
      </c>
      <c r="D185">
        <f t="shared" si="11"/>
        <v>1</v>
      </c>
      <c r="E185">
        <v>0.26999471328210789</v>
      </c>
      <c r="F185">
        <f t="shared" si="12"/>
        <v>0</v>
      </c>
      <c r="G185" t="b">
        <f t="shared" si="13"/>
        <v>0</v>
      </c>
      <c r="H185">
        <v>0.37794294618301144</v>
      </c>
    </row>
    <row r="186" spans="1:8" x14ac:dyDescent="0.35">
      <c r="A186" s="13">
        <v>42635</v>
      </c>
      <c r="B186" s="14">
        <v>4509.82</v>
      </c>
      <c r="C186" s="2">
        <f t="shared" si="10"/>
        <v>2.2739281786123167E-2</v>
      </c>
      <c r="D186">
        <f t="shared" si="11"/>
        <v>1</v>
      </c>
      <c r="E186">
        <v>0.3376622968570876</v>
      </c>
      <c r="F186">
        <f t="shared" si="12"/>
        <v>0</v>
      </c>
      <c r="G186" t="b">
        <f t="shared" si="13"/>
        <v>0</v>
      </c>
      <c r="H186">
        <v>0.37794302761109855</v>
      </c>
    </row>
    <row r="187" spans="1:8" x14ac:dyDescent="0.35">
      <c r="A187" s="13">
        <v>42636</v>
      </c>
      <c r="B187" s="14">
        <v>4488.6899999999996</v>
      </c>
      <c r="C187" s="2">
        <f t="shared" si="10"/>
        <v>-4.685331121862979E-3</v>
      </c>
      <c r="D187">
        <f t="shared" si="11"/>
        <v>0</v>
      </c>
      <c r="E187">
        <v>0.45085595495148567</v>
      </c>
      <c r="F187">
        <f t="shared" si="12"/>
        <v>0</v>
      </c>
      <c r="G187" t="b">
        <f t="shared" si="13"/>
        <v>1</v>
      </c>
      <c r="H187">
        <v>0.3779430290330158</v>
      </c>
    </row>
    <row r="188" spans="1:8" x14ac:dyDescent="0.35">
      <c r="A188" s="13">
        <v>42639</v>
      </c>
      <c r="B188" s="14">
        <v>4407.8500000000004</v>
      </c>
      <c r="C188" s="2">
        <f t="shared" si="10"/>
        <v>-1.8009708846010608E-2</v>
      </c>
      <c r="D188">
        <f t="shared" si="11"/>
        <v>0</v>
      </c>
      <c r="E188">
        <v>0.45086632704253599</v>
      </c>
      <c r="F188">
        <f t="shared" si="12"/>
        <v>0</v>
      </c>
      <c r="G188" t="b">
        <f t="shared" si="13"/>
        <v>1</v>
      </c>
      <c r="H188">
        <v>0.3779429898140122</v>
      </c>
    </row>
    <row r="189" spans="1:8" x14ac:dyDescent="0.35">
      <c r="A189" s="13">
        <v>42640</v>
      </c>
      <c r="B189" s="14">
        <v>4398.68</v>
      </c>
      <c r="C189" s="2">
        <f t="shared" si="10"/>
        <v>-2.08037932325289E-3</v>
      </c>
      <c r="D189">
        <f t="shared" si="11"/>
        <v>0</v>
      </c>
      <c r="E189">
        <v>0.39280843546398975</v>
      </c>
      <c r="F189">
        <f t="shared" si="12"/>
        <v>0</v>
      </c>
      <c r="G189" t="b">
        <f t="shared" si="13"/>
        <v>1</v>
      </c>
      <c r="H189">
        <v>0.37794293649776289</v>
      </c>
    </row>
    <row r="190" spans="1:8" x14ac:dyDescent="0.35">
      <c r="A190" s="13">
        <v>42641</v>
      </c>
      <c r="B190" s="14">
        <v>4432.45</v>
      </c>
      <c r="C190" s="2">
        <f t="shared" si="10"/>
        <v>7.6773031909571632E-3</v>
      </c>
      <c r="D190">
        <f t="shared" si="11"/>
        <v>1</v>
      </c>
      <c r="E190">
        <v>0.3199052844691368</v>
      </c>
      <c r="F190">
        <f t="shared" si="12"/>
        <v>0</v>
      </c>
      <c r="G190" t="b">
        <f t="shared" si="13"/>
        <v>0</v>
      </c>
      <c r="H190">
        <v>0.37794296243168196</v>
      </c>
    </row>
    <row r="191" spans="1:8" x14ac:dyDescent="0.35">
      <c r="A191" s="13">
        <v>42642</v>
      </c>
      <c r="B191" s="14">
        <v>4443.84</v>
      </c>
      <c r="C191" s="2">
        <f t="shared" si="10"/>
        <v>2.5696849372243147E-3</v>
      </c>
      <c r="D191">
        <f t="shared" si="11"/>
        <v>1</v>
      </c>
      <c r="E191">
        <v>0.35467875446746716</v>
      </c>
      <c r="F191">
        <f t="shared" si="12"/>
        <v>0</v>
      </c>
      <c r="G191" t="b">
        <f t="shared" si="13"/>
        <v>0</v>
      </c>
      <c r="H191">
        <v>0.37794302752993608</v>
      </c>
    </row>
    <row r="192" spans="1:8" x14ac:dyDescent="0.35">
      <c r="A192" s="13">
        <v>42643</v>
      </c>
      <c r="B192" s="14">
        <v>4448.26</v>
      </c>
      <c r="C192" s="2">
        <f t="shared" si="10"/>
        <v>9.9463527039689303E-4</v>
      </c>
      <c r="D192">
        <f t="shared" si="11"/>
        <v>1</v>
      </c>
      <c r="E192">
        <v>0.44876522218240661</v>
      </c>
      <c r="F192">
        <f t="shared" si="12"/>
        <v>0</v>
      </c>
      <c r="G192" t="b">
        <f t="shared" si="13"/>
        <v>0</v>
      </c>
      <c r="H192">
        <v>0.37794310662772679</v>
      </c>
    </row>
    <row r="193" spans="1:8" x14ac:dyDescent="0.35">
      <c r="A193" s="13">
        <v>42646</v>
      </c>
      <c r="B193" s="14">
        <v>4453.5600000000004</v>
      </c>
      <c r="C193" s="2">
        <f t="shared" si="10"/>
        <v>1.1914771168952676E-3</v>
      </c>
      <c r="D193">
        <f t="shared" si="11"/>
        <v>1</v>
      </c>
      <c r="E193">
        <v>0.57023560580231369</v>
      </c>
      <c r="F193">
        <f t="shared" si="12"/>
        <v>1</v>
      </c>
      <c r="G193" t="b">
        <f t="shared" si="13"/>
        <v>1</v>
      </c>
      <c r="H193">
        <v>0.37794318169140129</v>
      </c>
    </row>
    <row r="194" spans="1:8" x14ac:dyDescent="0.35">
      <c r="A194" s="13">
        <v>42647</v>
      </c>
      <c r="B194" s="14">
        <v>4503.09</v>
      </c>
      <c r="C194" s="2">
        <f t="shared" si="10"/>
        <v>1.112143992671033E-2</v>
      </c>
      <c r="D194">
        <f t="shared" si="11"/>
        <v>1</v>
      </c>
      <c r="E194">
        <v>0.6799468030587078</v>
      </c>
      <c r="F194">
        <f t="shared" si="12"/>
        <v>1</v>
      </c>
      <c r="G194" t="b">
        <f t="shared" si="13"/>
        <v>1</v>
      </c>
      <c r="H194">
        <v>0.3779432427894045</v>
      </c>
    </row>
    <row r="195" spans="1:8" x14ac:dyDescent="0.35">
      <c r="A195" s="13">
        <v>42648</v>
      </c>
      <c r="B195" s="14">
        <v>4489.95</v>
      </c>
      <c r="C195" s="2">
        <f t="shared" si="10"/>
        <v>-2.9179963092010874E-3</v>
      </c>
      <c r="D195">
        <f t="shared" si="11"/>
        <v>0</v>
      </c>
      <c r="E195">
        <v>0.75752139430673526</v>
      </c>
      <c r="F195">
        <f t="shared" si="12"/>
        <v>1</v>
      </c>
      <c r="G195" t="b">
        <f t="shared" si="13"/>
        <v>0</v>
      </c>
      <c r="H195">
        <v>0.37794322642082873</v>
      </c>
    </row>
    <row r="196" spans="1:8" x14ac:dyDescent="0.35">
      <c r="A196" s="13">
        <v>42649</v>
      </c>
      <c r="B196" s="14">
        <v>4480.1000000000004</v>
      </c>
      <c r="C196" s="2">
        <f t="shared" ref="C196:C259" si="14">(B196/B195)-1</f>
        <v>-2.1937883495360966E-3</v>
      </c>
      <c r="D196">
        <f t="shared" si="11"/>
        <v>0</v>
      </c>
      <c r="E196">
        <v>0.73735698407534955</v>
      </c>
      <c r="F196">
        <f t="shared" si="12"/>
        <v>1</v>
      </c>
      <c r="G196" t="b">
        <f t="shared" si="13"/>
        <v>0</v>
      </c>
      <c r="H196">
        <v>0.37794316931961913</v>
      </c>
    </row>
    <row r="197" spans="1:8" x14ac:dyDescent="0.35">
      <c r="A197" s="13">
        <v>42650</v>
      </c>
      <c r="B197" s="14">
        <v>4449.91</v>
      </c>
      <c r="C197" s="2">
        <f t="shared" si="14"/>
        <v>-6.7386888685521118E-3</v>
      </c>
      <c r="D197">
        <f t="shared" si="11"/>
        <v>0</v>
      </c>
      <c r="E197">
        <v>0.6618555584092024</v>
      </c>
      <c r="F197">
        <f t="shared" si="12"/>
        <v>1</v>
      </c>
      <c r="G197" t="b">
        <f t="shared" si="13"/>
        <v>0</v>
      </c>
      <c r="H197">
        <v>0.37794308946085808</v>
      </c>
    </row>
    <row r="198" spans="1:8" x14ac:dyDescent="0.35">
      <c r="A198" s="13">
        <v>42653</v>
      </c>
      <c r="B198" s="14">
        <v>4497.26</v>
      </c>
      <c r="C198" s="2">
        <f t="shared" si="14"/>
        <v>1.0640664642655784E-2</v>
      </c>
      <c r="D198">
        <f t="shared" ref="D198:D261" si="15">IF(C198&gt;=0,1,0)</f>
        <v>1</v>
      </c>
      <c r="E198">
        <v>0.54327697746839021</v>
      </c>
      <c r="F198">
        <f t="shared" si="12"/>
        <v>1</v>
      </c>
      <c r="G198" t="b">
        <f t="shared" si="13"/>
        <v>1</v>
      </c>
      <c r="H198">
        <v>0.37794308889276262</v>
      </c>
    </row>
    <row r="199" spans="1:8" x14ac:dyDescent="0.35">
      <c r="A199" s="13">
        <v>42654</v>
      </c>
      <c r="B199" s="14">
        <v>4471.74</v>
      </c>
      <c r="C199" s="2">
        <f t="shared" si="14"/>
        <v>-5.6745662914753359E-3</v>
      </c>
      <c r="D199">
        <f t="shared" si="15"/>
        <v>0</v>
      </c>
      <c r="E199">
        <v>0.5417872966851015</v>
      </c>
      <c r="F199">
        <f t="shared" si="12"/>
        <v>1</v>
      </c>
      <c r="G199" t="b">
        <f t="shared" si="13"/>
        <v>0</v>
      </c>
      <c r="H199">
        <v>0.37794304182824406</v>
      </c>
    </row>
    <row r="200" spans="1:8" x14ac:dyDescent="0.35">
      <c r="A200" s="13">
        <v>42655</v>
      </c>
      <c r="B200" s="14">
        <v>4452.24</v>
      </c>
      <c r="C200" s="2">
        <f t="shared" si="14"/>
        <v>-4.3607186464329484E-3</v>
      </c>
      <c r="D200">
        <f t="shared" si="15"/>
        <v>0</v>
      </c>
      <c r="E200">
        <v>0.46919413506530788</v>
      </c>
      <c r="F200">
        <f t="shared" si="12"/>
        <v>0</v>
      </c>
      <c r="G200" t="b">
        <f t="shared" si="13"/>
        <v>1</v>
      </c>
      <c r="H200">
        <v>0.37794297671723409</v>
      </c>
    </row>
    <row r="201" spans="1:8" x14ac:dyDescent="0.35">
      <c r="A201" s="13">
        <v>42656</v>
      </c>
      <c r="B201" s="14">
        <v>4405.17</v>
      </c>
      <c r="C201" s="2">
        <f t="shared" si="14"/>
        <v>-1.0572206350061952E-2</v>
      </c>
      <c r="D201">
        <f t="shared" si="15"/>
        <v>0</v>
      </c>
      <c r="E201">
        <v>0.37327700194343172</v>
      </c>
      <c r="F201">
        <f t="shared" ref="F201:F264" si="16">IF(E201&gt;=0.5,1,0)</f>
        <v>0</v>
      </c>
      <c r="G201" t="b">
        <f t="shared" ref="G201:G264" si="17">IF(D201=F201,TRUE,FALSE)</f>
        <v>1</v>
      </c>
      <c r="H201">
        <v>0.37794291271957148</v>
      </c>
    </row>
    <row r="202" spans="1:8" x14ac:dyDescent="0.35">
      <c r="A202" s="13">
        <v>42657</v>
      </c>
      <c r="B202" s="14">
        <v>4470.92</v>
      </c>
      <c r="C202" s="2">
        <f t="shared" si="14"/>
        <v>1.4925644186262854E-2</v>
      </c>
      <c r="D202">
        <f t="shared" si="15"/>
        <v>1</v>
      </c>
      <c r="E202">
        <v>0.28880905564919296</v>
      </c>
      <c r="F202">
        <f t="shared" si="16"/>
        <v>0</v>
      </c>
      <c r="G202" t="b">
        <f t="shared" si="17"/>
        <v>0</v>
      </c>
      <c r="H202">
        <v>0.37794293387126332</v>
      </c>
    </row>
    <row r="203" spans="1:8" x14ac:dyDescent="0.35">
      <c r="A203" s="13">
        <v>42660</v>
      </c>
      <c r="B203" s="14">
        <v>4450.2299999999996</v>
      </c>
      <c r="C203" s="2">
        <f t="shared" si="14"/>
        <v>-4.6276828930065239E-3</v>
      </c>
      <c r="D203">
        <f t="shared" si="15"/>
        <v>0</v>
      </c>
      <c r="E203">
        <v>0.31389288708217394</v>
      </c>
      <c r="F203">
        <f t="shared" si="16"/>
        <v>0</v>
      </c>
      <c r="G203" t="b">
        <f t="shared" si="17"/>
        <v>1</v>
      </c>
      <c r="H203">
        <v>0.3779429200502718</v>
      </c>
    </row>
    <row r="204" spans="1:8" x14ac:dyDescent="0.35">
      <c r="A204" s="13">
        <v>42661</v>
      </c>
      <c r="B204" s="14">
        <v>4508.91</v>
      </c>
      <c r="C204" s="2">
        <f t="shared" si="14"/>
        <v>1.3185835338847651E-2</v>
      </c>
      <c r="D204">
        <f t="shared" si="15"/>
        <v>1</v>
      </c>
      <c r="E204">
        <v>0.2960538232506581</v>
      </c>
      <c r="F204">
        <f t="shared" si="16"/>
        <v>0</v>
      </c>
      <c r="G204" t="b">
        <f t="shared" si="17"/>
        <v>0</v>
      </c>
      <c r="H204">
        <v>0.37794296610489669</v>
      </c>
    </row>
    <row r="205" spans="1:8" x14ac:dyDescent="0.35">
      <c r="A205" s="13">
        <v>42662</v>
      </c>
      <c r="B205" s="14">
        <v>4520.3</v>
      </c>
      <c r="C205" s="2">
        <f t="shared" si="14"/>
        <v>2.5261094144706231E-3</v>
      </c>
      <c r="D205">
        <f t="shared" si="15"/>
        <v>1</v>
      </c>
      <c r="E205">
        <v>0.35522012905223455</v>
      </c>
      <c r="F205">
        <f t="shared" si="16"/>
        <v>0</v>
      </c>
      <c r="G205" t="b">
        <f t="shared" si="17"/>
        <v>0</v>
      </c>
      <c r="H205">
        <v>0.37794304050442001</v>
      </c>
    </row>
    <row r="206" spans="1:8" x14ac:dyDescent="0.35">
      <c r="A206" s="13">
        <v>42663</v>
      </c>
      <c r="B206" s="14">
        <v>4540.12</v>
      </c>
      <c r="C206" s="2">
        <f t="shared" si="14"/>
        <v>4.3846647346414969E-3</v>
      </c>
      <c r="D206">
        <f t="shared" si="15"/>
        <v>1</v>
      </c>
      <c r="E206">
        <v>0.46356606726159655</v>
      </c>
      <c r="F206">
        <f t="shared" si="16"/>
        <v>0</v>
      </c>
      <c r="G206" t="b">
        <f t="shared" si="17"/>
        <v>0</v>
      </c>
      <c r="H206">
        <v>0.3779431238500397</v>
      </c>
    </row>
    <row r="207" spans="1:8" x14ac:dyDescent="0.35">
      <c r="A207" s="13">
        <v>42664</v>
      </c>
      <c r="B207" s="14">
        <v>4536.07</v>
      </c>
      <c r="C207" s="2">
        <f t="shared" si="14"/>
        <v>-8.92046906249222E-4</v>
      </c>
      <c r="D207">
        <f t="shared" si="15"/>
        <v>0</v>
      </c>
      <c r="E207">
        <v>0.59025443371409136</v>
      </c>
      <c r="F207">
        <f t="shared" si="16"/>
        <v>1</v>
      </c>
      <c r="G207" t="b">
        <f t="shared" si="17"/>
        <v>0</v>
      </c>
      <c r="H207">
        <v>0.37794311648336798</v>
      </c>
    </row>
    <row r="208" spans="1:8" x14ac:dyDescent="0.35">
      <c r="A208" s="13">
        <v>42667</v>
      </c>
      <c r="B208" s="14">
        <v>4552.58</v>
      </c>
      <c r="C208" s="2">
        <f t="shared" si="14"/>
        <v>3.6397145546696041E-3</v>
      </c>
      <c r="D208">
        <f t="shared" si="15"/>
        <v>1</v>
      </c>
      <c r="E208">
        <v>0.57801990959173155</v>
      </c>
      <c r="F208">
        <f t="shared" si="16"/>
        <v>1</v>
      </c>
      <c r="G208" t="b">
        <f t="shared" si="17"/>
        <v>1</v>
      </c>
      <c r="H208">
        <v>0.3779431479177851</v>
      </c>
    </row>
    <row r="209" spans="1:8" x14ac:dyDescent="0.35">
      <c r="A209" s="13">
        <v>42668</v>
      </c>
      <c r="B209" s="14">
        <v>4540.84</v>
      </c>
      <c r="C209" s="2">
        <f t="shared" si="14"/>
        <v>-2.5787575396807316E-3</v>
      </c>
      <c r="D209">
        <f t="shared" si="15"/>
        <v>0</v>
      </c>
      <c r="E209">
        <v>0.62485725522868041</v>
      </c>
      <c r="F209">
        <f t="shared" si="16"/>
        <v>1</v>
      </c>
      <c r="G209" t="b">
        <f t="shared" si="17"/>
        <v>0</v>
      </c>
      <c r="H209">
        <v>0.37794311376039086</v>
      </c>
    </row>
    <row r="210" spans="1:8" x14ac:dyDescent="0.35">
      <c r="A210" s="13">
        <v>42669</v>
      </c>
      <c r="B210" s="14">
        <v>4534.59</v>
      </c>
      <c r="C210" s="2">
        <f t="shared" si="14"/>
        <v>-1.3763973185577649E-3</v>
      </c>
      <c r="D210">
        <f t="shared" si="15"/>
        <v>0</v>
      </c>
      <c r="E210">
        <v>0.57290120215257778</v>
      </c>
      <c r="F210">
        <f t="shared" si="16"/>
        <v>1</v>
      </c>
      <c r="G210" t="b">
        <f t="shared" si="17"/>
        <v>0</v>
      </c>
      <c r="H210">
        <v>0.3779430479619903</v>
      </c>
    </row>
    <row r="211" spans="1:8" x14ac:dyDescent="0.35">
      <c r="A211" s="13">
        <v>42670</v>
      </c>
      <c r="B211" s="14">
        <v>4533.57</v>
      </c>
      <c r="C211" s="2">
        <f t="shared" si="14"/>
        <v>-2.2493764596143162E-4</v>
      </c>
      <c r="D211">
        <f t="shared" si="15"/>
        <v>0</v>
      </c>
      <c r="E211">
        <v>0.47136507430366503</v>
      </c>
      <c r="F211">
        <f t="shared" si="16"/>
        <v>0</v>
      </c>
      <c r="G211" t="b">
        <f t="shared" si="17"/>
        <v>1</v>
      </c>
      <c r="H211">
        <v>0.37794297398641147</v>
      </c>
    </row>
    <row r="212" spans="1:8" x14ac:dyDescent="0.35">
      <c r="A212" s="13">
        <v>42671</v>
      </c>
      <c r="B212" s="14">
        <v>4548.58</v>
      </c>
      <c r="C212" s="2">
        <f t="shared" si="14"/>
        <v>3.3108565655763922E-3</v>
      </c>
      <c r="D212">
        <f t="shared" si="15"/>
        <v>1</v>
      </c>
      <c r="E212">
        <v>0.36140384842746015</v>
      </c>
      <c r="F212">
        <f t="shared" si="16"/>
        <v>0</v>
      </c>
      <c r="G212" t="b">
        <f t="shared" si="17"/>
        <v>0</v>
      </c>
      <c r="H212">
        <v>0.37794298897621104</v>
      </c>
    </row>
    <row r="213" spans="1:8" x14ac:dyDescent="0.35">
      <c r="A213" s="13">
        <v>42674</v>
      </c>
      <c r="B213" s="14">
        <v>4509.26</v>
      </c>
      <c r="C213" s="2">
        <f t="shared" si="14"/>
        <v>-8.6444560720048136E-3</v>
      </c>
      <c r="D213">
        <f t="shared" si="15"/>
        <v>0</v>
      </c>
      <c r="E213">
        <v>0.38171510127859332</v>
      </c>
      <c r="F213">
        <f t="shared" si="16"/>
        <v>0</v>
      </c>
      <c r="G213" t="b">
        <f t="shared" si="17"/>
        <v>1</v>
      </c>
      <c r="H213">
        <v>0.37794296462981269</v>
      </c>
    </row>
    <row r="214" spans="1:8" x14ac:dyDescent="0.35">
      <c r="A214" s="13">
        <v>42675</v>
      </c>
      <c r="B214" s="14">
        <v>4470.28</v>
      </c>
      <c r="C214" s="2">
        <f t="shared" si="14"/>
        <v>-8.6444338982450963E-3</v>
      </c>
      <c r="D214">
        <f t="shared" si="15"/>
        <v>0</v>
      </c>
      <c r="E214">
        <v>0.3473299597232527</v>
      </c>
      <c r="F214">
        <f t="shared" si="16"/>
        <v>0</v>
      </c>
      <c r="G214" t="b">
        <f t="shared" si="17"/>
        <v>1</v>
      </c>
      <c r="H214">
        <v>0.37794292401886515</v>
      </c>
    </row>
    <row r="215" spans="1:8" x14ac:dyDescent="0.35">
      <c r="A215" s="13">
        <v>42676</v>
      </c>
      <c r="B215" s="14">
        <v>4414.67</v>
      </c>
      <c r="C215" s="2">
        <f t="shared" si="14"/>
        <v>-1.2439936648263594E-2</v>
      </c>
      <c r="D215">
        <f t="shared" si="15"/>
        <v>0</v>
      </c>
      <c r="E215">
        <v>0.29471821418872618</v>
      </c>
      <c r="F215">
        <f t="shared" si="16"/>
        <v>0</v>
      </c>
      <c r="G215" t="b">
        <f t="shared" si="17"/>
        <v>1</v>
      </c>
      <c r="H215">
        <v>0.37794288132476389</v>
      </c>
    </row>
    <row r="216" spans="1:8" x14ac:dyDescent="0.35">
      <c r="A216" s="13">
        <v>42677</v>
      </c>
      <c r="B216" s="14">
        <v>4411.68</v>
      </c>
      <c r="C216" s="2">
        <f t="shared" si="14"/>
        <v>-6.7728731705873901E-4</v>
      </c>
      <c r="D216">
        <f t="shared" si="15"/>
        <v>0</v>
      </c>
      <c r="E216">
        <v>0.24537111089767161</v>
      </c>
      <c r="F216">
        <f t="shared" si="16"/>
        <v>0</v>
      </c>
      <c r="G216" t="b">
        <f t="shared" si="17"/>
        <v>1</v>
      </c>
      <c r="H216">
        <v>0.37794284301705811</v>
      </c>
    </row>
    <row r="217" spans="1:8" x14ac:dyDescent="0.35">
      <c r="A217" s="13">
        <v>42678</v>
      </c>
      <c r="B217" s="14">
        <v>4377.46</v>
      </c>
      <c r="C217" s="2">
        <f t="shared" si="14"/>
        <v>-7.7566822616328412E-3</v>
      </c>
      <c r="D217">
        <f t="shared" si="15"/>
        <v>0</v>
      </c>
      <c r="E217">
        <v>0.2066789985591746</v>
      </c>
      <c r="F217">
        <f t="shared" si="16"/>
        <v>0</v>
      </c>
      <c r="G217" t="b">
        <f t="shared" si="17"/>
        <v>1</v>
      </c>
      <c r="H217">
        <v>0.3779428111775523</v>
      </c>
    </row>
    <row r="218" spans="1:8" x14ac:dyDescent="0.35">
      <c r="A218" s="13">
        <v>42681</v>
      </c>
      <c r="B218" s="14">
        <v>4461.21</v>
      </c>
      <c r="C218" s="2">
        <f t="shared" si="14"/>
        <v>1.9132099436659722E-2</v>
      </c>
      <c r="D218">
        <f t="shared" si="15"/>
        <v>1</v>
      </c>
      <c r="E218">
        <v>0.1783656155504583</v>
      </c>
      <c r="F218">
        <f t="shared" si="16"/>
        <v>0</v>
      </c>
      <c r="G218" t="b">
        <f t="shared" si="17"/>
        <v>0</v>
      </c>
      <c r="H218">
        <v>0.37794284033644776</v>
      </c>
    </row>
    <row r="219" spans="1:8" x14ac:dyDescent="0.35">
      <c r="A219" s="13">
        <v>42682</v>
      </c>
      <c r="B219" s="14">
        <v>4476.8900000000003</v>
      </c>
      <c r="C219" s="2">
        <f t="shared" si="14"/>
        <v>3.5147415163152562E-3</v>
      </c>
      <c r="D219">
        <f t="shared" si="15"/>
        <v>1</v>
      </c>
      <c r="E219">
        <v>0.20359819041316524</v>
      </c>
      <c r="F219">
        <f t="shared" si="16"/>
        <v>0</v>
      </c>
      <c r="G219" t="b">
        <f t="shared" si="17"/>
        <v>0</v>
      </c>
      <c r="H219">
        <v>0.37794290185565876</v>
      </c>
    </row>
    <row r="220" spans="1:8" x14ac:dyDescent="0.35">
      <c r="A220" s="13">
        <v>42683</v>
      </c>
      <c r="B220" s="14">
        <v>4543.4799999999996</v>
      </c>
      <c r="C220" s="2">
        <f t="shared" si="14"/>
        <v>1.4874164877850315E-2</v>
      </c>
      <c r="D220">
        <f t="shared" si="15"/>
        <v>1</v>
      </c>
      <c r="E220">
        <v>0.267291339660928</v>
      </c>
      <c r="F220">
        <f t="shared" si="16"/>
        <v>0</v>
      </c>
      <c r="G220" t="b">
        <f t="shared" si="17"/>
        <v>0</v>
      </c>
      <c r="H220">
        <v>0.37794298440297608</v>
      </c>
    </row>
    <row r="221" spans="1:8" x14ac:dyDescent="0.35">
      <c r="A221" s="13">
        <v>42684</v>
      </c>
      <c r="B221" s="14">
        <v>4530.95</v>
      </c>
      <c r="C221" s="2">
        <f t="shared" si="14"/>
        <v>-2.757797987445687E-3</v>
      </c>
      <c r="D221">
        <f t="shared" si="15"/>
        <v>0</v>
      </c>
      <c r="E221">
        <v>0.37165005596378486</v>
      </c>
      <c r="F221">
        <f t="shared" si="16"/>
        <v>0</v>
      </c>
      <c r="G221" t="b">
        <f t="shared" si="17"/>
        <v>1</v>
      </c>
      <c r="H221">
        <v>0.37794299492222544</v>
      </c>
    </row>
    <row r="222" spans="1:8" x14ac:dyDescent="0.35">
      <c r="A222" s="13">
        <v>42685</v>
      </c>
      <c r="B222" s="14">
        <v>4489.2700000000004</v>
      </c>
      <c r="C222" s="2">
        <f t="shared" si="14"/>
        <v>-9.1989538617728295E-3</v>
      </c>
      <c r="D222">
        <f t="shared" si="15"/>
        <v>0</v>
      </c>
      <c r="E222">
        <v>0.38504372502425649</v>
      </c>
      <c r="F222">
        <f t="shared" si="16"/>
        <v>0</v>
      </c>
      <c r="G222" t="b">
        <f t="shared" si="17"/>
        <v>1</v>
      </c>
      <c r="H222">
        <v>0.37794296746694173</v>
      </c>
    </row>
    <row r="223" spans="1:8" x14ac:dyDescent="0.35">
      <c r="A223" s="13">
        <v>42688</v>
      </c>
      <c r="B223" s="14">
        <v>4508.55</v>
      </c>
      <c r="C223" s="2">
        <f t="shared" si="14"/>
        <v>4.294684881951838E-3</v>
      </c>
      <c r="D223">
        <f t="shared" si="15"/>
        <v>1</v>
      </c>
      <c r="E223">
        <v>0.34658923941246739</v>
      </c>
      <c r="F223">
        <f t="shared" si="16"/>
        <v>0</v>
      </c>
      <c r="G223" t="b">
        <f t="shared" si="17"/>
        <v>0</v>
      </c>
      <c r="H223">
        <v>0.37794300613730603</v>
      </c>
    </row>
    <row r="224" spans="1:8" x14ac:dyDescent="0.35">
      <c r="A224" s="13">
        <v>42689</v>
      </c>
      <c r="B224" s="14">
        <v>4536.53</v>
      </c>
      <c r="C224" s="2">
        <f t="shared" si="14"/>
        <v>6.2059864036108081E-3</v>
      </c>
      <c r="D224">
        <f t="shared" si="15"/>
        <v>1</v>
      </c>
      <c r="E224">
        <v>0.40090566576941583</v>
      </c>
      <c r="F224">
        <f t="shared" si="16"/>
        <v>0</v>
      </c>
      <c r="G224" t="b">
        <f t="shared" si="17"/>
        <v>0</v>
      </c>
      <c r="H224">
        <v>0.3779430750218703</v>
      </c>
    </row>
    <row r="225" spans="1:8" x14ac:dyDescent="0.35">
      <c r="A225" s="13">
        <v>42690</v>
      </c>
      <c r="B225" s="14">
        <v>4501.1400000000003</v>
      </c>
      <c r="C225" s="2">
        <f t="shared" si="14"/>
        <v>-7.8011167125533465E-3</v>
      </c>
      <c r="D225">
        <f t="shared" si="15"/>
        <v>0</v>
      </c>
      <c r="E225">
        <v>0.50548543196042572</v>
      </c>
      <c r="F225">
        <f t="shared" si="16"/>
        <v>1</v>
      </c>
      <c r="G225" t="b">
        <f t="shared" si="17"/>
        <v>0</v>
      </c>
      <c r="H225">
        <v>0.37794306631320157</v>
      </c>
    </row>
    <row r="226" spans="1:8" x14ac:dyDescent="0.35">
      <c r="A226" s="13">
        <v>42691</v>
      </c>
      <c r="B226" s="14">
        <v>4527.7700000000004</v>
      </c>
      <c r="C226" s="2">
        <f t="shared" si="14"/>
        <v>5.9162789871010091E-3</v>
      </c>
      <c r="D226">
        <f t="shared" si="15"/>
        <v>1</v>
      </c>
      <c r="E226">
        <v>0.49090165895620508</v>
      </c>
      <c r="F226">
        <f t="shared" si="16"/>
        <v>0</v>
      </c>
      <c r="G226" t="b">
        <f t="shared" si="17"/>
        <v>0</v>
      </c>
      <c r="H226">
        <v>0.37794310538272502</v>
      </c>
    </row>
    <row r="227" spans="1:8" x14ac:dyDescent="0.35">
      <c r="A227" s="13">
        <v>42692</v>
      </c>
      <c r="B227" s="14">
        <v>4504.3500000000004</v>
      </c>
      <c r="C227" s="2">
        <f t="shared" si="14"/>
        <v>-5.1725242227410595E-3</v>
      </c>
      <c r="D227">
        <f t="shared" si="15"/>
        <v>0</v>
      </c>
      <c r="E227">
        <v>0.5514907569195987</v>
      </c>
      <c r="F227">
        <f t="shared" si="16"/>
        <v>1</v>
      </c>
      <c r="G227" t="b">
        <f t="shared" si="17"/>
        <v>0</v>
      </c>
      <c r="H227">
        <v>0.37794307858776921</v>
      </c>
    </row>
    <row r="228" spans="1:8" x14ac:dyDescent="0.35">
      <c r="A228" s="13">
        <v>42695</v>
      </c>
      <c r="B228" s="14">
        <v>4529.58</v>
      </c>
      <c r="C228" s="2">
        <f t="shared" si="14"/>
        <v>5.6012521229478196E-3</v>
      </c>
      <c r="D228">
        <f t="shared" si="15"/>
        <v>1</v>
      </c>
      <c r="E228">
        <v>0.50902933557115848</v>
      </c>
      <c r="F228">
        <f t="shared" si="16"/>
        <v>1</v>
      </c>
      <c r="G228" t="b">
        <f t="shared" si="17"/>
        <v>1</v>
      </c>
      <c r="H228">
        <v>0.37794310779214174</v>
      </c>
    </row>
    <row r="229" spans="1:8" x14ac:dyDescent="0.35">
      <c r="A229" s="13">
        <v>42696</v>
      </c>
      <c r="B229" s="14">
        <v>4548.3500000000004</v>
      </c>
      <c r="C229" s="2">
        <f t="shared" si="14"/>
        <v>4.1438720587780864E-3</v>
      </c>
      <c r="D229">
        <f t="shared" si="15"/>
        <v>1</v>
      </c>
      <c r="E229">
        <v>0.55317417484766984</v>
      </c>
      <c r="F229">
        <f t="shared" si="16"/>
        <v>1</v>
      </c>
      <c r="G229" t="b">
        <f t="shared" si="17"/>
        <v>1</v>
      </c>
      <c r="H229">
        <v>0.37794315991063682</v>
      </c>
    </row>
    <row r="230" spans="1:8" x14ac:dyDescent="0.35">
      <c r="A230" s="13">
        <v>42697</v>
      </c>
      <c r="B230" s="14">
        <v>4529.21</v>
      </c>
      <c r="C230" s="2">
        <f t="shared" si="14"/>
        <v>-4.2081194279245393E-3</v>
      </c>
      <c r="D230">
        <f t="shared" si="15"/>
        <v>0</v>
      </c>
      <c r="E230">
        <v>0.63159412333791554</v>
      </c>
      <c r="F230">
        <f t="shared" si="16"/>
        <v>1</v>
      </c>
      <c r="G230" t="b">
        <f t="shared" si="17"/>
        <v>0</v>
      </c>
      <c r="H230">
        <v>0.37794313577548638</v>
      </c>
    </row>
    <row r="231" spans="1:8" x14ac:dyDescent="0.35">
      <c r="A231" s="13">
        <v>42698</v>
      </c>
      <c r="B231" s="14">
        <v>4542.5600000000004</v>
      </c>
      <c r="C231" s="2">
        <f t="shared" si="14"/>
        <v>2.9475338966398201E-3</v>
      </c>
      <c r="D231">
        <f t="shared" si="15"/>
        <v>1</v>
      </c>
      <c r="E231">
        <v>0.59543537381741252</v>
      </c>
      <c r="F231">
        <f t="shared" si="16"/>
        <v>1</v>
      </c>
      <c r="G231" t="b">
        <f t="shared" si="17"/>
        <v>1</v>
      </c>
      <c r="H231">
        <v>0.37794315703683312</v>
      </c>
    </row>
    <row r="232" spans="1:8" x14ac:dyDescent="0.35">
      <c r="A232" s="13">
        <v>42699</v>
      </c>
      <c r="B232" s="14">
        <v>4550.2700000000004</v>
      </c>
      <c r="C232" s="2">
        <f t="shared" si="14"/>
        <v>1.6972808284314578E-3</v>
      </c>
      <c r="D232">
        <f t="shared" si="15"/>
        <v>1</v>
      </c>
      <c r="E232">
        <v>0.62697818920913162</v>
      </c>
      <c r="F232">
        <f t="shared" si="16"/>
        <v>1</v>
      </c>
      <c r="G232" t="b">
        <f t="shared" si="17"/>
        <v>1</v>
      </c>
      <c r="H232">
        <v>0.37794319702926593</v>
      </c>
    </row>
    <row r="233" spans="1:8" x14ac:dyDescent="0.35">
      <c r="A233" s="13">
        <v>42702</v>
      </c>
      <c r="B233" s="14">
        <v>4510.3900000000003</v>
      </c>
      <c r="C233" s="2">
        <f t="shared" si="14"/>
        <v>-8.7643150845994056E-3</v>
      </c>
      <c r="D233">
        <f t="shared" si="15"/>
        <v>0</v>
      </c>
      <c r="E233">
        <v>0.68418798968365568</v>
      </c>
      <c r="F233">
        <f t="shared" si="16"/>
        <v>1</v>
      </c>
      <c r="G233" t="b">
        <f t="shared" si="17"/>
        <v>0</v>
      </c>
      <c r="H233">
        <v>0.37794316687112589</v>
      </c>
    </row>
    <row r="234" spans="1:8" x14ac:dyDescent="0.35">
      <c r="A234" s="13">
        <v>42703</v>
      </c>
      <c r="B234" s="14">
        <v>4551.46</v>
      </c>
      <c r="C234" s="2">
        <f t="shared" si="14"/>
        <v>9.1056427492965941E-3</v>
      </c>
      <c r="D234">
        <f t="shared" si="15"/>
        <v>1</v>
      </c>
      <c r="E234">
        <v>0.64159173862731056</v>
      </c>
      <c r="F234">
        <f t="shared" si="16"/>
        <v>1</v>
      </c>
      <c r="G234" t="b">
        <f t="shared" si="17"/>
        <v>1</v>
      </c>
      <c r="H234">
        <v>0.37794317993225196</v>
      </c>
    </row>
    <row r="235" spans="1:8" x14ac:dyDescent="0.35">
      <c r="A235" s="13">
        <v>42704</v>
      </c>
      <c r="B235" s="14">
        <v>4578.34</v>
      </c>
      <c r="C235" s="2">
        <f t="shared" si="14"/>
        <v>5.9057972606593179E-3</v>
      </c>
      <c r="D235">
        <f t="shared" si="15"/>
        <v>1</v>
      </c>
      <c r="E235">
        <v>0.66013791471787286</v>
      </c>
      <c r="F235">
        <f t="shared" si="16"/>
        <v>1</v>
      </c>
      <c r="G235" t="b">
        <f t="shared" si="17"/>
        <v>1</v>
      </c>
      <c r="H235">
        <v>0.37794321185852153</v>
      </c>
    </row>
    <row r="236" spans="1:8" x14ac:dyDescent="0.35">
      <c r="A236" s="13">
        <v>42705</v>
      </c>
      <c r="B236" s="14">
        <v>4560.6099999999997</v>
      </c>
      <c r="C236" s="2">
        <f t="shared" si="14"/>
        <v>-3.8725826391226015E-3</v>
      </c>
      <c r="D236">
        <f t="shared" si="15"/>
        <v>0</v>
      </c>
      <c r="E236">
        <v>0.70446082959874912</v>
      </c>
      <c r="F236">
        <f t="shared" si="16"/>
        <v>1</v>
      </c>
      <c r="G236" t="b">
        <f t="shared" si="17"/>
        <v>0</v>
      </c>
      <c r="H236">
        <v>0.37794317814651862</v>
      </c>
    </row>
    <row r="237" spans="1:8" x14ac:dyDescent="0.35">
      <c r="A237" s="13">
        <v>42706</v>
      </c>
      <c r="B237" s="14">
        <v>4528.82</v>
      </c>
      <c r="C237" s="2">
        <f t="shared" si="14"/>
        <v>-6.9705587629724786E-3</v>
      </c>
      <c r="D237">
        <f t="shared" si="15"/>
        <v>0</v>
      </c>
      <c r="E237">
        <v>0.65827417452087567</v>
      </c>
      <c r="F237">
        <f t="shared" si="16"/>
        <v>1</v>
      </c>
      <c r="G237" t="b">
        <f t="shared" si="17"/>
        <v>0</v>
      </c>
      <c r="H237">
        <v>0.3779431104231204</v>
      </c>
    </row>
    <row r="238" spans="1:8" x14ac:dyDescent="0.35">
      <c r="A238" s="13">
        <v>42709</v>
      </c>
      <c r="B238" s="14">
        <v>4574.32</v>
      </c>
      <c r="C238" s="2">
        <f t="shared" si="14"/>
        <v>1.0046767149058722E-2</v>
      </c>
      <c r="D238">
        <f t="shared" si="15"/>
        <v>1</v>
      </c>
      <c r="E238">
        <v>0.55758628170433666</v>
      </c>
      <c r="F238">
        <f t="shared" si="16"/>
        <v>1</v>
      </c>
      <c r="G238" t="b">
        <f t="shared" si="17"/>
        <v>1</v>
      </c>
      <c r="H238">
        <v>0.37794311407164372</v>
      </c>
    </row>
    <row r="239" spans="1:8" x14ac:dyDescent="0.35">
      <c r="A239" s="13">
        <v>42710</v>
      </c>
      <c r="B239" s="14">
        <v>4631.9399999999996</v>
      </c>
      <c r="C239" s="2">
        <f t="shared" si="14"/>
        <v>1.2596407772084151E-2</v>
      </c>
      <c r="D239">
        <f t="shared" si="15"/>
        <v>1</v>
      </c>
      <c r="E239">
        <v>0.56298346151713585</v>
      </c>
      <c r="F239">
        <f t="shared" si="16"/>
        <v>1</v>
      </c>
      <c r="G239" t="b">
        <f t="shared" si="17"/>
        <v>1</v>
      </c>
      <c r="H239">
        <v>0.37794315254316763</v>
      </c>
    </row>
    <row r="240" spans="1:8" x14ac:dyDescent="0.35">
      <c r="A240" s="13">
        <v>42711</v>
      </c>
      <c r="B240" s="14">
        <v>4694.72</v>
      </c>
      <c r="C240" s="2">
        <f t="shared" si="14"/>
        <v>1.355371615349088E-2</v>
      </c>
      <c r="D240">
        <f t="shared" si="15"/>
        <v>1</v>
      </c>
      <c r="E240">
        <v>0.62122606241495137</v>
      </c>
      <c r="F240">
        <f t="shared" si="16"/>
        <v>1</v>
      </c>
      <c r="G240" t="b">
        <f t="shared" si="17"/>
        <v>1</v>
      </c>
      <c r="H240">
        <v>0.37794320161318112</v>
      </c>
    </row>
    <row r="241" spans="1:8" x14ac:dyDescent="0.35">
      <c r="A241" s="13">
        <v>42712</v>
      </c>
      <c r="B241" s="14">
        <v>4735.4799999999996</v>
      </c>
      <c r="C241" s="2">
        <f t="shared" si="14"/>
        <v>8.6820939267941988E-3</v>
      </c>
      <c r="D241">
        <f t="shared" si="15"/>
        <v>1</v>
      </c>
      <c r="E241">
        <v>0.6914761582494382</v>
      </c>
      <c r="F241">
        <f t="shared" si="16"/>
        <v>1</v>
      </c>
      <c r="G241" t="b">
        <f t="shared" si="17"/>
        <v>1</v>
      </c>
      <c r="H241">
        <v>0.37794324760102466</v>
      </c>
    </row>
    <row r="242" spans="1:8" x14ac:dyDescent="0.35">
      <c r="A242" s="13">
        <v>42713</v>
      </c>
      <c r="B242" s="14">
        <v>4764.07</v>
      </c>
      <c r="C242" s="2">
        <f t="shared" si="14"/>
        <v>6.0374027553702359E-3</v>
      </c>
      <c r="D242">
        <f t="shared" si="15"/>
        <v>1</v>
      </c>
      <c r="E242">
        <v>0.75118864183993383</v>
      </c>
      <c r="F242">
        <f t="shared" si="16"/>
        <v>1</v>
      </c>
      <c r="G242" t="b">
        <f t="shared" si="17"/>
        <v>1</v>
      </c>
      <c r="H242">
        <v>0.37794328565295982</v>
      </c>
    </row>
    <row r="243" spans="1:8" x14ac:dyDescent="0.35">
      <c r="A243" s="13">
        <v>42716</v>
      </c>
      <c r="B243" s="14">
        <v>4760.7700000000004</v>
      </c>
      <c r="C243" s="2">
        <f t="shared" si="14"/>
        <v>-6.9268503611397136E-4</v>
      </c>
      <c r="D243">
        <f t="shared" si="15"/>
        <v>0</v>
      </c>
      <c r="E243">
        <v>0.79483095667834536</v>
      </c>
      <c r="F243">
        <f t="shared" si="16"/>
        <v>1</v>
      </c>
      <c r="G243" t="b">
        <f t="shared" si="17"/>
        <v>0</v>
      </c>
      <c r="H243">
        <v>0.37794326255702654</v>
      </c>
    </row>
    <row r="244" spans="1:8" x14ac:dyDescent="0.35">
      <c r="A244" s="13">
        <v>42717</v>
      </c>
      <c r="B244" s="14">
        <v>4803.87</v>
      </c>
      <c r="C244" s="2">
        <f t="shared" si="14"/>
        <v>9.0531573674006438E-3</v>
      </c>
      <c r="D244">
        <f t="shared" si="15"/>
        <v>1</v>
      </c>
      <c r="E244">
        <v>0.76842963222345984</v>
      </c>
      <c r="F244">
        <f t="shared" si="16"/>
        <v>1</v>
      </c>
      <c r="G244" t="b">
        <f t="shared" si="17"/>
        <v>1</v>
      </c>
      <c r="H244">
        <v>0.37794326440610226</v>
      </c>
    </row>
    <row r="245" spans="1:8" x14ac:dyDescent="0.35">
      <c r="A245" s="13">
        <v>42718</v>
      </c>
      <c r="B245" s="14">
        <v>4769.24</v>
      </c>
      <c r="C245" s="2">
        <f t="shared" si="14"/>
        <v>-7.2087712615037658E-3</v>
      </c>
      <c r="D245">
        <f t="shared" si="15"/>
        <v>0</v>
      </c>
      <c r="E245">
        <v>0.77045483584678787</v>
      </c>
      <c r="F245">
        <f t="shared" si="16"/>
        <v>1</v>
      </c>
      <c r="G245" t="b">
        <f t="shared" si="17"/>
        <v>0</v>
      </c>
      <c r="H245">
        <v>0.37794322114624074</v>
      </c>
    </row>
    <row r="246" spans="1:8" x14ac:dyDescent="0.35">
      <c r="A246" s="13">
        <v>42719</v>
      </c>
      <c r="B246" s="14">
        <v>4819.2299999999996</v>
      </c>
      <c r="C246" s="2">
        <f t="shared" si="14"/>
        <v>1.0481753906282698E-2</v>
      </c>
      <c r="D246">
        <f t="shared" si="15"/>
        <v>1</v>
      </c>
      <c r="E246">
        <v>0.71566235041012771</v>
      </c>
      <c r="F246">
        <f t="shared" si="16"/>
        <v>1</v>
      </c>
      <c r="G246" t="b">
        <f t="shared" si="17"/>
        <v>1</v>
      </c>
      <c r="H246">
        <v>0.37794321844863871</v>
      </c>
    </row>
    <row r="247" spans="1:8" x14ac:dyDescent="0.35">
      <c r="A247" s="13">
        <v>42720</v>
      </c>
      <c r="B247" s="14">
        <v>4833.2700000000004</v>
      </c>
      <c r="C247" s="2">
        <f t="shared" si="14"/>
        <v>2.9133284777860258E-3</v>
      </c>
      <c r="D247">
        <f t="shared" si="15"/>
        <v>1</v>
      </c>
      <c r="E247">
        <v>0.71171149969004677</v>
      </c>
      <c r="F247">
        <f t="shared" si="16"/>
        <v>1</v>
      </c>
      <c r="G247" t="b">
        <f t="shared" si="17"/>
        <v>1</v>
      </c>
      <c r="H247">
        <v>0.37794323611737379</v>
      </c>
    </row>
    <row r="248" spans="1:8" x14ac:dyDescent="0.35">
      <c r="A248" s="13">
        <v>42723</v>
      </c>
      <c r="B248" s="14">
        <v>4822.7700000000004</v>
      </c>
      <c r="C248" s="2">
        <f t="shared" si="14"/>
        <v>-2.1724422595882364E-3</v>
      </c>
      <c r="D248">
        <f t="shared" si="15"/>
        <v>0</v>
      </c>
      <c r="E248">
        <v>0.73523206237800909</v>
      </c>
      <c r="F248">
        <f t="shared" si="16"/>
        <v>1</v>
      </c>
      <c r="G248" t="b">
        <f t="shared" si="17"/>
        <v>0</v>
      </c>
      <c r="H248">
        <v>0.37794319791392689</v>
      </c>
    </row>
    <row r="249" spans="1:8" x14ac:dyDescent="0.35">
      <c r="A249" s="13">
        <v>42724</v>
      </c>
      <c r="B249" s="14">
        <v>4849.8900000000003</v>
      </c>
      <c r="C249" s="2">
        <f t="shared" si="14"/>
        <v>5.6233243550904977E-3</v>
      </c>
      <c r="D249">
        <f t="shared" si="15"/>
        <v>1</v>
      </c>
      <c r="E249">
        <v>0.68397776727818682</v>
      </c>
      <c r="F249">
        <f t="shared" si="16"/>
        <v>1</v>
      </c>
      <c r="G249" t="b">
        <f t="shared" si="17"/>
        <v>1</v>
      </c>
      <c r="H249">
        <v>0.37794320141056892</v>
      </c>
    </row>
    <row r="250" spans="1:8" x14ac:dyDescent="0.35">
      <c r="A250" s="13">
        <v>42725</v>
      </c>
      <c r="B250" s="14">
        <v>4833.82</v>
      </c>
      <c r="C250" s="2">
        <f t="shared" si="14"/>
        <v>-3.3134772128853296E-3</v>
      </c>
      <c r="D250">
        <f t="shared" si="15"/>
        <v>0</v>
      </c>
      <c r="E250">
        <v>0.68877932877256887</v>
      </c>
      <c r="F250">
        <f t="shared" si="16"/>
        <v>1</v>
      </c>
      <c r="G250" t="b">
        <f t="shared" si="17"/>
        <v>0</v>
      </c>
      <c r="H250">
        <v>0.37794315376624055</v>
      </c>
    </row>
    <row r="251" spans="1:8" x14ac:dyDescent="0.35">
      <c r="A251" s="13">
        <v>42726</v>
      </c>
      <c r="B251" s="14">
        <v>4834.63</v>
      </c>
      <c r="C251" s="2">
        <f t="shared" si="14"/>
        <v>1.6756933439809885E-4</v>
      </c>
      <c r="D251">
        <f t="shared" si="15"/>
        <v>1</v>
      </c>
      <c r="E251">
        <v>0.61970090704698078</v>
      </c>
      <c r="F251">
        <f t="shared" si="16"/>
        <v>1</v>
      </c>
      <c r="G251" t="b">
        <f t="shared" si="17"/>
        <v>1</v>
      </c>
      <c r="H251">
        <v>0.37794316023108288</v>
      </c>
    </row>
    <row r="252" spans="1:8" x14ac:dyDescent="0.35">
      <c r="A252" s="13">
        <v>42727</v>
      </c>
      <c r="B252" s="14">
        <v>4839.68</v>
      </c>
      <c r="C252" s="2">
        <f t="shared" si="14"/>
        <v>1.0445473593636567E-3</v>
      </c>
      <c r="D252">
        <f t="shared" si="15"/>
        <v>1</v>
      </c>
      <c r="E252">
        <v>0.6289355877133197</v>
      </c>
      <c r="F252">
        <f t="shared" si="16"/>
        <v>1</v>
      </c>
      <c r="G252" t="b">
        <f t="shared" si="17"/>
        <v>1</v>
      </c>
      <c r="H252">
        <v>0.37794319251990827</v>
      </c>
    </row>
    <row r="253" spans="1:8" x14ac:dyDescent="0.35">
      <c r="A253" s="13">
        <v>42731</v>
      </c>
      <c r="B253" s="14">
        <v>4848.28</v>
      </c>
      <c r="C253" s="2">
        <f t="shared" si="14"/>
        <v>1.7769769902140631E-3</v>
      </c>
      <c r="D253">
        <f t="shared" si="15"/>
        <v>1</v>
      </c>
      <c r="E253">
        <v>0.6755319507719233</v>
      </c>
      <c r="F253">
        <f t="shared" si="16"/>
        <v>1</v>
      </c>
      <c r="G253" t="b">
        <f t="shared" si="17"/>
        <v>1</v>
      </c>
      <c r="H253">
        <v>0.37794323219863146</v>
      </c>
    </row>
    <row r="254" spans="1:8" x14ac:dyDescent="0.35">
      <c r="A254" s="13">
        <v>42732</v>
      </c>
      <c r="B254" s="14">
        <v>4848.01</v>
      </c>
      <c r="C254" s="2">
        <f t="shared" si="14"/>
        <v>-5.5689852896168013E-5</v>
      </c>
      <c r="D254">
        <f t="shared" si="15"/>
        <v>0</v>
      </c>
      <c r="E254">
        <v>0.72892332102312507</v>
      </c>
      <c r="F254">
        <f t="shared" si="16"/>
        <v>1</v>
      </c>
      <c r="G254" t="b">
        <f t="shared" si="17"/>
        <v>0</v>
      </c>
      <c r="H254">
        <v>0.3779432036568986</v>
      </c>
    </row>
    <row r="255" spans="1:8" x14ac:dyDescent="0.35">
      <c r="A255" s="13">
        <v>42733</v>
      </c>
      <c r="B255" s="14">
        <v>4838.47</v>
      </c>
      <c r="C255" s="2">
        <f t="shared" si="14"/>
        <v>-1.9678177231482463E-3</v>
      </c>
      <c r="D255">
        <f t="shared" si="15"/>
        <v>0</v>
      </c>
      <c r="E255">
        <v>0.69150700447581748</v>
      </c>
      <c r="F255">
        <f t="shared" si="16"/>
        <v>1</v>
      </c>
      <c r="G255" t="b">
        <f t="shared" si="17"/>
        <v>0</v>
      </c>
      <c r="H255">
        <v>0.37794313931052648</v>
      </c>
    </row>
    <row r="256" spans="1:8" x14ac:dyDescent="0.35">
      <c r="A256" s="13">
        <v>42734</v>
      </c>
      <c r="B256" s="14">
        <v>4862.3100000000004</v>
      </c>
      <c r="C256" s="2">
        <f t="shared" si="14"/>
        <v>4.9271773928536433E-3</v>
      </c>
      <c r="D256">
        <f t="shared" si="15"/>
        <v>1</v>
      </c>
      <c r="E256">
        <v>0.59852559396492966</v>
      </c>
      <c r="F256">
        <f t="shared" si="16"/>
        <v>1</v>
      </c>
      <c r="G256" t="b">
        <f t="shared" si="17"/>
        <v>1</v>
      </c>
      <c r="H256">
        <v>0.37794314004319352</v>
      </c>
    </row>
    <row r="257" spans="1:8" x14ac:dyDescent="0.35">
      <c r="A257" s="13">
        <v>42737</v>
      </c>
      <c r="B257" s="14">
        <v>4882.38</v>
      </c>
      <c r="C257" s="2">
        <f t="shared" si="14"/>
        <v>4.1276677134940432E-3</v>
      </c>
      <c r="D257">
        <f t="shared" si="15"/>
        <v>1</v>
      </c>
      <c r="E257">
        <v>0.59928598083194873</v>
      </c>
      <c r="F257">
        <f t="shared" si="16"/>
        <v>1</v>
      </c>
      <c r="G257" t="b">
        <f t="shared" si="17"/>
        <v>1</v>
      </c>
      <c r="H257">
        <v>0.37794317300855884</v>
      </c>
    </row>
    <row r="258" spans="1:8" x14ac:dyDescent="0.35">
      <c r="A258" s="13">
        <v>42738</v>
      </c>
      <c r="B258" s="14">
        <v>4899.33</v>
      </c>
      <c r="C258" s="2">
        <f t="shared" si="14"/>
        <v>3.4716675064210278E-3</v>
      </c>
      <c r="D258">
        <f t="shared" si="15"/>
        <v>1</v>
      </c>
      <c r="E258">
        <v>0.64806786457062637</v>
      </c>
      <c r="F258">
        <f t="shared" si="16"/>
        <v>1</v>
      </c>
      <c r="G258" t="b">
        <f t="shared" si="17"/>
        <v>1</v>
      </c>
      <c r="H258">
        <v>0.37794321632014322</v>
      </c>
    </row>
    <row r="259" spans="1:8" x14ac:dyDescent="0.35">
      <c r="A259" s="13">
        <v>42739</v>
      </c>
      <c r="B259" s="14">
        <v>4899.3999999999996</v>
      </c>
      <c r="C259" s="2">
        <f t="shared" si="14"/>
        <v>1.4287667905454882E-5</v>
      </c>
      <c r="D259">
        <f t="shared" si="15"/>
        <v>1</v>
      </c>
      <c r="E259">
        <v>0.70830551259369523</v>
      </c>
      <c r="F259">
        <f t="shared" si="16"/>
        <v>1</v>
      </c>
      <c r="G259" t="b">
        <f t="shared" si="17"/>
        <v>1</v>
      </c>
      <c r="H259">
        <v>0.3779432579034262</v>
      </c>
    </row>
    <row r="260" spans="1:8" x14ac:dyDescent="0.35">
      <c r="A260" s="13">
        <v>42740</v>
      </c>
      <c r="B260" s="14">
        <v>4900.6400000000003</v>
      </c>
      <c r="C260" s="2">
        <f t="shared" ref="C260:C323" si="18">(B260/B259)-1</f>
        <v>2.530922153733961E-4</v>
      </c>
      <c r="D260">
        <f t="shared" si="15"/>
        <v>1</v>
      </c>
      <c r="E260">
        <v>0.76048319157292898</v>
      </c>
      <c r="F260">
        <f t="shared" si="16"/>
        <v>1</v>
      </c>
      <c r="G260" t="b">
        <f t="shared" si="17"/>
        <v>1</v>
      </c>
      <c r="H260">
        <v>0.37794329299484752</v>
      </c>
    </row>
    <row r="261" spans="1:8" x14ac:dyDescent="0.35">
      <c r="A261" s="13">
        <v>42741</v>
      </c>
      <c r="B261" s="14">
        <v>4909.84</v>
      </c>
      <c r="C261" s="2">
        <f t="shared" si="18"/>
        <v>1.8773058212804283E-3</v>
      </c>
      <c r="D261">
        <f t="shared" si="15"/>
        <v>1</v>
      </c>
      <c r="E261">
        <v>0.79956380972273899</v>
      </c>
      <c r="F261">
        <f t="shared" si="16"/>
        <v>1</v>
      </c>
      <c r="G261" t="b">
        <f t="shared" si="17"/>
        <v>1</v>
      </c>
      <c r="H261">
        <v>0.3779433210128707</v>
      </c>
    </row>
    <row r="262" spans="1:8" x14ac:dyDescent="0.35">
      <c r="A262" s="13">
        <v>42744</v>
      </c>
      <c r="B262" s="14">
        <v>4887.57</v>
      </c>
      <c r="C262" s="2">
        <f t="shared" si="18"/>
        <v>-4.5357893536246419E-3</v>
      </c>
      <c r="D262">
        <f t="shared" ref="D262:D325" si="19">IF(C262&gt;=0,1,0)</f>
        <v>0</v>
      </c>
      <c r="E262">
        <v>0.82736873588091409</v>
      </c>
      <c r="F262">
        <f t="shared" si="16"/>
        <v>1</v>
      </c>
      <c r="G262" t="b">
        <f t="shared" si="17"/>
        <v>0</v>
      </c>
      <c r="H262">
        <v>0.37794329636778329</v>
      </c>
    </row>
    <row r="263" spans="1:8" x14ac:dyDescent="0.35">
      <c r="A263" s="13">
        <v>42745</v>
      </c>
      <c r="B263" s="14">
        <v>4888.2299999999996</v>
      </c>
      <c r="C263" s="2">
        <f t="shared" si="18"/>
        <v>1.3503642914569625E-4</v>
      </c>
      <c r="D263">
        <f t="shared" si="19"/>
        <v>1</v>
      </c>
      <c r="E263">
        <v>0.80277619481180584</v>
      </c>
      <c r="F263">
        <f t="shared" si="16"/>
        <v>1</v>
      </c>
      <c r="G263" t="b">
        <f t="shared" si="17"/>
        <v>1</v>
      </c>
      <c r="H263">
        <v>0.37794329428474466</v>
      </c>
    </row>
    <row r="264" spans="1:8" x14ac:dyDescent="0.35">
      <c r="A264" s="13">
        <v>42746</v>
      </c>
      <c r="B264" s="14">
        <v>4888.71</v>
      </c>
      <c r="C264" s="2">
        <f t="shared" si="18"/>
        <v>9.8195052196992094E-5</v>
      </c>
      <c r="D264">
        <f t="shared" si="19"/>
        <v>1</v>
      </c>
      <c r="E264">
        <v>0.80050505492237212</v>
      </c>
      <c r="F264">
        <f t="shared" si="16"/>
        <v>1</v>
      </c>
      <c r="G264" t="b">
        <f t="shared" si="17"/>
        <v>1</v>
      </c>
      <c r="H264">
        <v>0.37794330365571349</v>
      </c>
    </row>
    <row r="265" spans="1:8" x14ac:dyDescent="0.35">
      <c r="A265" s="13">
        <v>42747</v>
      </c>
      <c r="B265" s="14">
        <v>4863.97</v>
      </c>
      <c r="C265" s="2">
        <f t="shared" si="18"/>
        <v>-5.0606397188623919E-3</v>
      </c>
      <c r="D265">
        <f t="shared" si="19"/>
        <v>0</v>
      </c>
      <c r="E265">
        <v>0.81015991958427147</v>
      </c>
      <c r="F265">
        <f t="shared" ref="F265:F328" si="20">IF(E265&gt;=0.5,1,0)</f>
        <v>1</v>
      </c>
      <c r="G265" t="b">
        <f t="shared" ref="G265:G328" si="21">IF(D265=F265,TRUE,FALSE)</f>
        <v>0</v>
      </c>
      <c r="H265">
        <v>0.37794326717754589</v>
      </c>
    </row>
    <row r="266" spans="1:8" x14ac:dyDescent="0.35">
      <c r="A266" s="13">
        <v>42748</v>
      </c>
      <c r="B266" s="14">
        <v>4922.49</v>
      </c>
      <c r="C266" s="2">
        <f t="shared" si="18"/>
        <v>1.2031324206358107E-2</v>
      </c>
      <c r="D266">
        <f t="shared" si="19"/>
        <v>1</v>
      </c>
      <c r="E266">
        <v>0.77083545206947213</v>
      </c>
      <c r="F266">
        <f t="shared" si="20"/>
        <v>1</v>
      </c>
      <c r="G266" t="b">
        <f t="shared" si="21"/>
        <v>1</v>
      </c>
      <c r="H266">
        <v>0.37794326241520848</v>
      </c>
    </row>
    <row r="267" spans="1:8" x14ac:dyDescent="0.35">
      <c r="A267" s="13">
        <v>42751</v>
      </c>
      <c r="B267" s="14">
        <v>4882.18</v>
      </c>
      <c r="C267" s="2">
        <f t="shared" si="18"/>
        <v>-8.1889450257897067E-3</v>
      </c>
      <c r="D267">
        <f t="shared" si="19"/>
        <v>0</v>
      </c>
      <c r="E267">
        <v>0.76518688614826347</v>
      </c>
      <c r="F267">
        <f t="shared" si="20"/>
        <v>1</v>
      </c>
      <c r="G267" t="b">
        <f t="shared" si="21"/>
        <v>0</v>
      </c>
      <c r="H267">
        <v>0.37794321420375421</v>
      </c>
    </row>
    <row r="268" spans="1:8" x14ac:dyDescent="0.35">
      <c r="A268" s="13">
        <v>42752</v>
      </c>
      <c r="B268" s="14">
        <v>4859.6899999999996</v>
      </c>
      <c r="C268" s="2">
        <f t="shared" si="18"/>
        <v>-4.6065487138943206E-3</v>
      </c>
      <c r="D268">
        <f t="shared" si="19"/>
        <v>0</v>
      </c>
      <c r="E268">
        <v>0.70461609102360645</v>
      </c>
      <c r="F268">
        <f t="shared" si="20"/>
        <v>1</v>
      </c>
      <c r="G268" t="b">
        <f t="shared" si="21"/>
        <v>0</v>
      </c>
      <c r="H268">
        <v>0.37794313965474896</v>
      </c>
    </row>
    <row r="269" spans="1:8" x14ac:dyDescent="0.35">
      <c r="A269" s="13">
        <v>42753</v>
      </c>
      <c r="B269" s="14">
        <v>4853.3999999999996</v>
      </c>
      <c r="C269" s="2">
        <f t="shared" si="18"/>
        <v>-1.2943212427130035E-3</v>
      </c>
      <c r="D269">
        <f t="shared" si="19"/>
        <v>0</v>
      </c>
      <c r="E269">
        <v>0.59831667533739807</v>
      </c>
      <c r="F269">
        <f t="shared" si="20"/>
        <v>1</v>
      </c>
      <c r="G269" t="b">
        <f t="shared" si="21"/>
        <v>0</v>
      </c>
      <c r="H269">
        <v>0.37794305212684109</v>
      </c>
    </row>
    <row r="270" spans="1:8" x14ac:dyDescent="0.35">
      <c r="A270" s="13">
        <v>42754</v>
      </c>
      <c r="B270" s="14">
        <v>4841.1400000000003</v>
      </c>
      <c r="C270" s="2">
        <f t="shared" si="18"/>
        <v>-2.5260642024146351E-3</v>
      </c>
      <c r="D270">
        <f t="shared" si="19"/>
        <v>0</v>
      </c>
      <c r="E270">
        <v>0.4639177563719557</v>
      </c>
      <c r="F270">
        <f t="shared" si="20"/>
        <v>0</v>
      </c>
      <c r="G270" t="b">
        <f t="shared" si="21"/>
        <v>1</v>
      </c>
      <c r="H270">
        <v>0.3779429672368772</v>
      </c>
    </row>
    <row r="271" spans="1:8" x14ac:dyDescent="0.35">
      <c r="A271" s="13">
        <v>42755</v>
      </c>
      <c r="B271" s="14">
        <v>4850.67</v>
      </c>
      <c r="C271" s="2">
        <f t="shared" si="18"/>
        <v>1.9685445989994221E-3</v>
      </c>
      <c r="D271">
        <f t="shared" si="19"/>
        <v>1</v>
      </c>
      <c r="E271">
        <v>0.34035285373030416</v>
      </c>
      <c r="F271">
        <f t="shared" si="20"/>
        <v>0</v>
      </c>
      <c r="G271" t="b">
        <f t="shared" si="21"/>
        <v>0</v>
      </c>
      <c r="H271">
        <v>0.37794297769497642</v>
      </c>
    </row>
    <row r="272" spans="1:8" x14ac:dyDescent="0.35">
      <c r="A272" s="13">
        <v>42758</v>
      </c>
      <c r="B272" s="14">
        <v>4821.41</v>
      </c>
      <c r="C272" s="2">
        <f t="shared" si="18"/>
        <v>-6.032156382520415E-3</v>
      </c>
      <c r="D272">
        <f t="shared" si="19"/>
        <v>0</v>
      </c>
      <c r="E272">
        <v>0.35328384448206945</v>
      </c>
      <c r="F272">
        <f t="shared" si="20"/>
        <v>0</v>
      </c>
      <c r="G272" t="b">
        <f t="shared" si="21"/>
        <v>1</v>
      </c>
      <c r="H272">
        <v>0.3779429542125281</v>
      </c>
    </row>
    <row r="273" spans="1:8" x14ac:dyDescent="0.35">
      <c r="A273" s="13">
        <v>42759</v>
      </c>
      <c r="B273" s="14">
        <v>4830.03</v>
      </c>
      <c r="C273" s="2">
        <f t="shared" si="18"/>
        <v>1.7878587384188016E-3</v>
      </c>
      <c r="D273">
        <f t="shared" si="19"/>
        <v>1</v>
      </c>
      <c r="E273">
        <v>0.32126323643705534</v>
      </c>
      <c r="F273">
        <f t="shared" si="20"/>
        <v>0</v>
      </c>
      <c r="G273" t="b">
        <f t="shared" si="21"/>
        <v>0</v>
      </c>
      <c r="H273">
        <v>0.37794299488776478</v>
      </c>
    </row>
    <row r="274" spans="1:8" x14ac:dyDescent="0.35">
      <c r="A274" s="13">
        <v>42760</v>
      </c>
      <c r="B274" s="14">
        <v>4877.67</v>
      </c>
      <c r="C274" s="2">
        <f t="shared" si="18"/>
        <v>9.8632927745792021E-3</v>
      </c>
      <c r="D274">
        <f t="shared" si="19"/>
        <v>1</v>
      </c>
      <c r="E274">
        <v>0.376469647784473</v>
      </c>
      <c r="F274">
        <f t="shared" si="20"/>
        <v>0</v>
      </c>
      <c r="G274" t="b">
        <f t="shared" si="21"/>
        <v>0</v>
      </c>
      <c r="H274">
        <v>0.37794306645728293</v>
      </c>
    </row>
    <row r="275" spans="1:8" x14ac:dyDescent="0.35">
      <c r="A275" s="13">
        <v>42761</v>
      </c>
      <c r="B275" s="14">
        <v>4867.24</v>
      </c>
      <c r="C275" s="2">
        <f t="shared" si="18"/>
        <v>-2.1383160402406176E-3</v>
      </c>
      <c r="D275">
        <f t="shared" si="19"/>
        <v>0</v>
      </c>
      <c r="E275">
        <v>0.48242197083560123</v>
      </c>
      <c r="F275">
        <f t="shared" si="20"/>
        <v>0</v>
      </c>
      <c r="G275" t="b">
        <f t="shared" si="21"/>
        <v>1</v>
      </c>
      <c r="H275">
        <v>0.37794306044248177</v>
      </c>
    </row>
    <row r="276" spans="1:8" x14ac:dyDescent="0.35">
      <c r="A276" s="13">
        <v>42762</v>
      </c>
      <c r="B276" s="14">
        <v>4839.9799999999996</v>
      </c>
      <c r="C276" s="2">
        <f t="shared" si="18"/>
        <v>-5.6007100533361776E-3</v>
      </c>
      <c r="D276">
        <f t="shared" si="19"/>
        <v>0</v>
      </c>
      <c r="E276">
        <v>0.47238507989045425</v>
      </c>
      <c r="F276">
        <f t="shared" si="20"/>
        <v>0</v>
      </c>
      <c r="G276" t="b">
        <f t="shared" si="21"/>
        <v>1</v>
      </c>
      <c r="H276">
        <v>0.37794301587620238</v>
      </c>
    </row>
    <row r="277" spans="1:8" x14ac:dyDescent="0.35">
      <c r="A277" s="13">
        <v>42765</v>
      </c>
      <c r="B277" s="14">
        <v>4784.6400000000003</v>
      </c>
      <c r="C277" s="2">
        <f t="shared" si="18"/>
        <v>-1.1433931545171472E-2</v>
      </c>
      <c r="D277">
        <f t="shared" si="19"/>
        <v>0</v>
      </c>
      <c r="E277">
        <v>0.40559633485621438</v>
      </c>
      <c r="F277">
        <f t="shared" si="20"/>
        <v>0</v>
      </c>
      <c r="G277" t="b">
        <f t="shared" si="21"/>
        <v>1</v>
      </c>
      <c r="H277">
        <v>0.37794295881567236</v>
      </c>
    </row>
    <row r="278" spans="1:8" x14ac:dyDescent="0.35">
      <c r="A278" s="13">
        <v>42766</v>
      </c>
      <c r="B278" s="14">
        <v>4748.8999999999996</v>
      </c>
      <c r="C278" s="2">
        <f t="shared" si="18"/>
        <v>-7.4697364901018526E-3</v>
      </c>
      <c r="D278">
        <f t="shared" si="19"/>
        <v>0</v>
      </c>
      <c r="E278">
        <v>0.32601313839730045</v>
      </c>
      <c r="F278">
        <f t="shared" si="20"/>
        <v>0</v>
      </c>
      <c r="G278" t="b">
        <f t="shared" si="21"/>
        <v>1</v>
      </c>
      <c r="H278">
        <v>0.37794290432011884</v>
      </c>
    </row>
    <row r="279" spans="1:8" x14ac:dyDescent="0.35">
      <c r="A279" s="13">
        <v>42767</v>
      </c>
      <c r="B279" s="14">
        <v>4794.58</v>
      </c>
      <c r="C279" s="2">
        <f t="shared" si="18"/>
        <v>9.6190696792941566E-3</v>
      </c>
      <c r="D279">
        <f t="shared" si="19"/>
        <v>1</v>
      </c>
      <c r="E279">
        <v>0.25915973898672445</v>
      </c>
      <c r="F279">
        <f t="shared" si="20"/>
        <v>0</v>
      </c>
      <c r="G279" t="b">
        <f t="shared" si="21"/>
        <v>0</v>
      </c>
      <c r="H279">
        <v>0.37794292851363337</v>
      </c>
    </row>
    <row r="280" spans="1:8" x14ac:dyDescent="0.35">
      <c r="A280" s="13">
        <v>42768</v>
      </c>
      <c r="B280" s="14">
        <v>4794.29</v>
      </c>
      <c r="C280" s="2">
        <f t="shared" si="18"/>
        <v>-6.0484964272133901E-5</v>
      </c>
      <c r="D280">
        <f t="shared" si="19"/>
        <v>0</v>
      </c>
      <c r="E280">
        <v>0.28694780341151493</v>
      </c>
      <c r="F280">
        <f t="shared" si="20"/>
        <v>0</v>
      </c>
      <c r="G280" t="b">
        <f t="shared" si="21"/>
        <v>1</v>
      </c>
      <c r="H280">
        <v>0.3779429196337149</v>
      </c>
    </row>
    <row r="281" spans="1:8" x14ac:dyDescent="0.35">
      <c r="A281" s="13">
        <v>42769</v>
      </c>
      <c r="B281" s="14">
        <v>4825.42</v>
      </c>
      <c r="C281" s="2">
        <f t="shared" si="18"/>
        <v>6.4931407987418588E-3</v>
      </c>
      <c r="D281">
        <f t="shared" si="19"/>
        <v>1</v>
      </c>
      <c r="E281">
        <v>0.27588894753045257</v>
      </c>
      <c r="F281">
        <f t="shared" si="20"/>
        <v>0</v>
      </c>
      <c r="G281" t="b">
        <f t="shared" si="21"/>
        <v>0</v>
      </c>
      <c r="H281">
        <v>0.37794296663417853</v>
      </c>
    </row>
    <row r="282" spans="1:8" x14ac:dyDescent="0.35">
      <c r="A282" s="13">
        <v>42772</v>
      </c>
      <c r="B282" s="14">
        <v>4778.08</v>
      </c>
      <c r="C282" s="2">
        <f t="shared" si="18"/>
        <v>-9.81054498883005E-3</v>
      </c>
      <c r="D282">
        <f t="shared" si="19"/>
        <v>0</v>
      </c>
      <c r="E282">
        <v>0.33518805544966668</v>
      </c>
      <c r="F282">
        <f t="shared" si="20"/>
        <v>0</v>
      </c>
      <c r="G282" t="b">
        <f t="shared" si="21"/>
        <v>1</v>
      </c>
      <c r="H282">
        <v>0.37794296368838515</v>
      </c>
    </row>
    <row r="283" spans="1:8" x14ac:dyDescent="0.35">
      <c r="A283" s="13">
        <v>42773</v>
      </c>
      <c r="B283" s="14">
        <v>4754.47</v>
      </c>
      <c r="C283" s="2">
        <f t="shared" si="18"/>
        <v>-4.9413153400528209E-3</v>
      </c>
      <c r="D283">
        <f t="shared" si="19"/>
        <v>0</v>
      </c>
      <c r="E283">
        <v>0.3310040773381267</v>
      </c>
      <c r="F283">
        <f t="shared" si="20"/>
        <v>0</v>
      </c>
      <c r="G283" t="b">
        <f t="shared" si="21"/>
        <v>1</v>
      </c>
      <c r="H283">
        <v>0.37794293574606314</v>
      </c>
    </row>
    <row r="284" spans="1:8" x14ac:dyDescent="0.35">
      <c r="A284" s="13">
        <v>42774</v>
      </c>
      <c r="B284" s="14">
        <v>4766.6000000000004</v>
      </c>
      <c r="C284" s="2">
        <f t="shared" si="18"/>
        <v>2.5512833186454031E-3</v>
      </c>
      <c r="D284">
        <f t="shared" si="19"/>
        <v>1</v>
      </c>
      <c r="E284">
        <v>0.29546075998189769</v>
      </c>
      <c r="F284">
        <f t="shared" si="20"/>
        <v>0</v>
      </c>
      <c r="G284" t="b">
        <f t="shared" si="21"/>
        <v>0</v>
      </c>
      <c r="H284">
        <v>0.37794297444477287</v>
      </c>
    </row>
    <row r="285" spans="1:8" x14ac:dyDescent="0.35">
      <c r="A285" s="13">
        <v>42775</v>
      </c>
      <c r="B285" s="14">
        <v>4826.24</v>
      </c>
      <c r="C285" s="2">
        <f t="shared" si="18"/>
        <v>1.2512063105777571E-2</v>
      </c>
      <c r="D285">
        <f t="shared" si="19"/>
        <v>1</v>
      </c>
      <c r="E285">
        <v>0.34529984188254104</v>
      </c>
      <c r="F285">
        <f t="shared" si="20"/>
        <v>0</v>
      </c>
      <c r="G285" t="b">
        <f t="shared" si="21"/>
        <v>0</v>
      </c>
      <c r="H285">
        <v>0.37794304567629</v>
      </c>
    </row>
    <row r="286" spans="1:8" x14ac:dyDescent="0.35">
      <c r="A286" s="13">
        <v>42776</v>
      </c>
      <c r="B286" s="14">
        <v>4828.32</v>
      </c>
      <c r="C286" s="2">
        <f t="shared" si="18"/>
        <v>4.30977323962356E-4</v>
      </c>
      <c r="D286">
        <f t="shared" si="19"/>
        <v>1</v>
      </c>
      <c r="E286">
        <v>0.44782401241398878</v>
      </c>
      <c r="F286">
        <f t="shared" si="20"/>
        <v>0</v>
      </c>
      <c r="G286" t="b">
        <f t="shared" si="21"/>
        <v>0</v>
      </c>
      <c r="H286">
        <v>0.37794312767122545</v>
      </c>
    </row>
    <row r="287" spans="1:8" x14ac:dyDescent="0.35">
      <c r="A287" s="13">
        <v>42779</v>
      </c>
      <c r="B287" s="14">
        <v>4888.1899999999996</v>
      </c>
      <c r="C287" s="2">
        <f t="shared" si="18"/>
        <v>1.2399758093912583E-2</v>
      </c>
      <c r="D287">
        <f t="shared" si="19"/>
        <v>1</v>
      </c>
      <c r="E287">
        <v>0.57398452975751291</v>
      </c>
      <c r="F287">
        <f t="shared" si="20"/>
        <v>1</v>
      </c>
      <c r="G287" t="b">
        <f t="shared" si="21"/>
        <v>1</v>
      </c>
      <c r="H287">
        <v>0.37794320343202642</v>
      </c>
    </row>
    <row r="288" spans="1:8" x14ac:dyDescent="0.35">
      <c r="A288" s="13">
        <v>42780</v>
      </c>
      <c r="B288" s="14">
        <v>4895.82</v>
      </c>
      <c r="C288" s="2">
        <f t="shared" si="18"/>
        <v>1.5609049566405186E-3</v>
      </c>
      <c r="D288">
        <f t="shared" si="19"/>
        <v>1</v>
      </c>
      <c r="E288">
        <v>0.68480525828704608</v>
      </c>
      <c r="F288">
        <f t="shared" si="20"/>
        <v>1</v>
      </c>
      <c r="G288" t="b">
        <f t="shared" si="21"/>
        <v>1</v>
      </c>
      <c r="H288">
        <v>0.37794326341053702</v>
      </c>
    </row>
    <row r="289" spans="1:8" x14ac:dyDescent="0.35">
      <c r="A289" s="13">
        <v>42781</v>
      </c>
      <c r="B289" s="14">
        <v>4924.8599999999997</v>
      </c>
      <c r="C289" s="2">
        <f t="shared" si="18"/>
        <v>5.9315906222041637E-3</v>
      </c>
      <c r="D289">
        <f t="shared" si="19"/>
        <v>1</v>
      </c>
      <c r="E289">
        <v>0.76162641696097555</v>
      </c>
      <c r="F289">
        <f t="shared" si="20"/>
        <v>1</v>
      </c>
      <c r="G289" t="b">
        <f t="shared" si="21"/>
        <v>1</v>
      </c>
      <c r="H289">
        <v>0.3779433075160557</v>
      </c>
    </row>
    <row r="290" spans="1:8" x14ac:dyDescent="0.35">
      <c r="A290" s="13">
        <v>42782</v>
      </c>
      <c r="B290" s="14">
        <v>4899.46</v>
      </c>
      <c r="C290" s="2">
        <f t="shared" si="18"/>
        <v>-5.1575070154278313E-3</v>
      </c>
      <c r="D290">
        <f t="shared" si="19"/>
        <v>0</v>
      </c>
      <c r="E290">
        <v>0.80968773619029333</v>
      </c>
      <c r="F290">
        <f t="shared" si="20"/>
        <v>1</v>
      </c>
      <c r="G290" t="b">
        <f t="shared" si="21"/>
        <v>0</v>
      </c>
      <c r="H290">
        <v>0.37794328925345744</v>
      </c>
    </row>
    <row r="291" spans="1:8" x14ac:dyDescent="0.35">
      <c r="A291" s="13">
        <v>42783</v>
      </c>
      <c r="B291" s="14">
        <v>4867.58</v>
      </c>
      <c r="C291" s="2">
        <f t="shared" si="18"/>
        <v>-6.506839529254238E-3</v>
      </c>
      <c r="D291">
        <f t="shared" si="19"/>
        <v>0</v>
      </c>
      <c r="E291">
        <v>0.78951815400377379</v>
      </c>
      <c r="F291">
        <f t="shared" si="20"/>
        <v>1</v>
      </c>
      <c r="G291" t="b">
        <f t="shared" si="21"/>
        <v>0</v>
      </c>
      <c r="H291">
        <v>0.37794323710157263</v>
      </c>
    </row>
    <row r="292" spans="1:8" x14ac:dyDescent="0.35">
      <c r="A292" s="13">
        <v>42786</v>
      </c>
      <c r="B292" s="14">
        <v>4864.99</v>
      </c>
      <c r="C292" s="2">
        <f t="shared" si="18"/>
        <v>-5.3209192247483106E-4</v>
      </c>
      <c r="D292">
        <f t="shared" si="19"/>
        <v>0</v>
      </c>
      <c r="E292">
        <v>0.72637880955516276</v>
      </c>
      <c r="F292">
        <f t="shared" si="20"/>
        <v>1</v>
      </c>
      <c r="G292" t="b">
        <f t="shared" si="21"/>
        <v>0</v>
      </c>
      <c r="H292">
        <v>0.37794316294937008</v>
      </c>
    </row>
    <row r="293" spans="1:8" x14ac:dyDescent="0.35">
      <c r="A293" s="13">
        <v>42787</v>
      </c>
      <c r="B293" s="14">
        <v>4888.76</v>
      </c>
      <c r="C293" s="2">
        <f t="shared" si="18"/>
        <v>4.8859298785814964E-3</v>
      </c>
      <c r="D293">
        <f t="shared" si="19"/>
        <v>1</v>
      </c>
      <c r="E293">
        <v>0.62088182118104296</v>
      </c>
      <c r="F293">
        <f t="shared" si="20"/>
        <v>1</v>
      </c>
      <c r="G293" t="b">
        <f t="shared" si="21"/>
        <v>1</v>
      </c>
      <c r="H293">
        <v>0.37794315565911701</v>
      </c>
    </row>
    <row r="294" spans="1:8" x14ac:dyDescent="0.35">
      <c r="A294" s="13">
        <v>42788</v>
      </c>
      <c r="B294" s="14">
        <v>4895.88</v>
      </c>
      <c r="C294" s="2">
        <f t="shared" si="18"/>
        <v>1.4564020324172589E-3</v>
      </c>
      <c r="D294">
        <f t="shared" si="19"/>
        <v>1</v>
      </c>
      <c r="E294">
        <v>0.60910059001508488</v>
      </c>
      <c r="F294">
        <f t="shared" si="20"/>
        <v>1</v>
      </c>
      <c r="G294" t="b">
        <f t="shared" si="21"/>
        <v>1</v>
      </c>
      <c r="H294">
        <v>0.37794318281334088</v>
      </c>
    </row>
    <row r="295" spans="1:8" x14ac:dyDescent="0.35">
      <c r="A295" s="13">
        <v>42789</v>
      </c>
      <c r="B295" s="14">
        <v>4891.29</v>
      </c>
      <c r="C295" s="2">
        <f t="shared" si="18"/>
        <v>-9.3752297850435706E-4</v>
      </c>
      <c r="D295">
        <f t="shared" si="19"/>
        <v>0</v>
      </c>
      <c r="E295">
        <v>0.64985313194958272</v>
      </c>
      <c r="F295">
        <f t="shared" si="20"/>
        <v>1</v>
      </c>
      <c r="G295" t="b">
        <f t="shared" si="21"/>
        <v>0</v>
      </c>
      <c r="H295">
        <v>0.37794314664961948</v>
      </c>
    </row>
    <row r="296" spans="1:8" x14ac:dyDescent="0.35">
      <c r="A296" s="13">
        <v>42790</v>
      </c>
      <c r="B296" s="14">
        <v>4845.24</v>
      </c>
      <c r="C296" s="2">
        <f t="shared" si="18"/>
        <v>-9.4146942831032643E-3</v>
      </c>
      <c r="D296">
        <f t="shared" si="19"/>
        <v>0</v>
      </c>
      <c r="E296">
        <v>0.59588807569975277</v>
      </c>
      <c r="F296">
        <f t="shared" si="20"/>
        <v>1</v>
      </c>
      <c r="G296" t="b">
        <f t="shared" si="21"/>
        <v>0</v>
      </c>
      <c r="H296">
        <v>0.37794307952188683</v>
      </c>
    </row>
    <row r="297" spans="1:8" x14ac:dyDescent="0.35">
      <c r="A297" s="13">
        <v>42793</v>
      </c>
      <c r="B297" s="14">
        <v>4845.18</v>
      </c>
      <c r="C297" s="2">
        <f t="shared" si="18"/>
        <v>-1.2383287515072006E-5</v>
      </c>
      <c r="D297">
        <f t="shared" si="19"/>
        <v>0</v>
      </c>
      <c r="E297">
        <v>0.49150414438221252</v>
      </c>
      <c r="F297">
        <f t="shared" si="20"/>
        <v>0</v>
      </c>
      <c r="G297" t="b">
        <f t="shared" si="21"/>
        <v>1</v>
      </c>
      <c r="H297">
        <v>0.37794300251702762</v>
      </c>
    </row>
    <row r="298" spans="1:8" x14ac:dyDescent="0.35">
      <c r="A298" s="13">
        <v>42794</v>
      </c>
      <c r="B298" s="14">
        <v>4858.58</v>
      </c>
      <c r="C298" s="2">
        <f t="shared" si="18"/>
        <v>2.7656351260427758E-3</v>
      </c>
      <c r="D298">
        <f t="shared" si="19"/>
        <v>1</v>
      </c>
      <c r="E298">
        <v>0.37585183621842921</v>
      </c>
      <c r="F298">
        <f t="shared" si="20"/>
        <v>0</v>
      </c>
      <c r="G298" t="b">
        <f t="shared" si="21"/>
        <v>0</v>
      </c>
      <c r="H298">
        <v>0.3779430154134823</v>
      </c>
    </row>
    <row r="299" spans="1:8" x14ac:dyDescent="0.35">
      <c r="A299" s="13">
        <v>42795</v>
      </c>
      <c r="B299" s="14">
        <v>4960.83</v>
      </c>
      <c r="C299" s="2">
        <f t="shared" si="18"/>
        <v>2.1045243672019431E-2</v>
      </c>
      <c r="D299">
        <f t="shared" si="19"/>
        <v>1</v>
      </c>
      <c r="E299">
        <v>0.39379097271008023</v>
      </c>
      <c r="F299">
        <f t="shared" si="20"/>
        <v>0</v>
      </c>
      <c r="G299" t="b">
        <f t="shared" si="21"/>
        <v>0</v>
      </c>
      <c r="H299">
        <v>0.37794307196006782</v>
      </c>
    </row>
    <row r="300" spans="1:8" x14ac:dyDescent="0.35">
      <c r="A300" s="13">
        <v>42796</v>
      </c>
      <c r="B300" s="14">
        <v>4963.8</v>
      </c>
      <c r="C300" s="2">
        <f t="shared" si="18"/>
        <v>5.9869013854552122E-4</v>
      </c>
      <c r="D300">
        <f t="shared" si="19"/>
        <v>1</v>
      </c>
      <c r="E300">
        <v>0.47886777266923036</v>
      </c>
      <c r="F300">
        <f t="shared" si="20"/>
        <v>0</v>
      </c>
      <c r="G300" t="b">
        <f t="shared" si="21"/>
        <v>0</v>
      </c>
      <c r="H300">
        <v>0.37794314373780069</v>
      </c>
    </row>
    <row r="301" spans="1:8" x14ac:dyDescent="0.35">
      <c r="A301" s="13">
        <v>42797</v>
      </c>
      <c r="B301" s="14">
        <v>4995.13</v>
      </c>
      <c r="C301" s="2">
        <f t="shared" si="18"/>
        <v>6.3116966839920075E-3</v>
      </c>
      <c r="D301">
        <f t="shared" si="19"/>
        <v>1</v>
      </c>
      <c r="E301">
        <v>0.59084423542231768</v>
      </c>
      <c r="F301">
        <f t="shared" si="20"/>
        <v>1</v>
      </c>
      <c r="G301" t="b">
        <f t="shared" si="21"/>
        <v>1</v>
      </c>
      <c r="H301">
        <v>0.37794321236600614</v>
      </c>
    </row>
    <row r="302" spans="1:8" x14ac:dyDescent="0.35">
      <c r="A302" s="13">
        <v>42800</v>
      </c>
      <c r="B302" s="14">
        <v>4972.1899999999996</v>
      </c>
      <c r="C302" s="2">
        <f t="shared" si="18"/>
        <v>-4.5924730687690873E-3</v>
      </c>
      <c r="D302">
        <f t="shared" si="19"/>
        <v>0</v>
      </c>
      <c r="E302">
        <v>0.69129474475263653</v>
      </c>
      <c r="F302">
        <f t="shared" si="20"/>
        <v>1</v>
      </c>
      <c r="G302" t="b">
        <f t="shared" si="21"/>
        <v>0</v>
      </c>
      <c r="H302">
        <v>0.37794319806883186</v>
      </c>
    </row>
    <row r="303" spans="1:8" x14ac:dyDescent="0.35">
      <c r="A303" s="13">
        <v>42801</v>
      </c>
      <c r="B303" s="14">
        <v>4955</v>
      </c>
      <c r="C303" s="2">
        <f t="shared" si="18"/>
        <v>-3.4572291083002638E-3</v>
      </c>
      <c r="D303">
        <f t="shared" si="19"/>
        <v>0</v>
      </c>
      <c r="E303">
        <v>0.67007987734723062</v>
      </c>
      <c r="F303">
        <f t="shared" si="20"/>
        <v>1</v>
      </c>
      <c r="G303" t="b">
        <f t="shared" si="21"/>
        <v>0</v>
      </c>
      <c r="H303">
        <v>0.37794314095094905</v>
      </c>
    </row>
    <row r="304" spans="1:8" x14ac:dyDescent="0.35">
      <c r="A304" s="13">
        <v>42802</v>
      </c>
      <c r="B304" s="14">
        <v>4960.4799999999996</v>
      </c>
      <c r="C304" s="2">
        <f t="shared" si="18"/>
        <v>1.1059535822399713E-3</v>
      </c>
      <c r="D304">
        <f t="shared" si="19"/>
        <v>1</v>
      </c>
      <c r="E304">
        <v>0.58459407017823484</v>
      </c>
      <c r="F304">
        <f t="shared" si="20"/>
        <v>1</v>
      </c>
      <c r="G304" t="b">
        <f t="shared" si="21"/>
        <v>1</v>
      </c>
      <c r="H304">
        <v>0.37794314621214858</v>
      </c>
    </row>
    <row r="305" spans="1:8" x14ac:dyDescent="0.35">
      <c r="A305" s="13">
        <v>42803</v>
      </c>
      <c r="B305" s="14">
        <v>4981.51</v>
      </c>
      <c r="C305" s="2">
        <f t="shared" si="18"/>
        <v>4.2395090797666679E-3</v>
      </c>
      <c r="D305">
        <f t="shared" si="19"/>
        <v>1</v>
      </c>
      <c r="E305">
        <v>0.59258156795167705</v>
      </c>
      <c r="F305">
        <f t="shared" si="20"/>
        <v>1</v>
      </c>
      <c r="G305" t="b">
        <f t="shared" si="21"/>
        <v>1</v>
      </c>
      <c r="H305">
        <v>0.37794318131286458</v>
      </c>
    </row>
    <row r="306" spans="1:8" x14ac:dyDescent="0.35">
      <c r="A306" s="13">
        <v>42804</v>
      </c>
      <c r="B306" s="14">
        <v>4993.32</v>
      </c>
      <c r="C306" s="2">
        <f t="shared" si="18"/>
        <v>2.3707670967236805E-3</v>
      </c>
      <c r="D306">
        <f t="shared" si="19"/>
        <v>1</v>
      </c>
      <c r="E306">
        <v>0.6461545557190117</v>
      </c>
      <c r="F306">
        <f t="shared" si="20"/>
        <v>1</v>
      </c>
      <c r="G306" t="b">
        <f t="shared" si="21"/>
        <v>1</v>
      </c>
      <c r="H306">
        <v>0.3779432251544263</v>
      </c>
    </row>
    <row r="307" spans="1:8" x14ac:dyDescent="0.35">
      <c r="A307" s="13">
        <v>42807</v>
      </c>
      <c r="B307" s="14">
        <v>4999.6000000000004</v>
      </c>
      <c r="C307" s="2">
        <f t="shared" si="18"/>
        <v>1.2576802608286197E-3</v>
      </c>
      <c r="D307">
        <f t="shared" si="19"/>
        <v>1</v>
      </c>
      <c r="E307">
        <v>0.70886773736179665</v>
      </c>
      <c r="F307">
        <f t="shared" si="20"/>
        <v>1</v>
      </c>
      <c r="G307" t="b">
        <f t="shared" si="21"/>
        <v>1</v>
      </c>
      <c r="H307">
        <v>0.37794326654046589</v>
      </c>
    </row>
    <row r="308" spans="1:8" x14ac:dyDescent="0.35">
      <c r="A308" s="13">
        <v>42808</v>
      </c>
      <c r="B308" s="14">
        <v>4974.26</v>
      </c>
      <c r="C308" s="2">
        <f t="shared" si="18"/>
        <v>-5.0684054724378091E-3</v>
      </c>
      <c r="D308">
        <f t="shared" si="19"/>
        <v>0</v>
      </c>
      <c r="E308">
        <v>0.76191566818591772</v>
      </c>
      <c r="F308">
        <f t="shared" si="20"/>
        <v>1</v>
      </c>
      <c r="G308" t="b">
        <f t="shared" si="21"/>
        <v>0</v>
      </c>
      <c r="H308">
        <v>0.3779432422210327</v>
      </c>
    </row>
    <row r="309" spans="1:8" x14ac:dyDescent="0.35">
      <c r="A309" s="13">
        <v>42809</v>
      </c>
      <c r="B309" s="14">
        <v>4985.4799999999996</v>
      </c>
      <c r="C309" s="2">
        <f t="shared" si="18"/>
        <v>2.2556118900096678E-3</v>
      </c>
      <c r="D309">
        <f t="shared" si="19"/>
        <v>1</v>
      </c>
      <c r="E309">
        <v>0.73149107015539128</v>
      </c>
      <c r="F309">
        <f t="shared" si="20"/>
        <v>1</v>
      </c>
      <c r="G309" t="b">
        <f t="shared" si="21"/>
        <v>1</v>
      </c>
      <c r="H309">
        <v>0.37794324751690389</v>
      </c>
    </row>
    <row r="310" spans="1:8" x14ac:dyDescent="0.35">
      <c r="A310" s="13">
        <v>42810</v>
      </c>
      <c r="B310" s="14">
        <v>5013.38</v>
      </c>
      <c r="C310" s="2">
        <f t="shared" si="18"/>
        <v>5.5962515143979097E-3</v>
      </c>
      <c r="D310">
        <f t="shared" si="19"/>
        <v>1</v>
      </c>
      <c r="E310">
        <v>0.7379312839908041</v>
      </c>
      <c r="F310">
        <f t="shared" si="20"/>
        <v>1</v>
      </c>
      <c r="G310" t="b">
        <f t="shared" si="21"/>
        <v>1</v>
      </c>
      <c r="H310">
        <v>0.3779432667725845</v>
      </c>
    </row>
    <row r="311" spans="1:8" x14ac:dyDescent="0.35">
      <c r="A311" s="13">
        <v>42811</v>
      </c>
      <c r="B311" s="14">
        <v>5029.24</v>
      </c>
      <c r="C311" s="2">
        <f t="shared" si="18"/>
        <v>3.1635343819937933E-3</v>
      </c>
      <c r="D311">
        <f t="shared" si="19"/>
        <v>1</v>
      </c>
      <c r="E311">
        <v>0.76149766381789408</v>
      </c>
      <c r="F311">
        <f t="shared" si="20"/>
        <v>1</v>
      </c>
      <c r="G311" t="b">
        <f t="shared" si="21"/>
        <v>1</v>
      </c>
      <c r="H311">
        <v>0.37794329049555903</v>
      </c>
    </row>
    <row r="312" spans="1:8" x14ac:dyDescent="0.35">
      <c r="A312" s="13">
        <v>42814</v>
      </c>
      <c r="B312" s="14">
        <v>5012.16</v>
      </c>
      <c r="C312" s="2">
        <f t="shared" si="18"/>
        <v>-3.3961393769237347E-3</v>
      </c>
      <c r="D312">
        <f t="shared" si="19"/>
        <v>0</v>
      </c>
      <c r="E312">
        <v>0.7887022982541485</v>
      </c>
      <c r="F312">
        <f t="shared" si="20"/>
        <v>1</v>
      </c>
      <c r="G312" t="b">
        <f t="shared" si="21"/>
        <v>0</v>
      </c>
      <c r="H312">
        <v>0.37794325947403656</v>
      </c>
    </row>
    <row r="313" spans="1:8" x14ac:dyDescent="0.35">
      <c r="A313" s="13">
        <v>42815</v>
      </c>
      <c r="B313" s="14">
        <v>5002.43</v>
      </c>
      <c r="C313" s="2">
        <f t="shared" si="18"/>
        <v>-1.9412788099341105E-3</v>
      </c>
      <c r="D313">
        <f t="shared" si="19"/>
        <v>0</v>
      </c>
      <c r="E313">
        <v>0.75248155032152853</v>
      </c>
      <c r="F313">
        <f t="shared" si="20"/>
        <v>1</v>
      </c>
      <c r="G313" t="b">
        <f t="shared" si="21"/>
        <v>0</v>
      </c>
      <c r="H313">
        <v>0.37794319751287292</v>
      </c>
    </row>
    <row r="314" spans="1:8" x14ac:dyDescent="0.35">
      <c r="A314" s="13">
        <v>42816</v>
      </c>
      <c r="B314" s="14">
        <v>4994.7</v>
      </c>
      <c r="C314" s="2">
        <f t="shared" si="18"/>
        <v>-1.5452490089816751E-3</v>
      </c>
      <c r="D314">
        <f t="shared" si="19"/>
        <v>0</v>
      </c>
      <c r="E314">
        <v>0.66989968926968391</v>
      </c>
      <c r="F314">
        <f t="shared" si="20"/>
        <v>1</v>
      </c>
      <c r="G314" t="b">
        <f t="shared" si="21"/>
        <v>0</v>
      </c>
      <c r="H314">
        <v>0.37794311634613242</v>
      </c>
    </row>
    <row r="315" spans="1:8" x14ac:dyDescent="0.35">
      <c r="A315" s="13">
        <v>42817</v>
      </c>
      <c r="B315" s="14">
        <v>5032.76</v>
      </c>
      <c r="C315" s="2">
        <f t="shared" si="18"/>
        <v>7.6200772819188245E-3</v>
      </c>
      <c r="D315">
        <f t="shared" si="19"/>
        <v>1</v>
      </c>
      <c r="E315">
        <v>0.54686377190944135</v>
      </c>
      <c r="F315">
        <f t="shared" si="20"/>
        <v>1</v>
      </c>
      <c r="G315" t="b">
        <f t="shared" si="21"/>
        <v>1</v>
      </c>
      <c r="H315">
        <v>0.37794311398360536</v>
      </c>
    </row>
    <row r="316" spans="1:8" x14ac:dyDescent="0.35">
      <c r="A316" s="13">
        <v>42818</v>
      </c>
      <c r="B316" s="14">
        <v>5020.8999999999996</v>
      </c>
      <c r="C316" s="2">
        <f t="shared" si="18"/>
        <v>-2.356559820059112E-3</v>
      </c>
      <c r="D316">
        <f t="shared" si="19"/>
        <v>0</v>
      </c>
      <c r="E316">
        <v>0.54213520322449094</v>
      </c>
      <c r="F316">
        <f t="shared" si="20"/>
        <v>1</v>
      </c>
      <c r="G316" t="b">
        <f t="shared" si="21"/>
        <v>0</v>
      </c>
      <c r="H316">
        <v>0.37794306694582247</v>
      </c>
    </row>
    <row r="317" spans="1:8" x14ac:dyDescent="0.35">
      <c r="A317" s="13">
        <v>42821</v>
      </c>
      <c r="B317" s="14">
        <v>5017.43</v>
      </c>
      <c r="C317" s="2">
        <f t="shared" si="18"/>
        <v>-6.9111115537046075E-4</v>
      </c>
      <c r="D317">
        <f t="shared" si="19"/>
        <v>0</v>
      </c>
      <c r="E317">
        <v>0.46789050479951799</v>
      </c>
      <c r="F317">
        <f t="shared" si="20"/>
        <v>0</v>
      </c>
      <c r="G317" t="b">
        <f t="shared" si="21"/>
        <v>1</v>
      </c>
      <c r="H317">
        <v>0.37794300297592759</v>
      </c>
    </row>
    <row r="318" spans="1:8" x14ac:dyDescent="0.35">
      <c r="A318" s="13">
        <v>42822</v>
      </c>
      <c r="B318" s="14">
        <v>5046.2</v>
      </c>
      <c r="C318" s="2">
        <f t="shared" si="18"/>
        <v>5.7340112368282625E-3</v>
      </c>
      <c r="D318">
        <f t="shared" si="19"/>
        <v>1</v>
      </c>
      <c r="E318">
        <v>0.3714671200417326</v>
      </c>
      <c r="F318">
        <f t="shared" si="20"/>
        <v>0</v>
      </c>
      <c r="G318" t="b">
        <f t="shared" si="21"/>
        <v>0</v>
      </c>
      <c r="H318">
        <v>0.37794302163361293</v>
      </c>
    </row>
    <row r="319" spans="1:8" x14ac:dyDescent="0.35">
      <c r="A319" s="13">
        <v>42823</v>
      </c>
      <c r="B319" s="14">
        <v>5069.04</v>
      </c>
      <c r="C319" s="2">
        <f t="shared" si="18"/>
        <v>4.5261781142245106E-3</v>
      </c>
      <c r="D319">
        <f t="shared" si="19"/>
        <v>1</v>
      </c>
      <c r="E319">
        <v>0.3985325887530819</v>
      </c>
      <c r="F319">
        <f t="shared" si="20"/>
        <v>0</v>
      </c>
      <c r="G319" t="b">
        <f t="shared" si="21"/>
        <v>0</v>
      </c>
      <c r="H319">
        <v>0.37794308010560335</v>
      </c>
    </row>
    <row r="320" spans="1:8" x14ac:dyDescent="0.35">
      <c r="A320" s="13">
        <v>42824</v>
      </c>
      <c r="B320" s="14">
        <v>5089.6400000000003</v>
      </c>
      <c r="C320" s="2">
        <f t="shared" si="18"/>
        <v>4.063885863990091E-3</v>
      </c>
      <c r="D320">
        <f t="shared" si="19"/>
        <v>1</v>
      </c>
      <c r="E320">
        <v>0.48836515884135934</v>
      </c>
      <c r="F320">
        <f t="shared" si="20"/>
        <v>0</v>
      </c>
      <c r="G320" t="b">
        <f t="shared" si="21"/>
        <v>0</v>
      </c>
      <c r="H320">
        <v>0.37794315222212455</v>
      </c>
    </row>
    <row r="321" spans="1:8" x14ac:dyDescent="0.35">
      <c r="A321" s="13">
        <v>42825</v>
      </c>
      <c r="B321" s="14">
        <v>5122.51</v>
      </c>
      <c r="C321" s="2">
        <f t="shared" si="18"/>
        <v>6.4582170841158693E-3</v>
      </c>
      <c r="D321">
        <f t="shared" si="19"/>
        <v>1</v>
      </c>
      <c r="E321">
        <v>0.60107660347482683</v>
      </c>
      <c r="F321">
        <f t="shared" si="20"/>
        <v>1</v>
      </c>
      <c r="G321" t="b">
        <f t="shared" si="21"/>
        <v>1</v>
      </c>
      <c r="H321">
        <v>0.37794321968085953</v>
      </c>
    </row>
    <row r="322" spans="1:8" x14ac:dyDescent="0.35">
      <c r="A322" s="13">
        <v>42828</v>
      </c>
      <c r="B322" s="14">
        <v>5085.91</v>
      </c>
      <c r="C322" s="2">
        <f t="shared" si="18"/>
        <v>-7.1449348073503449E-3</v>
      </c>
      <c r="D322">
        <f t="shared" si="19"/>
        <v>0</v>
      </c>
      <c r="E322">
        <v>0.69929970531625862</v>
      </c>
      <c r="F322">
        <f t="shared" si="20"/>
        <v>1</v>
      </c>
      <c r="G322" t="b">
        <f t="shared" si="21"/>
        <v>0</v>
      </c>
      <c r="H322">
        <v>0.37794320527088254</v>
      </c>
    </row>
    <row r="323" spans="1:8" x14ac:dyDescent="0.35">
      <c r="A323" s="13">
        <v>42829</v>
      </c>
      <c r="B323" s="14">
        <v>5101.13</v>
      </c>
      <c r="C323" s="2">
        <f t="shared" si="18"/>
        <v>2.9925814652638216E-3</v>
      </c>
      <c r="D323">
        <f t="shared" si="19"/>
        <v>1</v>
      </c>
      <c r="E323">
        <v>0.67807476346013373</v>
      </c>
      <c r="F323">
        <f t="shared" si="20"/>
        <v>1</v>
      </c>
      <c r="G323" t="b">
        <f t="shared" si="21"/>
        <v>1</v>
      </c>
      <c r="H323">
        <v>0.37794322122677632</v>
      </c>
    </row>
    <row r="324" spans="1:8" x14ac:dyDescent="0.35">
      <c r="A324" s="13">
        <v>42830</v>
      </c>
      <c r="B324" s="14">
        <v>5091.8500000000004</v>
      </c>
      <c r="C324" s="2">
        <f t="shared" ref="C324:C387" si="22">(B324/B323)-1</f>
        <v>-1.8192047644345344E-3</v>
      </c>
      <c r="D324">
        <f t="shared" si="19"/>
        <v>0</v>
      </c>
      <c r="E324">
        <v>0.69983018702809163</v>
      </c>
      <c r="F324">
        <f t="shared" si="20"/>
        <v>1</v>
      </c>
      <c r="G324" t="b">
        <f t="shared" si="21"/>
        <v>0</v>
      </c>
      <c r="H324">
        <v>0.37794318080504646</v>
      </c>
    </row>
    <row r="325" spans="1:8" x14ac:dyDescent="0.35">
      <c r="A325" s="13">
        <v>42831</v>
      </c>
      <c r="B325" s="14">
        <v>5121.4399999999996</v>
      </c>
      <c r="C325" s="2">
        <f t="shared" si="22"/>
        <v>5.8112473855276292E-3</v>
      </c>
      <c r="D325">
        <f t="shared" si="19"/>
        <v>1</v>
      </c>
      <c r="E325">
        <v>0.64135169007178838</v>
      </c>
      <c r="F325">
        <f t="shared" si="20"/>
        <v>1</v>
      </c>
      <c r="G325" t="b">
        <f t="shared" si="21"/>
        <v>1</v>
      </c>
      <c r="H325">
        <v>0.37794318790666154</v>
      </c>
    </row>
    <row r="326" spans="1:8" x14ac:dyDescent="0.35">
      <c r="A326" s="13">
        <v>42832</v>
      </c>
      <c r="B326" s="14">
        <v>5135.28</v>
      </c>
      <c r="C326" s="2">
        <f t="shared" si="22"/>
        <v>2.7023649598549859E-3</v>
      </c>
      <c r="D326">
        <f t="shared" ref="D326:D389" si="23">IF(C326&gt;=0,1,0)</f>
        <v>1</v>
      </c>
      <c r="E326">
        <v>0.65154035537202071</v>
      </c>
      <c r="F326">
        <f t="shared" si="20"/>
        <v>1</v>
      </c>
      <c r="G326" t="b">
        <f t="shared" si="21"/>
        <v>1</v>
      </c>
      <c r="H326">
        <v>0.37794321731398095</v>
      </c>
    </row>
    <row r="327" spans="1:8" x14ac:dyDescent="0.35">
      <c r="A327" s="13">
        <v>42835</v>
      </c>
      <c r="B327" s="14">
        <v>5107.45</v>
      </c>
      <c r="C327" s="2">
        <f t="shared" si="22"/>
        <v>-5.4193734324126108E-3</v>
      </c>
      <c r="D327">
        <f t="shared" si="23"/>
        <v>0</v>
      </c>
      <c r="E327">
        <v>0.69383130196346843</v>
      </c>
      <c r="F327">
        <f t="shared" si="20"/>
        <v>1</v>
      </c>
      <c r="G327" t="b">
        <f t="shared" si="21"/>
        <v>0</v>
      </c>
      <c r="H327">
        <v>0.37794318349405259</v>
      </c>
    </row>
    <row r="328" spans="1:8" x14ac:dyDescent="0.35">
      <c r="A328" s="13">
        <v>42836</v>
      </c>
      <c r="B328" s="14">
        <v>5101.8599999999997</v>
      </c>
      <c r="C328" s="2">
        <f t="shared" si="22"/>
        <v>-1.0944796326934902E-3</v>
      </c>
      <c r="D328">
        <f t="shared" si="23"/>
        <v>0</v>
      </c>
      <c r="E328">
        <v>0.64506794503602338</v>
      </c>
      <c r="F328">
        <f t="shared" si="20"/>
        <v>1</v>
      </c>
      <c r="G328" t="b">
        <f t="shared" si="21"/>
        <v>0</v>
      </c>
      <c r="H328">
        <v>0.37794311676714293</v>
      </c>
    </row>
    <row r="329" spans="1:8" x14ac:dyDescent="0.35">
      <c r="A329" s="13">
        <v>42837</v>
      </c>
      <c r="B329" s="14">
        <v>5101.1099999999997</v>
      </c>
      <c r="C329" s="2">
        <f t="shared" si="22"/>
        <v>-1.4700520986465904E-4</v>
      </c>
      <c r="D329">
        <f t="shared" si="23"/>
        <v>0</v>
      </c>
      <c r="E329">
        <v>0.54248457903252356</v>
      </c>
      <c r="F329">
        <f t="shared" ref="F329:F392" si="24">IF(E329&gt;=0.5,1,0)</f>
        <v>1</v>
      </c>
      <c r="G329" t="b">
        <f t="shared" ref="G329:G392" si="25">IF(D329=F329,TRUE,FALSE)</f>
        <v>0</v>
      </c>
      <c r="H329">
        <v>0.37794303702686433</v>
      </c>
    </row>
    <row r="330" spans="1:8" x14ac:dyDescent="0.35">
      <c r="A330" s="13">
        <v>42838</v>
      </c>
      <c r="B330" s="14">
        <v>5071.1000000000004</v>
      </c>
      <c r="C330" s="2">
        <f t="shared" si="22"/>
        <v>-5.8830333005952529E-3</v>
      </c>
      <c r="D330">
        <f t="shared" si="23"/>
        <v>0</v>
      </c>
      <c r="E330">
        <v>0.41804217259463267</v>
      </c>
      <c r="F330">
        <f t="shared" si="24"/>
        <v>0</v>
      </c>
      <c r="G330" t="b">
        <f t="shared" si="25"/>
        <v>1</v>
      </c>
      <c r="H330">
        <v>0.37794296151190693</v>
      </c>
    </row>
    <row r="331" spans="1:8" x14ac:dyDescent="0.35">
      <c r="A331" s="13">
        <v>42843</v>
      </c>
      <c r="B331" s="14">
        <v>4990.25</v>
      </c>
      <c r="C331" s="2">
        <f t="shared" si="22"/>
        <v>-1.594328646644716E-2</v>
      </c>
      <c r="D331">
        <f t="shared" si="23"/>
        <v>0</v>
      </c>
      <c r="E331">
        <v>0.31052327390914336</v>
      </c>
      <c r="F331">
        <f t="shared" si="24"/>
        <v>0</v>
      </c>
      <c r="G331" t="b">
        <f t="shared" si="25"/>
        <v>1</v>
      </c>
      <c r="H331">
        <v>0.37794290000238712</v>
      </c>
    </row>
    <row r="332" spans="1:8" x14ac:dyDescent="0.35">
      <c r="A332" s="13">
        <v>42844</v>
      </c>
      <c r="B332" s="14">
        <v>5003.7299999999996</v>
      </c>
      <c r="C332" s="2">
        <f t="shared" si="22"/>
        <v>2.7012674715694018E-3</v>
      </c>
      <c r="D332">
        <f t="shared" si="23"/>
        <v>1</v>
      </c>
      <c r="E332">
        <v>0.23651210330735997</v>
      </c>
      <c r="F332">
        <f t="shared" si="24"/>
        <v>0</v>
      </c>
      <c r="G332" t="b">
        <f t="shared" si="25"/>
        <v>0</v>
      </c>
      <c r="H332">
        <v>0.37794291840922628</v>
      </c>
    </row>
    <row r="333" spans="1:8" x14ac:dyDescent="0.35">
      <c r="A333" s="13">
        <v>42845</v>
      </c>
      <c r="B333" s="14">
        <v>5077.91</v>
      </c>
      <c r="C333" s="2">
        <f t="shared" si="22"/>
        <v>1.4824940594316605E-2</v>
      </c>
      <c r="D333">
        <f t="shared" si="23"/>
        <v>1</v>
      </c>
      <c r="E333">
        <v>0.25609017054344047</v>
      </c>
      <c r="F333">
        <f t="shared" si="24"/>
        <v>0</v>
      </c>
      <c r="G333" t="b">
        <f t="shared" si="25"/>
        <v>0</v>
      </c>
      <c r="H333">
        <v>0.37794297751760614</v>
      </c>
    </row>
    <row r="334" spans="1:8" x14ac:dyDescent="0.35">
      <c r="A334" s="13">
        <v>42846</v>
      </c>
      <c r="B334" s="14">
        <v>5059.2</v>
      </c>
      <c r="C334" s="2">
        <f t="shared" si="22"/>
        <v>-3.6845867689659917E-3</v>
      </c>
      <c r="D334">
        <f t="shared" si="23"/>
        <v>0</v>
      </c>
      <c r="E334">
        <v>0.32905435919991632</v>
      </c>
      <c r="F334">
        <f t="shared" si="24"/>
        <v>0</v>
      </c>
      <c r="G334" t="b">
        <f t="shared" si="25"/>
        <v>1</v>
      </c>
      <c r="H334">
        <v>0.37794298160512385</v>
      </c>
    </row>
    <row r="335" spans="1:8" x14ac:dyDescent="0.35">
      <c r="A335" s="13">
        <v>42849</v>
      </c>
      <c r="B335" s="14">
        <v>5268.85</v>
      </c>
      <c r="C335" s="2">
        <f t="shared" si="22"/>
        <v>4.1439358001265081E-2</v>
      </c>
      <c r="D335">
        <f t="shared" si="23"/>
        <v>1</v>
      </c>
      <c r="E335">
        <v>0.33403845031389973</v>
      </c>
      <c r="F335">
        <f t="shared" si="24"/>
        <v>0</v>
      </c>
      <c r="G335" t="b">
        <f t="shared" si="25"/>
        <v>0</v>
      </c>
      <c r="H335">
        <v>0.37794303512067334</v>
      </c>
    </row>
    <row r="336" spans="1:8" x14ac:dyDescent="0.35">
      <c r="A336" s="13">
        <v>42850</v>
      </c>
      <c r="B336" s="14">
        <v>5277.88</v>
      </c>
      <c r="C336" s="2">
        <f t="shared" si="22"/>
        <v>1.7138464750372506E-3</v>
      </c>
      <c r="D336">
        <f t="shared" si="23"/>
        <v>1</v>
      </c>
      <c r="E336">
        <v>0.41021219338640696</v>
      </c>
      <c r="F336">
        <f t="shared" si="24"/>
        <v>0</v>
      </c>
      <c r="G336" t="b">
        <f t="shared" si="25"/>
        <v>0</v>
      </c>
      <c r="H336">
        <v>0.37794310906733797</v>
      </c>
    </row>
    <row r="337" spans="1:8" x14ac:dyDescent="0.35">
      <c r="A337" s="13">
        <v>42851</v>
      </c>
      <c r="B337" s="14">
        <v>5287.88</v>
      </c>
      <c r="C337" s="2">
        <f t="shared" si="22"/>
        <v>1.8947001447551237E-3</v>
      </c>
      <c r="D337">
        <f t="shared" si="23"/>
        <v>1</v>
      </c>
      <c r="E337">
        <v>0.52634144647624992</v>
      </c>
      <c r="F337">
        <f t="shared" si="24"/>
        <v>1</v>
      </c>
      <c r="G337" t="b">
        <f t="shared" si="25"/>
        <v>1</v>
      </c>
      <c r="H337">
        <v>0.37794318522983905</v>
      </c>
    </row>
    <row r="338" spans="1:8" x14ac:dyDescent="0.35">
      <c r="A338" s="13">
        <v>42852</v>
      </c>
      <c r="B338" s="14">
        <v>5271.7</v>
      </c>
      <c r="C338" s="2">
        <f t="shared" si="22"/>
        <v>-3.0598273788361441E-3</v>
      </c>
      <c r="D338">
        <f t="shared" si="23"/>
        <v>0</v>
      </c>
      <c r="E338">
        <v>0.6441125343441525</v>
      </c>
      <c r="F338">
        <f t="shared" si="24"/>
        <v>1</v>
      </c>
      <c r="G338" t="b">
        <f t="shared" si="25"/>
        <v>0</v>
      </c>
      <c r="H338">
        <v>0.37794317511533609</v>
      </c>
    </row>
    <row r="339" spans="1:8" x14ac:dyDescent="0.35">
      <c r="A339" s="13">
        <v>42853</v>
      </c>
      <c r="B339" s="14">
        <v>5267.33</v>
      </c>
      <c r="C339" s="2">
        <f t="shared" si="22"/>
        <v>-8.2895460667331555E-4</v>
      </c>
      <c r="D339">
        <f t="shared" si="23"/>
        <v>0</v>
      </c>
      <c r="E339">
        <v>0.62723176471676334</v>
      </c>
      <c r="F339">
        <f t="shared" si="24"/>
        <v>1</v>
      </c>
      <c r="G339" t="b">
        <f t="shared" si="25"/>
        <v>0</v>
      </c>
      <c r="H339">
        <v>0.37794312184279522</v>
      </c>
    </row>
    <row r="340" spans="1:8" x14ac:dyDescent="0.35">
      <c r="A340" s="13">
        <v>42857</v>
      </c>
      <c r="B340" s="14">
        <v>5304.15</v>
      </c>
      <c r="C340" s="2">
        <f t="shared" si="22"/>
        <v>6.9902588218317963E-3</v>
      </c>
      <c r="D340">
        <f t="shared" si="23"/>
        <v>1</v>
      </c>
      <c r="E340">
        <v>0.54224348286068313</v>
      </c>
      <c r="F340">
        <f t="shared" si="24"/>
        <v>1</v>
      </c>
      <c r="G340" t="b">
        <f t="shared" si="25"/>
        <v>1</v>
      </c>
      <c r="H340">
        <v>0.37794313256567802</v>
      </c>
    </row>
    <row r="341" spans="1:8" x14ac:dyDescent="0.35">
      <c r="A341" s="13">
        <v>42858</v>
      </c>
      <c r="B341" s="14">
        <v>5301</v>
      </c>
      <c r="C341" s="2">
        <f t="shared" si="22"/>
        <v>-5.938746076185053E-4</v>
      </c>
      <c r="D341">
        <f t="shared" si="23"/>
        <v>0</v>
      </c>
      <c r="E341">
        <v>0.55906339738474009</v>
      </c>
      <c r="F341">
        <f t="shared" si="24"/>
        <v>1</v>
      </c>
      <c r="G341" t="b">
        <f t="shared" si="25"/>
        <v>0</v>
      </c>
      <c r="H341">
        <v>0.37794309302770518</v>
      </c>
    </row>
    <row r="342" spans="1:8" x14ac:dyDescent="0.35">
      <c r="A342" s="13">
        <v>42859</v>
      </c>
      <c r="B342" s="14">
        <v>5372.42</v>
      </c>
      <c r="C342" s="2">
        <f t="shared" si="22"/>
        <v>1.347292963591773E-2</v>
      </c>
      <c r="D342">
        <f t="shared" si="23"/>
        <v>1</v>
      </c>
      <c r="E342">
        <v>0.49405387582859611</v>
      </c>
      <c r="F342">
        <f t="shared" si="24"/>
        <v>0</v>
      </c>
      <c r="G342" t="b">
        <f t="shared" si="25"/>
        <v>0</v>
      </c>
      <c r="H342">
        <v>0.37794311419494653</v>
      </c>
    </row>
    <row r="343" spans="1:8" x14ac:dyDescent="0.35">
      <c r="A343" s="13">
        <v>42860</v>
      </c>
      <c r="B343" s="14">
        <v>5432.4</v>
      </c>
      <c r="C343" s="2">
        <f t="shared" si="22"/>
        <v>1.1164428693214434E-2</v>
      </c>
      <c r="D343">
        <f t="shared" si="23"/>
        <v>1</v>
      </c>
      <c r="E343">
        <v>0.52903206433893879</v>
      </c>
      <c r="F343">
        <f t="shared" si="24"/>
        <v>1</v>
      </c>
      <c r="G343" t="b">
        <f t="shared" si="25"/>
        <v>1</v>
      </c>
      <c r="H343">
        <v>0.37794316287921126</v>
      </c>
    </row>
    <row r="344" spans="1:8" x14ac:dyDescent="0.35">
      <c r="A344" s="13">
        <v>42863</v>
      </c>
      <c r="B344" s="14">
        <v>5382.95</v>
      </c>
      <c r="C344" s="2">
        <f t="shared" si="22"/>
        <v>-9.1027906634267852E-3</v>
      </c>
      <c r="D344">
        <f t="shared" si="23"/>
        <v>0</v>
      </c>
      <c r="E344">
        <v>0.60771819652501713</v>
      </c>
      <c r="F344">
        <f t="shared" si="24"/>
        <v>1</v>
      </c>
      <c r="G344" t="b">
        <f t="shared" si="25"/>
        <v>0</v>
      </c>
      <c r="H344">
        <v>0.37794314009454605</v>
      </c>
    </row>
    <row r="345" spans="1:8" x14ac:dyDescent="0.35">
      <c r="A345" s="13">
        <v>42864</v>
      </c>
      <c r="B345" s="14">
        <v>5398.01</v>
      </c>
      <c r="C345" s="2">
        <f t="shared" si="22"/>
        <v>2.797722438439898E-3</v>
      </c>
      <c r="D345">
        <f t="shared" si="23"/>
        <v>1</v>
      </c>
      <c r="E345">
        <v>0.57146145531846693</v>
      </c>
      <c r="F345">
        <f t="shared" si="24"/>
        <v>1</v>
      </c>
      <c r="G345" t="b">
        <f t="shared" si="25"/>
        <v>1</v>
      </c>
      <c r="H345">
        <v>0.37794316348751511</v>
      </c>
    </row>
    <row r="346" spans="1:8" x14ac:dyDescent="0.35">
      <c r="A346" s="13">
        <v>42865</v>
      </c>
      <c r="B346" s="14">
        <v>5400.46</v>
      </c>
      <c r="C346" s="2">
        <f t="shared" si="22"/>
        <v>4.5387096355886669E-4</v>
      </c>
      <c r="D346">
        <f t="shared" si="23"/>
        <v>1</v>
      </c>
      <c r="E346">
        <v>0.60774573552041633</v>
      </c>
      <c r="F346">
        <f t="shared" si="24"/>
        <v>1</v>
      </c>
      <c r="G346" t="b">
        <f t="shared" si="25"/>
        <v>1</v>
      </c>
      <c r="H346">
        <v>0.37794320556279681</v>
      </c>
    </row>
    <row r="347" spans="1:8" x14ac:dyDescent="0.35">
      <c r="A347" s="13">
        <v>42866</v>
      </c>
      <c r="B347" s="14">
        <v>5383.42</v>
      </c>
      <c r="C347" s="2">
        <f t="shared" si="22"/>
        <v>-3.1552867718676048E-3</v>
      </c>
      <c r="D347">
        <f t="shared" si="23"/>
        <v>0</v>
      </c>
      <c r="E347">
        <v>0.67120217187109155</v>
      </c>
      <c r="F347">
        <f t="shared" si="24"/>
        <v>1</v>
      </c>
      <c r="G347" t="b">
        <f t="shared" si="25"/>
        <v>0</v>
      </c>
      <c r="H347">
        <v>0.37794317785127041</v>
      </c>
    </row>
    <row r="348" spans="1:8" x14ac:dyDescent="0.35">
      <c r="A348" s="13">
        <v>42867</v>
      </c>
      <c r="B348" s="14">
        <v>5405.42</v>
      </c>
      <c r="C348" s="2">
        <f t="shared" si="22"/>
        <v>4.0866215156907248E-3</v>
      </c>
      <c r="D348">
        <f t="shared" si="23"/>
        <v>1</v>
      </c>
      <c r="E348">
        <v>0.6302650813797388</v>
      </c>
      <c r="F348">
        <f t="shared" si="24"/>
        <v>1</v>
      </c>
      <c r="G348" t="b">
        <f t="shared" si="25"/>
        <v>1</v>
      </c>
      <c r="H348">
        <v>0.37794319220198141</v>
      </c>
    </row>
    <row r="349" spans="1:8" x14ac:dyDescent="0.35">
      <c r="A349" s="13">
        <v>42870</v>
      </c>
      <c r="B349" s="14">
        <v>5417.4</v>
      </c>
      <c r="C349" s="2">
        <f t="shared" si="22"/>
        <v>2.2162940160059819E-3</v>
      </c>
      <c r="D349">
        <f t="shared" si="23"/>
        <v>1</v>
      </c>
      <c r="E349">
        <v>0.65208190046030157</v>
      </c>
      <c r="F349">
        <f t="shared" si="24"/>
        <v>1</v>
      </c>
      <c r="G349" t="b">
        <f t="shared" si="25"/>
        <v>1</v>
      </c>
      <c r="H349">
        <v>0.37794322476142328</v>
      </c>
    </row>
    <row r="350" spans="1:8" x14ac:dyDescent="0.35">
      <c r="A350" s="13">
        <v>42871</v>
      </c>
      <c r="B350" s="14">
        <v>5406.1</v>
      </c>
      <c r="C350" s="2">
        <f t="shared" si="22"/>
        <v>-2.0858714512494991E-3</v>
      </c>
      <c r="D350">
        <f t="shared" si="23"/>
        <v>0</v>
      </c>
      <c r="E350">
        <v>0.69956848492632562</v>
      </c>
      <c r="F350">
        <f t="shared" si="24"/>
        <v>1</v>
      </c>
      <c r="G350" t="b">
        <f t="shared" si="25"/>
        <v>0</v>
      </c>
      <c r="H350">
        <v>0.37794319276240856</v>
      </c>
    </row>
    <row r="351" spans="1:8" x14ac:dyDescent="0.35">
      <c r="A351" s="13">
        <v>42872</v>
      </c>
      <c r="B351" s="14">
        <v>5317.89</v>
      </c>
      <c r="C351" s="2">
        <f t="shared" si="22"/>
        <v>-1.6316753297201281E-2</v>
      </c>
      <c r="D351">
        <f t="shared" si="23"/>
        <v>0</v>
      </c>
      <c r="E351">
        <v>0.65423487661131652</v>
      </c>
      <c r="F351">
        <f t="shared" si="24"/>
        <v>1</v>
      </c>
      <c r="G351" t="b">
        <f t="shared" si="25"/>
        <v>0</v>
      </c>
      <c r="H351">
        <v>0.37794312721462014</v>
      </c>
    </row>
    <row r="352" spans="1:8" x14ac:dyDescent="0.35">
      <c r="A352" s="13">
        <v>42873</v>
      </c>
      <c r="B352" s="14">
        <v>5289.73</v>
      </c>
      <c r="C352" s="2">
        <f t="shared" si="22"/>
        <v>-5.2953332994855051E-3</v>
      </c>
      <c r="D352">
        <f t="shared" si="23"/>
        <v>0</v>
      </c>
      <c r="E352">
        <v>0.5539043149279248</v>
      </c>
      <c r="F352">
        <f t="shared" si="24"/>
        <v>1</v>
      </c>
      <c r="G352" t="b">
        <f t="shared" si="25"/>
        <v>0</v>
      </c>
      <c r="H352">
        <v>0.3779430473101823</v>
      </c>
    </row>
    <row r="353" spans="1:8" x14ac:dyDescent="0.35">
      <c r="A353" s="13">
        <v>42874</v>
      </c>
      <c r="B353" s="14">
        <v>5324.4</v>
      </c>
      <c r="C353" s="2">
        <f t="shared" si="22"/>
        <v>6.5542097611788197E-3</v>
      </c>
      <c r="D353">
        <f t="shared" si="23"/>
        <v>1</v>
      </c>
      <c r="E353">
        <v>0.42882683144716593</v>
      </c>
      <c r="F353">
        <f t="shared" si="24"/>
        <v>0</v>
      </c>
      <c r="G353" t="b">
        <f t="shared" si="25"/>
        <v>0</v>
      </c>
      <c r="H353">
        <v>0.37794305577365972</v>
      </c>
    </row>
    <row r="354" spans="1:8" x14ac:dyDescent="0.35">
      <c r="A354" s="13">
        <v>42877</v>
      </c>
      <c r="B354" s="14">
        <v>5322.88</v>
      </c>
      <c r="C354" s="2">
        <f t="shared" si="22"/>
        <v>-2.854781759445979E-4</v>
      </c>
      <c r="D354">
        <f t="shared" si="23"/>
        <v>0</v>
      </c>
      <c r="E354">
        <v>0.44047999196504883</v>
      </c>
      <c r="F354">
        <f t="shared" si="24"/>
        <v>0</v>
      </c>
      <c r="G354" t="b">
        <f t="shared" si="25"/>
        <v>1</v>
      </c>
      <c r="H354">
        <v>0.37794302238288813</v>
      </c>
    </row>
    <row r="355" spans="1:8" x14ac:dyDescent="0.35">
      <c r="A355" s="13">
        <v>42879</v>
      </c>
      <c r="B355" s="14">
        <v>5341.34</v>
      </c>
      <c r="C355" s="2">
        <f t="shared" si="22"/>
        <v>3.4680473728507799E-3</v>
      </c>
      <c r="D355">
        <f t="shared" si="23"/>
        <v>1</v>
      </c>
      <c r="E355">
        <v>0.39001330410253598</v>
      </c>
      <c r="F355">
        <f t="shared" si="24"/>
        <v>0</v>
      </c>
      <c r="G355" t="b">
        <f t="shared" si="25"/>
        <v>0</v>
      </c>
      <c r="H355">
        <v>0.37794305559295044</v>
      </c>
    </row>
    <row r="356" spans="1:8" x14ac:dyDescent="0.35">
      <c r="A356" s="13">
        <v>42880</v>
      </c>
      <c r="B356" s="14">
        <v>5337.16</v>
      </c>
      <c r="C356" s="2">
        <f t="shared" si="22"/>
        <v>-7.8257515904256447E-4</v>
      </c>
      <c r="D356">
        <f t="shared" si="23"/>
        <v>0</v>
      </c>
      <c r="E356">
        <v>0.43987786626111114</v>
      </c>
      <c r="F356">
        <f t="shared" si="24"/>
        <v>0</v>
      </c>
      <c r="G356" t="b">
        <f t="shared" si="25"/>
        <v>1</v>
      </c>
      <c r="H356">
        <v>0.37794303489631886</v>
      </c>
    </row>
    <row r="357" spans="1:8" x14ac:dyDescent="0.35">
      <c r="A357" s="13">
        <v>42881</v>
      </c>
      <c r="B357" s="14">
        <v>5336.64</v>
      </c>
      <c r="C357" s="2">
        <f t="shared" si="22"/>
        <v>-9.7430093907502346E-5</v>
      </c>
      <c r="D357">
        <f t="shared" si="23"/>
        <v>0</v>
      </c>
      <c r="E357">
        <v>0.40848389339793567</v>
      </c>
      <c r="F357">
        <f t="shared" si="24"/>
        <v>0</v>
      </c>
      <c r="G357" t="b">
        <f t="shared" si="25"/>
        <v>1</v>
      </c>
      <c r="H357">
        <v>0.37794298995119718</v>
      </c>
    </row>
    <row r="358" spans="1:8" x14ac:dyDescent="0.35">
      <c r="A358" s="13">
        <v>42884</v>
      </c>
      <c r="B358" s="14">
        <v>5332.47</v>
      </c>
      <c r="C358" s="2">
        <f t="shared" si="22"/>
        <v>-7.8139053786652202E-4</v>
      </c>
      <c r="D358">
        <f t="shared" si="23"/>
        <v>0</v>
      </c>
      <c r="E358">
        <v>0.34413240165878139</v>
      </c>
      <c r="F358">
        <f t="shared" si="24"/>
        <v>0</v>
      </c>
      <c r="G358" t="b">
        <f t="shared" si="25"/>
        <v>1</v>
      </c>
      <c r="H358">
        <v>0.37794293988588185</v>
      </c>
    </row>
    <row r="359" spans="1:8" x14ac:dyDescent="0.35">
      <c r="A359" s="13">
        <v>42885</v>
      </c>
      <c r="B359" s="14">
        <v>5305.94</v>
      </c>
      <c r="C359" s="2">
        <f t="shared" si="22"/>
        <v>-4.9751803573204745E-3</v>
      </c>
      <c r="D359">
        <f t="shared" si="23"/>
        <v>0</v>
      </c>
      <c r="E359">
        <v>0.27941405874399561</v>
      </c>
      <c r="F359">
        <f t="shared" si="24"/>
        <v>0</v>
      </c>
      <c r="G359" t="b">
        <f t="shared" si="25"/>
        <v>1</v>
      </c>
      <c r="H359">
        <v>0.37794289483470955</v>
      </c>
    </row>
    <row r="360" spans="1:8" x14ac:dyDescent="0.35">
      <c r="A360" s="13">
        <v>42886</v>
      </c>
      <c r="B360" s="14">
        <v>5283.63</v>
      </c>
      <c r="C360" s="2">
        <f t="shared" si="22"/>
        <v>-4.2047215008084171E-3</v>
      </c>
      <c r="D360">
        <f t="shared" si="23"/>
        <v>0</v>
      </c>
      <c r="E360">
        <v>0.22832174280245982</v>
      </c>
      <c r="F360">
        <f t="shared" si="24"/>
        <v>0</v>
      </c>
      <c r="G360" t="b">
        <f t="shared" si="25"/>
        <v>1</v>
      </c>
      <c r="H360">
        <v>0.37794285787775816</v>
      </c>
    </row>
    <row r="361" spans="1:8" x14ac:dyDescent="0.35">
      <c r="A361" s="13">
        <v>42887</v>
      </c>
      <c r="B361" s="14">
        <v>5318.67</v>
      </c>
      <c r="C361" s="2">
        <f t="shared" si="22"/>
        <v>6.631804270927466E-3</v>
      </c>
      <c r="D361">
        <f t="shared" si="23"/>
        <v>1</v>
      </c>
      <c r="E361">
        <v>0.1918407877234454</v>
      </c>
      <c r="F361">
        <f t="shared" si="24"/>
        <v>0</v>
      </c>
      <c r="G361" t="b">
        <f t="shared" si="25"/>
        <v>0</v>
      </c>
      <c r="H361">
        <v>0.37794288392697273</v>
      </c>
    </row>
    <row r="362" spans="1:8" x14ac:dyDescent="0.35">
      <c r="A362" s="13">
        <v>42888</v>
      </c>
      <c r="B362" s="14">
        <v>5343.41</v>
      </c>
      <c r="C362" s="2">
        <f t="shared" si="22"/>
        <v>4.6515388245558231E-3</v>
      </c>
      <c r="D362">
        <f t="shared" si="23"/>
        <v>1</v>
      </c>
      <c r="E362">
        <v>0.21705023491627654</v>
      </c>
      <c r="F362">
        <f t="shared" si="24"/>
        <v>0</v>
      </c>
      <c r="G362" t="b">
        <f t="shared" si="25"/>
        <v>0</v>
      </c>
      <c r="H362">
        <v>0.37794294328469169</v>
      </c>
    </row>
    <row r="363" spans="1:8" x14ac:dyDescent="0.35">
      <c r="A363" s="13">
        <v>42891</v>
      </c>
      <c r="B363" s="14">
        <v>5307.89</v>
      </c>
      <c r="C363" s="2">
        <f t="shared" si="22"/>
        <v>-6.6474404921200714E-3</v>
      </c>
      <c r="D363">
        <f t="shared" si="23"/>
        <v>0</v>
      </c>
      <c r="E363">
        <v>0.28433766115657705</v>
      </c>
      <c r="F363">
        <f t="shared" si="24"/>
        <v>0</v>
      </c>
      <c r="G363" t="b">
        <f t="shared" si="25"/>
        <v>1</v>
      </c>
      <c r="H363">
        <v>0.37794295277211043</v>
      </c>
    </row>
    <row r="364" spans="1:8" x14ac:dyDescent="0.35">
      <c r="A364" s="13">
        <v>42892</v>
      </c>
      <c r="B364" s="14">
        <v>5269.22</v>
      </c>
      <c r="C364" s="2">
        <f t="shared" si="22"/>
        <v>-7.2853808198738434E-3</v>
      </c>
      <c r="D364">
        <f t="shared" si="23"/>
        <v>0</v>
      </c>
      <c r="E364">
        <v>0.29611317007277177</v>
      </c>
      <c r="F364">
        <f t="shared" si="24"/>
        <v>0</v>
      </c>
      <c r="G364" t="b">
        <f t="shared" si="25"/>
        <v>1</v>
      </c>
      <c r="H364">
        <v>0.37794293584660937</v>
      </c>
    </row>
    <row r="365" spans="1:8" x14ac:dyDescent="0.35">
      <c r="A365" s="13">
        <v>42893</v>
      </c>
      <c r="B365" s="14">
        <v>5265.53</v>
      </c>
      <c r="C365" s="2">
        <f t="shared" si="22"/>
        <v>-7.002934020595708E-4</v>
      </c>
      <c r="D365">
        <f t="shared" si="23"/>
        <v>0</v>
      </c>
      <c r="E365">
        <v>0.27518448782842131</v>
      </c>
      <c r="F365">
        <f t="shared" si="24"/>
        <v>0</v>
      </c>
      <c r="G365" t="b">
        <f t="shared" si="25"/>
        <v>1</v>
      </c>
      <c r="H365">
        <v>0.37794290789400131</v>
      </c>
    </row>
    <row r="366" spans="1:8" x14ac:dyDescent="0.35">
      <c r="A366" s="13">
        <v>42894</v>
      </c>
      <c r="B366" s="14">
        <v>5264.24</v>
      </c>
      <c r="C366" s="2">
        <f t="shared" si="22"/>
        <v>-2.4498958319485453E-4</v>
      </c>
      <c r="D366">
        <f t="shared" si="23"/>
        <v>0</v>
      </c>
      <c r="E366">
        <v>0.24300235192801864</v>
      </c>
      <c r="F366">
        <f t="shared" si="24"/>
        <v>0</v>
      </c>
      <c r="G366" t="b">
        <f t="shared" si="25"/>
        <v>1</v>
      </c>
      <c r="H366">
        <v>0.37794287789890924</v>
      </c>
    </row>
    <row r="367" spans="1:8" x14ac:dyDescent="0.35">
      <c r="A367" s="13">
        <v>42895</v>
      </c>
      <c r="B367" s="14">
        <v>5299.71</v>
      </c>
      <c r="C367" s="2">
        <f t="shared" si="22"/>
        <v>6.7379146847408311E-3</v>
      </c>
      <c r="D367">
        <f t="shared" si="23"/>
        <v>1</v>
      </c>
      <c r="E367">
        <v>0.21166675326757786</v>
      </c>
      <c r="F367">
        <f t="shared" si="24"/>
        <v>0</v>
      </c>
      <c r="G367" t="b">
        <f t="shared" si="25"/>
        <v>0</v>
      </c>
      <c r="H367">
        <v>0.37794290955029974</v>
      </c>
    </row>
    <row r="368" spans="1:8" x14ac:dyDescent="0.35">
      <c r="A368" s="13">
        <v>42898</v>
      </c>
      <c r="B368" s="14">
        <v>5240.59</v>
      </c>
      <c r="C368" s="2">
        <f t="shared" si="22"/>
        <v>-1.1155327366969114E-2</v>
      </c>
      <c r="D368">
        <f t="shared" si="23"/>
        <v>0</v>
      </c>
      <c r="E368">
        <v>0.24500968360063408</v>
      </c>
      <c r="F368">
        <f t="shared" si="24"/>
        <v>0</v>
      </c>
      <c r="G368" t="b">
        <f t="shared" si="25"/>
        <v>1</v>
      </c>
      <c r="H368">
        <v>0.37794290946863773</v>
      </c>
    </row>
    <row r="369" spans="1:8" x14ac:dyDescent="0.35">
      <c r="A369" s="13">
        <v>42899</v>
      </c>
      <c r="B369" s="14">
        <v>5261.74</v>
      </c>
      <c r="C369" s="2">
        <f t="shared" si="22"/>
        <v>4.0358051288118535E-3</v>
      </c>
      <c r="D369">
        <f t="shared" si="23"/>
        <v>1</v>
      </c>
      <c r="E369">
        <v>0.24475798887587391</v>
      </c>
      <c r="F369">
        <f t="shared" si="24"/>
        <v>0</v>
      </c>
      <c r="G369" t="b">
        <f t="shared" si="25"/>
        <v>0</v>
      </c>
      <c r="H369">
        <v>0.37794295852801663</v>
      </c>
    </row>
    <row r="370" spans="1:8" x14ac:dyDescent="0.35">
      <c r="A370" s="13">
        <v>42900</v>
      </c>
      <c r="B370" s="14">
        <v>5243.29</v>
      </c>
      <c r="C370" s="2">
        <f t="shared" si="22"/>
        <v>-3.506444636184991E-3</v>
      </c>
      <c r="D370">
        <f t="shared" si="23"/>
        <v>0</v>
      </c>
      <c r="E370">
        <v>0.30342840927544573</v>
      </c>
      <c r="F370">
        <f t="shared" si="24"/>
        <v>0</v>
      </c>
      <c r="G370" t="b">
        <f t="shared" si="25"/>
        <v>1</v>
      </c>
      <c r="H370">
        <v>0.37794296063549898</v>
      </c>
    </row>
    <row r="371" spans="1:8" x14ac:dyDescent="0.35">
      <c r="A371" s="13">
        <v>42901</v>
      </c>
      <c r="B371" s="14">
        <v>5216.88</v>
      </c>
      <c r="C371" s="2">
        <f t="shared" si="22"/>
        <v>-5.0369138460775176E-3</v>
      </c>
      <c r="D371">
        <f t="shared" si="23"/>
        <v>0</v>
      </c>
      <c r="E371">
        <v>0.30588663599974658</v>
      </c>
      <c r="F371">
        <f t="shared" si="24"/>
        <v>0</v>
      </c>
      <c r="G371" t="b">
        <f t="shared" si="25"/>
        <v>1</v>
      </c>
      <c r="H371">
        <v>0.37794293867871709</v>
      </c>
    </row>
    <row r="372" spans="1:8" x14ac:dyDescent="0.35">
      <c r="A372" s="13">
        <v>42902</v>
      </c>
      <c r="B372" s="14">
        <v>5263.31</v>
      </c>
      <c r="C372" s="2">
        <f t="shared" si="22"/>
        <v>8.8999555289752674E-3</v>
      </c>
      <c r="D372">
        <f t="shared" si="23"/>
        <v>1</v>
      </c>
      <c r="E372">
        <v>0.2785435829316118</v>
      </c>
      <c r="F372">
        <f t="shared" si="24"/>
        <v>0</v>
      </c>
      <c r="G372" t="b">
        <f t="shared" si="25"/>
        <v>0</v>
      </c>
      <c r="H372">
        <v>0.37794297851274872</v>
      </c>
    </row>
    <row r="373" spans="1:8" x14ac:dyDescent="0.35">
      <c r="A373" s="13">
        <v>42905</v>
      </c>
      <c r="B373" s="14">
        <v>5310.72</v>
      </c>
      <c r="C373" s="2">
        <f t="shared" si="22"/>
        <v>9.0076396792131419E-3</v>
      </c>
      <c r="D373">
        <f t="shared" si="23"/>
        <v>1</v>
      </c>
      <c r="E373">
        <v>0.32967685674938696</v>
      </c>
      <c r="F373">
        <f t="shared" si="24"/>
        <v>0</v>
      </c>
      <c r="G373" t="b">
        <f t="shared" si="25"/>
        <v>0</v>
      </c>
      <c r="H373">
        <v>0.37794304891989045</v>
      </c>
    </row>
    <row r="374" spans="1:8" x14ac:dyDescent="0.35">
      <c r="A374" s="13">
        <v>42906</v>
      </c>
      <c r="B374" s="14">
        <v>5293.65</v>
      </c>
      <c r="C374" s="2">
        <f t="shared" si="22"/>
        <v>-3.2142534345626084E-3</v>
      </c>
      <c r="D374">
        <f t="shared" si="23"/>
        <v>0</v>
      </c>
      <c r="E374">
        <v>0.43221850026943465</v>
      </c>
      <c r="F374">
        <f t="shared" si="24"/>
        <v>0</v>
      </c>
      <c r="G374" t="b">
        <f t="shared" si="25"/>
        <v>1</v>
      </c>
      <c r="H374">
        <v>0.37794304800220641</v>
      </c>
    </row>
    <row r="375" spans="1:8" x14ac:dyDescent="0.35">
      <c r="A375" s="13">
        <v>42907</v>
      </c>
      <c r="B375" s="14">
        <v>5274.26</v>
      </c>
      <c r="C375" s="2">
        <f t="shared" si="22"/>
        <v>-3.6628791098768376E-3</v>
      </c>
      <c r="D375">
        <f t="shared" si="23"/>
        <v>0</v>
      </c>
      <c r="E375">
        <v>0.43029988266842145</v>
      </c>
      <c r="F375">
        <f t="shared" si="24"/>
        <v>0</v>
      </c>
      <c r="G375" t="b">
        <f t="shared" si="25"/>
        <v>1</v>
      </c>
      <c r="H375">
        <v>0.37794301120747087</v>
      </c>
    </row>
    <row r="376" spans="1:8" x14ac:dyDescent="0.35">
      <c r="A376" s="13">
        <v>42908</v>
      </c>
      <c r="B376" s="14">
        <v>5281.93</v>
      </c>
      <c r="C376" s="2">
        <f t="shared" si="22"/>
        <v>1.4542324420867558E-3</v>
      </c>
      <c r="D376">
        <f t="shared" si="23"/>
        <v>1</v>
      </c>
      <c r="E376">
        <v>0.37527994369078504</v>
      </c>
      <c r="F376">
        <f t="shared" si="24"/>
        <v>0</v>
      </c>
      <c r="G376" t="b">
        <f t="shared" si="25"/>
        <v>0</v>
      </c>
      <c r="H376">
        <v>0.37794304261533535</v>
      </c>
    </row>
    <row r="377" spans="1:8" x14ac:dyDescent="0.35">
      <c r="A377" s="13">
        <v>42909</v>
      </c>
      <c r="B377" s="14">
        <v>5266.12</v>
      </c>
      <c r="C377" s="2">
        <f t="shared" si="22"/>
        <v>-2.9932240677177369E-3</v>
      </c>
      <c r="D377">
        <f t="shared" si="23"/>
        <v>0</v>
      </c>
      <c r="E377">
        <v>0.42267682095962639</v>
      </c>
      <c r="F377">
        <f t="shared" si="24"/>
        <v>0</v>
      </c>
      <c r="G377" t="b">
        <f t="shared" si="25"/>
        <v>1</v>
      </c>
      <c r="H377">
        <v>0.37794302279630337</v>
      </c>
    </row>
    <row r="378" spans="1:8" x14ac:dyDescent="0.35">
      <c r="A378" s="13">
        <v>42912</v>
      </c>
      <c r="B378" s="14">
        <v>5295.75</v>
      </c>
      <c r="C378" s="2">
        <f t="shared" si="22"/>
        <v>5.6265333870098022E-3</v>
      </c>
      <c r="D378">
        <f t="shared" si="23"/>
        <v>1</v>
      </c>
      <c r="E378">
        <v>0.39342038148258685</v>
      </c>
      <c r="F378">
        <f t="shared" si="24"/>
        <v>0</v>
      </c>
      <c r="G378" t="b">
        <f t="shared" si="25"/>
        <v>0</v>
      </c>
      <c r="H378">
        <v>0.37794306201365285</v>
      </c>
    </row>
    <row r="379" spans="1:8" x14ac:dyDescent="0.35">
      <c r="A379" s="13">
        <v>42913</v>
      </c>
      <c r="B379" s="14">
        <v>5258.58</v>
      </c>
      <c r="C379" s="2">
        <f t="shared" si="22"/>
        <v>-7.0188358589434729E-3</v>
      </c>
      <c r="D379">
        <f t="shared" si="23"/>
        <v>0</v>
      </c>
      <c r="E379">
        <v>0.4539630459174539</v>
      </c>
      <c r="F379">
        <f t="shared" si="24"/>
        <v>0</v>
      </c>
      <c r="G379" t="b">
        <f t="shared" si="25"/>
        <v>1</v>
      </c>
      <c r="H379">
        <v>0.37794304368957293</v>
      </c>
    </row>
    <row r="380" spans="1:8" x14ac:dyDescent="0.35">
      <c r="A380" s="13">
        <v>42914</v>
      </c>
      <c r="B380" s="14">
        <v>5252.9</v>
      </c>
      <c r="C380" s="2">
        <f t="shared" si="22"/>
        <v>-1.0801395053418039E-3</v>
      </c>
      <c r="D380">
        <f t="shared" si="23"/>
        <v>0</v>
      </c>
      <c r="E380">
        <v>0.42535443423128133</v>
      </c>
      <c r="F380">
        <f t="shared" si="24"/>
        <v>0</v>
      </c>
      <c r="G380" t="b">
        <f t="shared" si="25"/>
        <v>1</v>
      </c>
      <c r="H380">
        <v>0.37794299870272408</v>
      </c>
    </row>
    <row r="381" spans="1:8" x14ac:dyDescent="0.35">
      <c r="A381" s="13">
        <v>42915</v>
      </c>
      <c r="B381" s="14">
        <v>5154.3500000000004</v>
      </c>
      <c r="C381" s="2">
        <f t="shared" si="22"/>
        <v>-1.8761065316301284E-2</v>
      </c>
      <c r="D381">
        <f t="shared" si="23"/>
        <v>0</v>
      </c>
      <c r="E381">
        <v>0.35878239863981592</v>
      </c>
      <c r="F381">
        <f t="shared" si="24"/>
        <v>0</v>
      </c>
      <c r="G381" t="b">
        <f t="shared" si="25"/>
        <v>1</v>
      </c>
      <c r="H381">
        <v>0.37794294745092244</v>
      </c>
    </row>
    <row r="382" spans="1:8" x14ac:dyDescent="0.35">
      <c r="A382" s="13">
        <v>42916</v>
      </c>
      <c r="B382" s="14">
        <v>5120.68</v>
      </c>
      <c r="C382" s="2">
        <f t="shared" si="22"/>
        <v>-6.5323464646366292E-3</v>
      </c>
      <c r="D382">
        <f t="shared" si="23"/>
        <v>0</v>
      </c>
      <c r="E382">
        <v>0.28985809188347916</v>
      </c>
      <c r="F382">
        <f t="shared" si="24"/>
        <v>0</v>
      </c>
      <c r="G382" t="b">
        <f t="shared" si="25"/>
        <v>1</v>
      </c>
      <c r="H382">
        <v>0.37794290046870482</v>
      </c>
    </row>
    <row r="383" spans="1:8" x14ac:dyDescent="0.35">
      <c r="A383" s="13">
        <v>42919</v>
      </c>
      <c r="B383" s="14">
        <v>5195.72</v>
      </c>
      <c r="C383" s="2">
        <f t="shared" si="22"/>
        <v>1.4654303725286422E-2</v>
      </c>
      <c r="D383">
        <f t="shared" si="23"/>
        <v>1</v>
      </c>
      <c r="E383">
        <v>0.23500513241249521</v>
      </c>
      <c r="F383">
        <f t="shared" si="24"/>
        <v>0</v>
      </c>
      <c r="G383" t="b">
        <f t="shared" si="25"/>
        <v>0</v>
      </c>
      <c r="H383">
        <v>0.37794292594749657</v>
      </c>
    </row>
    <row r="384" spans="1:8" x14ac:dyDescent="0.35">
      <c r="A384" s="13">
        <v>42920</v>
      </c>
      <c r="B384" s="14">
        <v>5174.8999999999996</v>
      </c>
      <c r="C384" s="2">
        <f t="shared" si="22"/>
        <v>-4.0071443418815411E-3</v>
      </c>
      <c r="D384">
        <f t="shared" si="23"/>
        <v>0</v>
      </c>
      <c r="E384">
        <v>0.26297937388501275</v>
      </c>
      <c r="F384">
        <f t="shared" si="24"/>
        <v>0</v>
      </c>
      <c r="G384" t="b">
        <f t="shared" si="25"/>
        <v>1</v>
      </c>
      <c r="H384">
        <v>0.37794292067513247</v>
      </c>
    </row>
    <row r="385" spans="1:8" x14ac:dyDescent="0.35">
      <c r="A385" s="13">
        <v>42921</v>
      </c>
      <c r="B385" s="14">
        <v>5180.1000000000004</v>
      </c>
      <c r="C385" s="2">
        <f t="shared" si="22"/>
        <v>1.0048503352724225E-3</v>
      </c>
      <c r="D385">
        <f t="shared" si="23"/>
        <v>1</v>
      </c>
      <c r="E385">
        <v>0.25657101051138004</v>
      </c>
      <c r="F385">
        <f t="shared" si="24"/>
        <v>0</v>
      </c>
      <c r="G385" t="b">
        <f t="shared" si="25"/>
        <v>0</v>
      </c>
      <c r="H385">
        <v>0.37794296791599852</v>
      </c>
    </row>
    <row r="386" spans="1:8" x14ac:dyDescent="0.35">
      <c r="A386" s="13">
        <v>42922</v>
      </c>
      <c r="B386" s="14">
        <v>5152.3999999999996</v>
      </c>
      <c r="C386" s="2">
        <f t="shared" si="22"/>
        <v>-5.347387116078961E-3</v>
      </c>
      <c r="D386">
        <f t="shared" si="23"/>
        <v>0</v>
      </c>
      <c r="E386">
        <v>0.31446367216329085</v>
      </c>
      <c r="F386">
        <f t="shared" si="24"/>
        <v>0</v>
      </c>
      <c r="G386" t="b">
        <f t="shared" si="25"/>
        <v>1</v>
      </c>
      <c r="H386">
        <v>0.37794296781284564</v>
      </c>
    </row>
    <row r="387" spans="1:8" x14ac:dyDescent="0.35">
      <c r="A387" s="13">
        <v>42923</v>
      </c>
      <c r="B387" s="14">
        <v>5145.16</v>
      </c>
      <c r="C387" s="2">
        <f t="shared" si="22"/>
        <v>-1.4051704060242809E-3</v>
      </c>
      <c r="D387">
        <f t="shared" si="23"/>
        <v>0</v>
      </c>
      <c r="E387">
        <v>0.31406755631070038</v>
      </c>
      <c r="F387">
        <f t="shared" si="24"/>
        <v>0</v>
      </c>
      <c r="G387" t="b">
        <f t="shared" si="25"/>
        <v>1</v>
      </c>
      <c r="H387">
        <v>0.37794294373706272</v>
      </c>
    </row>
    <row r="388" spans="1:8" x14ac:dyDescent="0.35">
      <c r="A388" s="13">
        <v>42926</v>
      </c>
      <c r="B388" s="14">
        <v>5165.6400000000003</v>
      </c>
      <c r="C388" s="2">
        <f t="shared" ref="C388:C451" si="26">(B388/B387)-1</f>
        <v>3.9804398697029786E-3</v>
      </c>
      <c r="D388">
        <f t="shared" si="23"/>
        <v>1</v>
      </c>
      <c r="E388">
        <v>0.28374403181068752</v>
      </c>
      <c r="F388">
        <f t="shared" si="24"/>
        <v>0</v>
      </c>
      <c r="G388" t="b">
        <f t="shared" si="25"/>
        <v>0</v>
      </c>
      <c r="H388">
        <v>0.37794298317442326</v>
      </c>
    </row>
    <row r="389" spans="1:8" x14ac:dyDescent="0.35">
      <c r="A389" s="13">
        <v>42927</v>
      </c>
      <c r="B389" s="14">
        <v>5140.6000000000004</v>
      </c>
      <c r="C389" s="2">
        <f t="shared" si="26"/>
        <v>-4.8474148411425944E-3</v>
      </c>
      <c r="D389">
        <f t="shared" si="23"/>
        <v>0</v>
      </c>
      <c r="E389">
        <v>0.33428058217422013</v>
      </c>
      <c r="F389">
        <f t="shared" si="24"/>
        <v>0</v>
      </c>
      <c r="G389" t="b">
        <f t="shared" si="25"/>
        <v>1</v>
      </c>
      <c r="H389">
        <v>0.37794297704190116</v>
      </c>
    </row>
    <row r="390" spans="1:8" x14ac:dyDescent="0.35">
      <c r="A390" s="13">
        <v>42928</v>
      </c>
      <c r="B390" s="14">
        <v>5222.13</v>
      </c>
      <c r="C390" s="2">
        <f t="shared" si="26"/>
        <v>1.5860016340504934E-2</v>
      </c>
      <c r="D390">
        <f t="shared" ref="D390:D453" si="27">IF(C390&gt;=0,1,0)</f>
        <v>1</v>
      </c>
      <c r="E390">
        <v>0.32549625247446884</v>
      </c>
      <c r="F390">
        <f t="shared" si="24"/>
        <v>0</v>
      </c>
      <c r="G390" t="b">
        <f t="shared" si="25"/>
        <v>0</v>
      </c>
      <c r="H390">
        <v>0.3779430249940961</v>
      </c>
    </row>
    <row r="391" spans="1:8" x14ac:dyDescent="0.35">
      <c r="A391" s="13">
        <v>42929</v>
      </c>
      <c r="B391" s="14">
        <v>5235.3999999999996</v>
      </c>
      <c r="C391" s="2">
        <f t="shared" si="26"/>
        <v>2.5411087046856018E-3</v>
      </c>
      <c r="D391">
        <f t="shared" si="27"/>
        <v>1</v>
      </c>
      <c r="E391">
        <v>0.39337219078303254</v>
      </c>
      <c r="F391">
        <f t="shared" si="24"/>
        <v>0</v>
      </c>
      <c r="G391" t="b">
        <f t="shared" si="25"/>
        <v>0</v>
      </c>
      <c r="H391">
        <v>0.37794309731426229</v>
      </c>
    </row>
    <row r="392" spans="1:8" x14ac:dyDescent="0.35">
      <c r="A392" s="13">
        <v>42930</v>
      </c>
      <c r="B392" s="14">
        <v>5235.3100000000004</v>
      </c>
      <c r="C392" s="2">
        <f t="shared" si="26"/>
        <v>-1.7190663559429886E-5</v>
      </c>
      <c r="D392">
        <f t="shared" si="27"/>
        <v>0</v>
      </c>
      <c r="E392">
        <v>0.50596289228442659</v>
      </c>
      <c r="F392">
        <f t="shared" si="24"/>
        <v>1</v>
      </c>
      <c r="G392" t="b">
        <f t="shared" si="25"/>
        <v>0</v>
      </c>
      <c r="H392">
        <v>0.37794309108752078</v>
      </c>
    </row>
    <row r="393" spans="1:8" x14ac:dyDescent="0.35">
      <c r="A393" s="13">
        <v>42933</v>
      </c>
      <c r="B393" s="14">
        <v>5230.17</v>
      </c>
      <c r="C393" s="2">
        <f t="shared" si="26"/>
        <v>-9.8179477433046891E-4</v>
      </c>
      <c r="D393">
        <f t="shared" si="27"/>
        <v>0</v>
      </c>
      <c r="E393">
        <v>0.49551059556075849</v>
      </c>
      <c r="F393">
        <f t="shared" ref="F393:F456" si="28">IF(E393&gt;=0.5,1,0)</f>
        <v>0</v>
      </c>
      <c r="G393" t="b">
        <f t="shared" ref="G393:G456" si="29">IF(D393=F393,TRUE,FALSE)</f>
        <v>1</v>
      </c>
      <c r="H393">
        <v>0.37794304593928074</v>
      </c>
    </row>
    <row r="394" spans="1:8" x14ac:dyDescent="0.35">
      <c r="A394" s="13">
        <v>42934</v>
      </c>
      <c r="B394" s="14">
        <v>5173.2700000000004</v>
      </c>
      <c r="C394" s="2">
        <f t="shared" si="26"/>
        <v>-1.0879187483389563E-2</v>
      </c>
      <c r="D394">
        <f t="shared" si="27"/>
        <v>0</v>
      </c>
      <c r="E394">
        <v>0.42467836209235094</v>
      </c>
      <c r="F394">
        <f t="shared" si="28"/>
        <v>0</v>
      </c>
      <c r="G394" t="b">
        <f t="shared" si="29"/>
        <v>1</v>
      </c>
      <c r="H394">
        <v>0.37794298782346031</v>
      </c>
    </row>
    <row r="395" spans="1:8" x14ac:dyDescent="0.35">
      <c r="A395" s="13">
        <v>42935</v>
      </c>
      <c r="B395" s="14">
        <v>5216.07</v>
      </c>
      <c r="C395" s="2">
        <f t="shared" si="26"/>
        <v>8.2732971602099692E-3</v>
      </c>
      <c r="D395">
        <f t="shared" si="27"/>
        <v>1</v>
      </c>
      <c r="E395">
        <v>0.33905766032646295</v>
      </c>
      <c r="F395">
        <f t="shared" si="28"/>
        <v>0</v>
      </c>
      <c r="G395" t="b">
        <f t="shared" si="29"/>
        <v>0</v>
      </c>
      <c r="H395">
        <v>0.37794300975755701</v>
      </c>
    </row>
    <row r="396" spans="1:8" x14ac:dyDescent="0.35">
      <c r="A396" s="13">
        <v>42936</v>
      </c>
      <c r="B396" s="14">
        <v>5199.22</v>
      </c>
      <c r="C396" s="2">
        <f t="shared" si="26"/>
        <v>-3.2304014324959773E-3</v>
      </c>
      <c r="D396">
        <f t="shared" si="27"/>
        <v>0</v>
      </c>
      <c r="E396">
        <v>0.36960393784773149</v>
      </c>
      <c r="F396">
        <f t="shared" si="28"/>
        <v>0</v>
      </c>
      <c r="G396" t="b">
        <f t="shared" si="29"/>
        <v>1</v>
      </c>
      <c r="H396">
        <v>0.377942991388942</v>
      </c>
    </row>
    <row r="397" spans="1:8" x14ac:dyDescent="0.35">
      <c r="A397" s="13">
        <v>42937</v>
      </c>
      <c r="B397" s="14">
        <v>5117.66</v>
      </c>
      <c r="C397" s="2">
        <f t="shared" si="26"/>
        <v>-1.5686968429879933E-2</v>
      </c>
      <c r="D397">
        <f t="shared" si="27"/>
        <v>0</v>
      </c>
      <c r="E397">
        <v>0.34285653317368597</v>
      </c>
      <c r="F397">
        <f t="shared" si="28"/>
        <v>0</v>
      </c>
      <c r="G397" t="b">
        <f t="shared" si="29"/>
        <v>1</v>
      </c>
      <c r="H397">
        <v>0.37794295557934948</v>
      </c>
    </row>
    <row r="398" spans="1:8" x14ac:dyDescent="0.35">
      <c r="A398" s="13">
        <v>42940</v>
      </c>
      <c r="B398" s="14">
        <v>5127.7</v>
      </c>
      <c r="C398" s="2">
        <f t="shared" si="26"/>
        <v>1.9618341195000166E-3</v>
      </c>
      <c r="D398">
        <f t="shared" si="27"/>
        <v>1</v>
      </c>
      <c r="E398">
        <v>0.29457486747667178</v>
      </c>
      <c r="F398">
        <f t="shared" si="28"/>
        <v>0</v>
      </c>
      <c r="G398" t="b">
        <f t="shared" si="29"/>
        <v>0</v>
      </c>
      <c r="H398">
        <v>0.37794298855882802</v>
      </c>
    </row>
    <row r="399" spans="1:8" x14ac:dyDescent="0.35">
      <c r="A399" s="13">
        <v>42941</v>
      </c>
      <c r="B399" s="14">
        <v>5161.08</v>
      </c>
      <c r="C399" s="2">
        <f t="shared" si="26"/>
        <v>6.5097412095092011E-3</v>
      </c>
      <c r="D399">
        <f t="shared" si="27"/>
        <v>1</v>
      </c>
      <c r="E399">
        <v>0.3378584974269096</v>
      </c>
      <c r="F399">
        <f t="shared" si="28"/>
        <v>0</v>
      </c>
      <c r="G399" t="b">
        <f t="shared" si="29"/>
        <v>0</v>
      </c>
      <c r="H399">
        <v>0.37794305538711775</v>
      </c>
    </row>
    <row r="400" spans="1:8" x14ac:dyDescent="0.35">
      <c r="A400" s="13">
        <v>42942</v>
      </c>
      <c r="B400" s="14">
        <v>5190.17</v>
      </c>
      <c r="C400" s="2">
        <f t="shared" si="26"/>
        <v>5.6364171840002086E-3</v>
      </c>
      <c r="D400">
        <f t="shared" si="27"/>
        <v>1</v>
      </c>
      <c r="E400">
        <v>0.4361371854764256</v>
      </c>
      <c r="F400">
        <f t="shared" si="28"/>
        <v>0</v>
      </c>
      <c r="G400" t="b">
        <f t="shared" si="29"/>
        <v>0</v>
      </c>
      <c r="H400">
        <v>0.37794313563999138</v>
      </c>
    </row>
    <row r="401" spans="1:8" x14ac:dyDescent="0.35">
      <c r="A401" s="13">
        <v>42943</v>
      </c>
      <c r="B401" s="14">
        <v>5186.95</v>
      </c>
      <c r="C401" s="2">
        <f t="shared" si="26"/>
        <v>-6.2040357059600648E-4</v>
      </c>
      <c r="D401">
        <f t="shared" si="27"/>
        <v>0</v>
      </c>
      <c r="E401">
        <v>0.56167567237413984</v>
      </c>
      <c r="F401">
        <f t="shared" si="28"/>
        <v>1</v>
      </c>
      <c r="G401" t="b">
        <f t="shared" si="29"/>
        <v>0</v>
      </c>
      <c r="H401">
        <v>0.37794312935066299</v>
      </c>
    </row>
    <row r="402" spans="1:8" x14ac:dyDescent="0.35">
      <c r="A402" s="13">
        <v>42944</v>
      </c>
      <c r="B402" s="14">
        <v>5131.3900000000003</v>
      </c>
      <c r="C402" s="2">
        <f t="shared" si="26"/>
        <v>-1.0711497122586344E-2</v>
      </c>
      <c r="D402">
        <f t="shared" si="27"/>
        <v>0</v>
      </c>
      <c r="E402">
        <v>0.55092735897907619</v>
      </c>
      <c r="F402">
        <f t="shared" si="28"/>
        <v>1</v>
      </c>
      <c r="G402" t="b">
        <f t="shared" si="29"/>
        <v>0</v>
      </c>
      <c r="H402">
        <v>0.37794308020413464</v>
      </c>
    </row>
    <row r="403" spans="1:8" x14ac:dyDescent="0.35">
      <c r="A403" s="13">
        <v>42947</v>
      </c>
      <c r="B403" s="14">
        <v>5093.7700000000004</v>
      </c>
      <c r="C403" s="2">
        <f t="shared" si="26"/>
        <v>-7.3313468670281878E-3</v>
      </c>
      <c r="D403">
        <f t="shared" si="27"/>
        <v>0</v>
      </c>
      <c r="E403">
        <v>0.47275920619548184</v>
      </c>
      <c r="F403">
        <f t="shared" si="28"/>
        <v>0</v>
      </c>
      <c r="G403" t="b">
        <f t="shared" si="29"/>
        <v>1</v>
      </c>
      <c r="H403">
        <v>0.37794301459740254</v>
      </c>
    </row>
    <row r="404" spans="1:8" x14ac:dyDescent="0.35">
      <c r="A404" s="13">
        <v>42948</v>
      </c>
      <c r="B404" s="14">
        <v>5127.03</v>
      </c>
      <c r="C404" s="2">
        <f t="shared" si="26"/>
        <v>6.5295449146700602E-3</v>
      </c>
      <c r="D404">
        <f t="shared" si="27"/>
        <v>1</v>
      </c>
      <c r="E404">
        <v>0.37350824611192801</v>
      </c>
      <c r="F404">
        <f t="shared" si="28"/>
        <v>0</v>
      </c>
      <c r="G404" t="b">
        <f t="shared" si="29"/>
        <v>0</v>
      </c>
      <c r="H404">
        <v>0.37794303245411465</v>
      </c>
    </row>
    <row r="405" spans="1:8" x14ac:dyDescent="0.35">
      <c r="A405" s="13">
        <v>42949</v>
      </c>
      <c r="B405" s="14">
        <v>5107.25</v>
      </c>
      <c r="C405" s="2">
        <f t="shared" si="26"/>
        <v>-3.8579840570466262E-3</v>
      </c>
      <c r="D405">
        <f t="shared" si="27"/>
        <v>0</v>
      </c>
      <c r="E405">
        <v>0.39924772806951908</v>
      </c>
      <c r="F405">
        <f t="shared" si="28"/>
        <v>0</v>
      </c>
      <c r="G405" t="b">
        <f t="shared" si="29"/>
        <v>1</v>
      </c>
      <c r="H405">
        <v>0.37794300844328593</v>
      </c>
    </row>
    <row r="406" spans="1:8" x14ac:dyDescent="0.35">
      <c r="A406" s="13">
        <v>42950</v>
      </c>
      <c r="B406" s="14">
        <v>5130.49</v>
      </c>
      <c r="C406" s="2">
        <f t="shared" si="26"/>
        <v>4.5503940476772087E-3</v>
      </c>
      <c r="D406">
        <f t="shared" si="27"/>
        <v>1</v>
      </c>
      <c r="E406">
        <v>0.36389848213502274</v>
      </c>
      <c r="F406">
        <f t="shared" si="28"/>
        <v>0</v>
      </c>
      <c r="G406" t="b">
        <f t="shared" si="29"/>
        <v>0</v>
      </c>
      <c r="H406">
        <v>0.37794304682174912</v>
      </c>
    </row>
    <row r="407" spans="1:8" x14ac:dyDescent="0.35">
      <c r="A407" s="13">
        <v>42951</v>
      </c>
      <c r="B407" s="14">
        <v>5203.4399999999996</v>
      </c>
      <c r="C407" s="2">
        <f t="shared" si="26"/>
        <v>1.4218914762527568E-2</v>
      </c>
      <c r="D407">
        <f t="shared" si="27"/>
        <v>1</v>
      </c>
      <c r="E407">
        <v>0.42078428496822323</v>
      </c>
      <c r="F407">
        <f t="shared" si="28"/>
        <v>0</v>
      </c>
      <c r="G407" t="b">
        <f t="shared" si="29"/>
        <v>0</v>
      </c>
      <c r="H407">
        <v>0.37794311302114353</v>
      </c>
    </row>
    <row r="408" spans="1:8" x14ac:dyDescent="0.35">
      <c r="A408" s="13">
        <v>42954</v>
      </c>
      <c r="B408" s="14">
        <v>5207.8900000000003</v>
      </c>
      <c r="C408" s="2">
        <f t="shared" si="26"/>
        <v>8.5520348077450237E-4</v>
      </c>
      <c r="D408">
        <f t="shared" si="27"/>
        <v>1</v>
      </c>
      <c r="E408">
        <v>0.5253886987880021</v>
      </c>
      <c r="F408">
        <f t="shared" si="28"/>
        <v>1</v>
      </c>
      <c r="G408" t="b">
        <f t="shared" si="29"/>
        <v>1</v>
      </c>
      <c r="H408">
        <v>0.37794318492159373</v>
      </c>
    </row>
    <row r="409" spans="1:8" x14ac:dyDescent="0.35">
      <c r="A409" s="13">
        <v>42955</v>
      </c>
      <c r="B409" s="14">
        <v>5218.8900000000003</v>
      </c>
      <c r="C409" s="2">
        <f t="shared" si="26"/>
        <v>2.1121797887435623E-3</v>
      </c>
      <c r="D409">
        <f t="shared" si="27"/>
        <v>1</v>
      </c>
      <c r="E409">
        <v>0.63787651329107176</v>
      </c>
      <c r="F409">
        <f t="shared" si="28"/>
        <v>1</v>
      </c>
      <c r="G409" t="b">
        <f t="shared" si="29"/>
        <v>1</v>
      </c>
      <c r="H409">
        <v>0.3779432481007905</v>
      </c>
    </row>
    <row r="410" spans="1:8" x14ac:dyDescent="0.35">
      <c r="A410" s="13">
        <v>42956</v>
      </c>
      <c r="B410" s="14">
        <v>5145.7</v>
      </c>
      <c r="C410" s="2">
        <f t="shared" si="26"/>
        <v>-1.4024054923556628E-2</v>
      </c>
      <c r="D410">
        <f t="shared" si="27"/>
        <v>0</v>
      </c>
      <c r="E410">
        <v>0.72681098193986216</v>
      </c>
      <c r="F410">
        <f t="shared" si="28"/>
        <v>1</v>
      </c>
      <c r="G410" t="b">
        <f t="shared" si="29"/>
        <v>0</v>
      </c>
      <c r="H410">
        <v>0.37794323309768346</v>
      </c>
    </row>
    <row r="411" spans="1:8" x14ac:dyDescent="0.35">
      <c r="A411" s="13">
        <v>42957</v>
      </c>
      <c r="B411" s="14">
        <v>5115.2299999999996</v>
      </c>
      <c r="C411" s="2">
        <f t="shared" si="26"/>
        <v>-5.9214489768156797E-3</v>
      </c>
      <c r="D411">
        <f t="shared" si="27"/>
        <v>0</v>
      </c>
      <c r="E411">
        <v>0.70564983038109719</v>
      </c>
      <c r="F411">
        <f t="shared" si="28"/>
        <v>1</v>
      </c>
      <c r="G411" t="b">
        <f t="shared" si="29"/>
        <v>0</v>
      </c>
      <c r="H411">
        <v>0.37794317718164028</v>
      </c>
    </row>
    <row r="412" spans="1:8" x14ac:dyDescent="0.35">
      <c r="A412" s="13">
        <v>42958</v>
      </c>
      <c r="B412" s="14">
        <v>5060.92</v>
      </c>
      <c r="C412" s="2">
        <f t="shared" si="26"/>
        <v>-1.0617313395487549E-2</v>
      </c>
      <c r="D412">
        <f t="shared" si="27"/>
        <v>0</v>
      </c>
      <c r="E412">
        <v>0.62418515848184841</v>
      </c>
      <c r="F412">
        <f t="shared" si="28"/>
        <v>1</v>
      </c>
      <c r="G412" t="b">
        <f t="shared" si="29"/>
        <v>0</v>
      </c>
      <c r="H412">
        <v>0.37794310012483018</v>
      </c>
    </row>
    <row r="413" spans="1:8" x14ac:dyDescent="0.35">
      <c r="A413" s="13">
        <v>42961</v>
      </c>
      <c r="B413" s="14">
        <v>5121.67</v>
      </c>
      <c r="C413" s="2">
        <f t="shared" si="26"/>
        <v>1.200374635441781E-2</v>
      </c>
      <c r="D413">
        <f t="shared" si="27"/>
        <v>1</v>
      </c>
      <c r="E413">
        <v>0.50257484643088601</v>
      </c>
      <c r="F413">
        <f t="shared" si="28"/>
        <v>1</v>
      </c>
      <c r="G413" t="b">
        <f t="shared" si="29"/>
        <v>1</v>
      </c>
      <c r="H413">
        <v>0.37794310325018832</v>
      </c>
    </row>
    <row r="414" spans="1:8" x14ac:dyDescent="0.35">
      <c r="A414" s="13">
        <v>42962</v>
      </c>
      <c r="B414" s="14">
        <v>5140.25</v>
      </c>
      <c r="C414" s="2">
        <f t="shared" si="26"/>
        <v>3.6277229887906604E-3</v>
      </c>
      <c r="D414">
        <f t="shared" si="27"/>
        <v>1</v>
      </c>
      <c r="E414">
        <v>0.50700555355497623</v>
      </c>
      <c r="F414">
        <f t="shared" si="28"/>
        <v>1</v>
      </c>
      <c r="G414" t="b">
        <f t="shared" si="29"/>
        <v>1</v>
      </c>
      <c r="H414">
        <v>0.37794314536351403</v>
      </c>
    </row>
    <row r="415" spans="1:8" x14ac:dyDescent="0.35">
      <c r="A415" s="13">
        <v>42963</v>
      </c>
      <c r="B415" s="14">
        <v>5176.6099999999997</v>
      </c>
      <c r="C415" s="2">
        <f t="shared" si="26"/>
        <v>7.0735859150818925E-3</v>
      </c>
      <c r="D415">
        <f t="shared" si="27"/>
        <v>1</v>
      </c>
      <c r="E415">
        <v>0.57459931250134755</v>
      </c>
      <c r="F415">
        <f t="shared" si="28"/>
        <v>1</v>
      </c>
      <c r="G415" t="b">
        <f t="shared" si="29"/>
        <v>1</v>
      </c>
      <c r="H415">
        <v>0.3779432004674162</v>
      </c>
    </row>
    <row r="416" spans="1:8" x14ac:dyDescent="0.35">
      <c r="A416" s="13">
        <v>42964</v>
      </c>
      <c r="B416" s="14">
        <v>5146.8500000000004</v>
      </c>
      <c r="C416" s="2">
        <f t="shared" si="26"/>
        <v>-5.7489360797895461E-3</v>
      </c>
      <c r="D416">
        <f t="shared" si="27"/>
        <v>0</v>
      </c>
      <c r="E416">
        <v>0.65928522457840955</v>
      </c>
      <c r="F416">
        <f t="shared" si="28"/>
        <v>1</v>
      </c>
      <c r="G416" t="b">
        <f t="shared" si="29"/>
        <v>0</v>
      </c>
      <c r="H416">
        <v>0.37794317947995049</v>
      </c>
    </row>
    <row r="417" spans="1:8" x14ac:dyDescent="0.35">
      <c r="A417" s="13">
        <v>42965</v>
      </c>
      <c r="B417" s="14">
        <v>5114.1499999999996</v>
      </c>
      <c r="C417" s="2">
        <f t="shared" si="26"/>
        <v>-6.3534006236826146E-3</v>
      </c>
      <c r="D417">
        <f t="shared" si="27"/>
        <v>0</v>
      </c>
      <c r="E417">
        <v>0.62760402104783597</v>
      </c>
      <c r="F417">
        <f t="shared" si="28"/>
        <v>1</v>
      </c>
      <c r="G417" t="b">
        <f t="shared" si="29"/>
        <v>0</v>
      </c>
      <c r="H417">
        <v>0.37794311947105885</v>
      </c>
    </row>
    <row r="418" spans="1:8" x14ac:dyDescent="0.35">
      <c r="A418" s="13">
        <v>42968</v>
      </c>
      <c r="B418" s="14">
        <v>5087.59</v>
      </c>
      <c r="C418" s="2">
        <f t="shared" si="26"/>
        <v>-5.1934339039721999E-3</v>
      </c>
      <c r="D418">
        <f t="shared" si="27"/>
        <v>0</v>
      </c>
      <c r="E418">
        <v>0.53454824929235889</v>
      </c>
      <c r="F418">
        <f t="shared" si="28"/>
        <v>1</v>
      </c>
      <c r="G418" t="b">
        <f t="shared" si="29"/>
        <v>0</v>
      </c>
      <c r="H418">
        <v>0.37794304385040595</v>
      </c>
    </row>
    <row r="419" spans="1:8" x14ac:dyDescent="0.35">
      <c r="A419" s="13">
        <v>42969</v>
      </c>
      <c r="B419" s="14">
        <v>5131.8599999999997</v>
      </c>
      <c r="C419" s="2">
        <f t="shared" si="26"/>
        <v>8.7015659673832513E-3</v>
      </c>
      <c r="D419">
        <f t="shared" si="27"/>
        <v>1</v>
      </c>
      <c r="E419">
        <v>0.4164314036315464</v>
      </c>
      <c r="F419">
        <f t="shared" si="28"/>
        <v>0</v>
      </c>
      <c r="G419" t="b">
        <f t="shared" si="29"/>
        <v>0</v>
      </c>
      <c r="H419">
        <v>0.37794305452930099</v>
      </c>
    </row>
    <row r="420" spans="1:8" x14ac:dyDescent="0.35">
      <c r="A420" s="13">
        <v>42970</v>
      </c>
      <c r="B420" s="14">
        <v>5115.3900000000003</v>
      </c>
      <c r="C420" s="2">
        <f t="shared" si="26"/>
        <v>-3.2093626872127246E-3</v>
      </c>
      <c r="D420">
        <f t="shared" si="27"/>
        <v>0</v>
      </c>
      <c r="E420">
        <v>0.43229991472620305</v>
      </c>
      <c r="F420">
        <f t="shared" si="28"/>
        <v>0</v>
      </c>
      <c r="G420" t="b">
        <f t="shared" si="29"/>
        <v>1</v>
      </c>
      <c r="H420">
        <v>0.37794302403173069</v>
      </c>
    </row>
    <row r="421" spans="1:8" x14ac:dyDescent="0.35">
      <c r="A421" s="13">
        <v>42971</v>
      </c>
      <c r="B421" s="14">
        <v>5113.13</v>
      </c>
      <c r="C421" s="2">
        <f t="shared" si="26"/>
        <v>-4.4180404622129466E-4</v>
      </c>
      <c r="D421">
        <f t="shared" si="27"/>
        <v>0</v>
      </c>
      <c r="E421">
        <v>0.38546723180953468</v>
      </c>
      <c r="F421">
        <f t="shared" si="28"/>
        <v>0</v>
      </c>
      <c r="G421" t="b">
        <f t="shared" si="29"/>
        <v>1</v>
      </c>
      <c r="H421">
        <v>0.37794297740039595</v>
      </c>
    </row>
    <row r="422" spans="1:8" x14ac:dyDescent="0.35">
      <c r="A422" s="13">
        <v>42972</v>
      </c>
      <c r="B422" s="14">
        <v>5104.33</v>
      </c>
      <c r="C422" s="2">
        <f t="shared" si="26"/>
        <v>-1.721059312006612E-3</v>
      </c>
      <c r="D422">
        <f t="shared" si="27"/>
        <v>0</v>
      </c>
      <c r="E422">
        <v>0.31912227414776562</v>
      </c>
      <c r="F422">
        <f t="shared" si="28"/>
        <v>0</v>
      </c>
      <c r="G422" t="b">
        <f t="shared" si="29"/>
        <v>1</v>
      </c>
      <c r="H422">
        <v>0.37794293015361619</v>
      </c>
    </row>
    <row r="423" spans="1:8" x14ac:dyDescent="0.35">
      <c r="A423" s="13">
        <v>42975</v>
      </c>
      <c r="B423" s="14">
        <v>5079.75</v>
      </c>
      <c r="C423" s="2">
        <f t="shared" si="26"/>
        <v>-4.8155193727678069E-3</v>
      </c>
      <c r="D423">
        <f t="shared" si="27"/>
        <v>0</v>
      </c>
      <c r="E423">
        <v>0.2590871969873037</v>
      </c>
      <c r="F423">
        <f t="shared" si="28"/>
        <v>0</v>
      </c>
      <c r="G423" t="b">
        <f t="shared" si="29"/>
        <v>1</v>
      </c>
      <c r="H423">
        <v>0.37794288896109302</v>
      </c>
    </row>
    <row r="424" spans="1:8" x14ac:dyDescent="0.35">
      <c r="A424" s="13">
        <v>42976</v>
      </c>
      <c r="B424" s="14">
        <v>5031.92</v>
      </c>
      <c r="C424" s="2">
        <f t="shared" si="26"/>
        <v>-9.415817707564389E-3</v>
      </c>
      <c r="D424">
        <f t="shared" si="27"/>
        <v>0</v>
      </c>
      <c r="E424">
        <v>0.21374844930881973</v>
      </c>
      <c r="F424">
        <f t="shared" si="28"/>
        <v>0</v>
      </c>
      <c r="G424" t="b">
        <f t="shared" si="29"/>
        <v>1</v>
      </c>
      <c r="H424">
        <v>0.37794285553843643</v>
      </c>
    </row>
    <row r="425" spans="1:8" x14ac:dyDescent="0.35">
      <c r="A425" s="13">
        <v>42977</v>
      </c>
      <c r="B425" s="14">
        <v>5056.34</v>
      </c>
      <c r="C425" s="2">
        <f t="shared" si="26"/>
        <v>4.8530183309751784E-3</v>
      </c>
      <c r="D425">
        <f t="shared" si="27"/>
        <v>1</v>
      </c>
      <c r="E425">
        <v>0.18178998689465034</v>
      </c>
      <c r="F425">
        <f t="shared" si="28"/>
        <v>0</v>
      </c>
      <c r="G425" t="b">
        <f t="shared" si="29"/>
        <v>0</v>
      </c>
      <c r="H425">
        <v>0.37794288210022492</v>
      </c>
    </row>
    <row r="426" spans="1:8" x14ac:dyDescent="0.35">
      <c r="A426" s="13">
        <v>42978</v>
      </c>
      <c r="B426" s="14">
        <v>5085.59</v>
      </c>
      <c r="C426" s="2">
        <f t="shared" si="26"/>
        <v>5.7848166855867245E-3</v>
      </c>
      <c r="D426">
        <f t="shared" si="27"/>
        <v>1</v>
      </c>
      <c r="E426">
        <v>0.2062586609217669</v>
      </c>
      <c r="F426">
        <f t="shared" si="28"/>
        <v>0</v>
      </c>
      <c r="G426" t="b">
        <f t="shared" si="29"/>
        <v>0</v>
      </c>
      <c r="H426">
        <v>0.37794294056471306</v>
      </c>
    </row>
    <row r="427" spans="1:8" x14ac:dyDescent="0.35">
      <c r="A427" s="13">
        <v>42979</v>
      </c>
      <c r="B427" s="14">
        <v>5123.26</v>
      </c>
      <c r="C427" s="2">
        <f t="shared" si="26"/>
        <v>7.4072034906471629E-3</v>
      </c>
      <c r="D427">
        <f t="shared" si="27"/>
        <v>1</v>
      </c>
      <c r="E427">
        <v>0.27017513102634938</v>
      </c>
      <c r="F427">
        <f t="shared" si="28"/>
        <v>0</v>
      </c>
      <c r="G427" t="b">
        <f t="shared" si="29"/>
        <v>0</v>
      </c>
      <c r="H427">
        <v>0.37794301906997724</v>
      </c>
    </row>
    <row r="428" spans="1:8" x14ac:dyDescent="0.35">
      <c r="A428" s="13">
        <v>42982</v>
      </c>
      <c r="B428" s="14">
        <v>5103.97</v>
      </c>
      <c r="C428" s="2">
        <f t="shared" si="26"/>
        <v>-3.7651807638104939E-3</v>
      </c>
      <c r="D428">
        <f t="shared" si="27"/>
        <v>0</v>
      </c>
      <c r="E428">
        <v>0.37509378922212194</v>
      </c>
      <c r="F428">
        <f t="shared" si="28"/>
        <v>0</v>
      </c>
      <c r="G428" t="b">
        <f t="shared" si="29"/>
        <v>1</v>
      </c>
      <c r="H428">
        <v>0.37794302859565926</v>
      </c>
    </row>
    <row r="429" spans="1:8" x14ac:dyDescent="0.35">
      <c r="A429" s="13">
        <v>42983</v>
      </c>
      <c r="B429" s="14">
        <v>5086.5600000000004</v>
      </c>
      <c r="C429" s="2">
        <f t="shared" si="26"/>
        <v>-3.4110702061336262E-3</v>
      </c>
      <c r="D429">
        <f t="shared" si="27"/>
        <v>0</v>
      </c>
      <c r="E429">
        <v>0.38796584955742669</v>
      </c>
      <c r="F429">
        <f t="shared" si="28"/>
        <v>0</v>
      </c>
      <c r="G429" t="b">
        <f t="shared" si="29"/>
        <v>1</v>
      </c>
      <c r="H429">
        <v>0.377943001758002</v>
      </c>
    </row>
    <row r="430" spans="1:8" x14ac:dyDescent="0.35">
      <c r="A430" s="13">
        <v>42984</v>
      </c>
      <c r="B430" s="14">
        <v>5101.41</v>
      </c>
      <c r="C430" s="2">
        <f t="shared" si="26"/>
        <v>2.9194583372651461E-3</v>
      </c>
      <c r="D430">
        <f t="shared" si="27"/>
        <v>1</v>
      </c>
      <c r="E430">
        <v>0.34865658476181166</v>
      </c>
      <c r="F430">
        <f t="shared" si="28"/>
        <v>0</v>
      </c>
      <c r="G430" t="b">
        <f t="shared" si="29"/>
        <v>0</v>
      </c>
      <c r="H430">
        <v>0.37794303872178392</v>
      </c>
    </row>
    <row r="431" spans="1:8" x14ac:dyDescent="0.35">
      <c r="A431" s="13">
        <v>42985</v>
      </c>
      <c r="B431" s="14">
        <v>5114.62</v>
      </c>
      <c r="C431" s="2">
        <f t="shared" si="26"/>
        <v>2.5894801633274955E-3</v>
      </c>
      <c r="D431">
        <f t="shared" si="27"/>
        <v>1</v>
      </c>
      <c r="E431">
        <v>0.40267667046252653</v>
      </c>
      <c r="F431">
        <f t="shared" si="28"/>
        <v>0</v>
      </c>
      <c r="G431" t="b">
        <f t="shared" si="29"/>
        <v>0</v>
      </c>
      <c r="H431">
        <v>0.37794310520428814</v>
      </c>
    </row>
    <row r="432" spans="1:8" x14ac:dyDescent="0.35">
      <c r="A432" s="13">
        <v>42986</v>
      </c>
      <c r="B432" s="14">
        <v>5113.49</v>
      </c>
      <c r="C432" s="2">
        <f t="shared" si="26"/>
        <v>-2.2093527964939241E-4</v>
      </c>
      <c r="D432">
        <f t="shared" si="27"/>
        <v>0</v>
      </c>
      <c r="E432">
        <v>0.50697734429125463</v>
      </c>
      <c r="F432">
        <f t="shared" si="28"/>
        <v>1</v>
      </c>
      <c r="G432" t="b">
        <f t="shared" si="29"/>
        <v>0</v>
      </c>
      <c r="H432">
        <v>0.37794309635290513</v>
      </c>
    </row>
    <row r="433" spans="1:8" x14ac:dyDescent="0.35">
      <c r="A433" s="13">
        <v>42989</v>
      </c>
      <c r="B433" s="14">
        <v>5176.71</v>
      </c>
      <c r="C433" s="2">
        <f t="shared" si="26"/>
        <v>1.2363376089520095E-2</v>
      </c>
      <c r="D433">
        <f t="shared" si="27"/>
        <v>1</v>
      </c>
      <c r="E433">
        <v>0.49203951829710202</v>
      </c>
      <c r="F433">
        <f t="shared" si="28"/>
        <v>0</v>
      </c>
      <c r="G433" t="b">
        <f t="shared" si="29"/>
        <v>0</v>
      </c>
      <c r="H433">
        <v>0.37794313361227411</v>
      </c>
    </row>
    <row r="434" spans="1:8" x14ac:dyDescent="0.35">
      <c r="A434" s="13">
        <v>42990</v>
      </c>
      <c r="B434" s="14">
        <v>5209.01</v>
      </c>
      <c r="C434" s="2">
        <f t="shared" si="26"/>
        <v>6.2394841511308474E-3</v>
      </c>
      <c r="D434">
        <f t="shared" si="27"/>
        <v>1</v>
      </c>
      <c r="E434">
        <v>0.55227795921013467</v>
      </c>
      <c r="F434">
        <f t="shared" si="28"/>
        <v>1</v>
      </c>
      <c r="G434" t="b">
        <f t="shared" si="29"/>
        <v>1</v>
      </c>
      <c r="H434">
        <v>0.37794318779643593</v>
      </c>
    </row>
    <row r="435" spans="1:8" x14ac:dyDescent="0.35">
      <c r="A435" s="13">
        <v>42991</v>
      </c>
      <c r="B435" s="14">
        <v>5217.59</v>
      </c>
      <c r="C435" s="2">
        <f t="shared" si="26"/>
        <v>1.6471460027913665E-3</v>
      </c>
      <c r="D435">
        <f t="shared" si="27"/>
        <v>1</v>
      </c>
      <c r="E435">
        <v>0.63833669765177314</v>
      </c>
      <c r="F435">
        <f t="shared" si="28"/>
        <v>1</v>
      </c>
      <c r="G435" t="b">
        <f t="shared" si="29"/>
        <v>1</v>
      </c>
      <c r="H435">
        <v>0.37794324156413073</v>
      </c>
    </row>
    <row r="436" spans="1:8" x14ac:dyDescent="0.35">
      <c r="A436" s="13">
        <v>42992</v>
      </c>
      <c r="B436" s="14">
        <v>5225.2</v>
      </c>
      <c r="C436" s="2">
        <f t="shared" si="26"/>
        <v>1.4585277877332548E-3</v>
      </c>
      <c r="D436">
        <f t="shared" si="27"/>
        <v>1</v>
      </c>
      <c r="E436">
        <v>0.71643991333121182</v>
      </c>
      <c r="F436">
        <f t="shared" si="28"/>
        <v>1</v>
      </c>
      <c r="G436" t="b">
        <f t="shared" si="29"/>
        <v>1</v>
      </c>
      <c r="H436">
        <v>0.37794328657793663</v>
      </c>
    </row>
    <row r="437" spans="1:8" x14ac:dyDescent="0.35">
      <c r="A437" s="13">
        <v>42993</v>
      </c>
      <c r="B437" s="14">
        <v>5213.91</v>
      </c>
      <c r="C437" s="2">
        <f t="shared" si="26"/>
        <v>-2.1606828446757431E-3</v>
      </c>
      <c r="D437">
        <f t="shared" si="27"/>
        <v>0</v>
      </c>
      <c r="E437">
        <v>0.77389197744764016</v>
      </c>
      <c r="F437">
        <f t="shared" si="28"/>
        <v>1</v>
      </c>
      <c r="G437" t="b">
        <f t="shared" si="29"/>
        <v>0</v>
      </c>
      <c r="H437">
        <v>0.3779432663085901</v>
      </c>
    </row>
    <row r="438" spans="1:8" x14ac:dyDescent="0.35">
      <c r="A438" s="13">
        <v>42996</v>
      </c>
      <c r="B438" s="14">
        <v>5229.32</v>
      </c>
      <c r="C438" s="2">
        <f t="shared" si="26"/>
        <v>2.9555554276923246E-3</v>
      </c>
      <c r="D438">
        <f t="shared" si="27"/>
        <v>1</v>
      </c>
      <c r="E438">
        <v>0.74848564628162839</v>
      </c>
      <c r="F438">
        <f t="shared" si="28"/>
        <v>1</v>
      </c>
      <c r="G438" t="b">
        <f t="shared" si="29"/>
        <v>1</v>
      </c>
      <c r="H438">
        <v>0.37794327116697263</v>
      </c>
    </row>
    <row r="439" spans="1:8" x14ac:dyDescent="0.35">
      <c r="A439" s="13">
        <v>42997</v>
      </c>
      <c r="B439" s="14">
        <v>5237.4399999999996</v>
      </c>
      <c r="C439" s="2">
        <f t="shared" si="26"/>
        <v>1.552783153450088E-3</v>
      </c>
      <c r="D439">
        <f t="shared" si="27"/>
        <v>1</v>
      </c>
      <c r="E439">
        <v>0.7544653356458072</v>
      </c>
      <c r="F439">
        <f t="shared" si="28"/>
        <v>1</v>
      </c>
      <c r="G439" t="b">
        <f t="shared" si="29"/>
        <v>1</v>
      </c>
      <c r="H439">
        <v>0.3779432878357224</v>
      </c>
    </row>
    <row r="440" spans="1:8" x14ac:dyDescent="0.35">
      <c r="A440" s="13">
        <v>42998</v>
      </c>
      <c r="B440" s="14">
        <v>5241.66</v>
      </c>
      <c r="C440" s="2">
        <f t="shared" si="26"/>
        <v>8.0573715402953994E-4</v>
      </c>
      <c r="D440">
        <f t="shared" si="27"/>
        <v>1</v>
      </c>
      <c r="E440">
        <v>0.77496139153673249</v>
      </c>
      <c r="F440">
        <f t="shared" si="28"/>
        <v>1</v>
      </c>
      <c r="G440" t="b">
        <f t="shared" si="29"/>
        <v>1</v>
      </c>
      <c r="H440">
        <v>0.37794330838346951</v>
      </c>
    </row>
    <row r="441" spans="1:8" x14ac:dyDescent="0.35">
      <c r="A441" s="13">
        <v>42999</v>
      </c>
      <c r="B441" s="14">
        <v>5267.29</v>
      </c>
      <c r="C441" s="2">
        <f t="shared" si="26"/>
        <v>4.8896723557041444E-3</v>
      </c>
      <c r="D441">
        <f t="shared" si="27"/>
        <v>1</v>
      </c>
      <c r="E441">
        <v>0.79869018012641957</v>
      </c>
      <c r="F441">
        <f t="shared" si="28"/>
        <v>1</v>
      </c>
      <c r="G441" t="b">
        <f t="shared" si="29"/>
        <v>1</v>
      </c>
      <c r="H441">
        <v>0.37794332873164205</v>
      </c>
    </row>
    <row r="442" spans="1:8" x14ac:dyDescent="0.35">
      <c r="A442" s="13">
        <v>43000</v>
      </c>
      <c r="B442" s="14">
        <v>5281.29</v>
      </c>
      <c r="C442" s="2">
        <f t="shared" si="26"/>
        <v>2.6579132722899246E-3</v>
      </c>
      <c r="D442">
        <f t="shared" si="27"/>
        <v>1</v>
      </c>
      <c r="E442">
        <v>0.82035592705132243</v>
      </c>
      <c r="F442">
        <f t="shared" si="28"/>
        <v>1</v>
      </c>
      <c r="G442" t="b">
        <f t="shared" si="29"/>
        <v>1</v>
      </c>
      <c r="H442">
        <v>0.37794334709698757</v>
      </c>
    </row>
    <row r="443" spans="1:8" x14ac:dyDescent="0.35">
      <c r="A443" s="13">
        <v>43003</v>
      </c>
      <c r="B443" s="14">
        <v>5267.13</v>
      </c>
      <c r="C443" s="2">
        <f t="shared" si="26"/>
        <v>-2.6811631249182843E-3</v>
      </c>
      <c r="D443">
        <f t="shared" si="27"/>
        <v>0</v>
      </c>
      <c r="E443">
        <v>0.8383829604135834</v>
      </c>
      <c r="F443">
        <f t="shared" si="28"/>
        <v>1</v>
      </c>
      <c r="G443" t="b">
        <f t="shared" si="29"/>
        <v>0</v>
      </c>
      <c r="H443">
        <v>0.37794332070379155</v>
      </c>
    </row>
    <row r="444" spans="1:8" x14ac:dyDescent="0.35">
      <c r="A444" s="13">
        <v>43004</v>
      </c>
      <c r="B444" s="14">
        <v>5268.76</v>
      </c>
      <c r="C444" s="2">
        <f t="shared" si="26"/>
        <v>3.094664456735341E-4</v>
      </c>
      <c r="D444">
        <f t="shared" si="27"/>
        <v>1</v>
      </c>
      <c r="E444">
        <v>0.81226166561208313</v>
      </c>
      <c r="F444">
        <f t="shared" si="28"/>
        <v>1</v>
      </c>
      <c r="G444" t="b">
        <f t="shared" si="29"/>
        <v>1</v>
      </c>
      <c r="H444">
        <v>0.37794331651632695</v>
      </c>
    </row>
    <row r="445" spans="1:8" x14ac:dyDescent="0.35">
      <c r="A445" s="13">
        <v>43005</v>
      </c>
      <c r="B445" s="14">
        <v>5281.96</v>
      </c>
      <c r="C445" s="2">
        <f t="shared" si="26"/>
        <v>2.5053333232107899E-3</v>
      </c>
      <c r="D445">
        <f t="shared" si="27"/>
        <v>1</v>
      </c>
      <c r="E445">
        <v>0.80780703131175247</v>
      </c>
      <c r="F445">
        <f t="shared" si="28"/>
        <v>1</v>
      </c>
      <c r="G445" t="b">
        <f t="shared" si="29"/>
        <v>1</v>
      </c>
      <c r="H445">
        <v>0.37794332377468332</v>
      </c>
    </row>
    <row r="446" spans="1:8" x14ac:dyDescent="0.35">
      <c r="A446" s="13">
        <v>43006</v>
      </c>
      <c r="B446" s="14">
        <v>5293.77</v>
      </c>
      <c r="C446" s="2">
        <f t="shared" si="26"/>
        <v>2.2359124264479391E-3</v>
      </c>
      <c r="D446">
        <f t="shared" si="27"/>
        <v>1</v>
      </c>
      <c r="E446">
        <v>0.81543341090568633</v>
      </c>
      <c r="F446">
        <f t="shared" si="28"/>
        <v>1</v>
      </c>
      <c r="G446" t="b">
        <f t="shared" si="29"/>
        <v>1</v>
      </c>
      <c r="H446">
        <v>0.37794333610137115</v>
      </c>
    </row>
    <row r="447" spans="1:8" x14ac:dyDescent="0.35">
      <c r="A447" s="13">
        <v>43007</v>
      </c>
      <c r="B447" s="14">
        <v>5329.81</v>
      </c>
      <c r="C447" s="2">
        <f t="shared" si="26"/>
        <v>6.8080026143939598E-3</v>
      </c>
      <c r="D447">
        <f t="shared" si="27"/>
        <v>1</v>
      </c>
      <c r="E447">
        <v>0.82786804880430498</v>
      </c>
      <c r="F447">
        <f t="shared" si="28"/>
        <v>1</v>
      </c>
      <c r="G447" t="b">
        <f t="shared" si="29"/>
        <v>1</v>
      </c>
      <c r="H447">
        <v>0.37794334989543737</v>
      </c>
    </row>
    <row r="448" spans="1:8" x14ac:dyDescent="0.35">
      <c r="A448" s="13">
        <v>43010</v>
      </c>
      <c r="B448" s="14">
        <v>5350.44</v>
      </c>
      <c r="C448" s="2">
        <f t="shared" si="26"/>
        <v>3.8706820693419353E-3</v>
      </c>
      <c r="D448">
        <f t="shared" si="27"/>
        <v>1</v>
      </c>
      <c r="E448">
        <v>0.84104125259520279</v>
      </c>
      <c r="F448">
        <f t="shared" si="28"/>
        <v>1</v>
      </c>
      <c r="G448" t="b">
        <f t="shared" si="29"/>
        <v>1</v>
      </c>
      <c r="H448">
        <v>0.377943363351397</v>
      </c>
    </row>
    <row r="449" spans="1:8" x14ac:dyDescent="0.35">
      <c r="A449" s="13">
        <v>43011</v>
      </c>
      <c r="B449" s="14">
        <v>5367.41</v>
      </c>
      <c r="C449" s="2">
        <f t="shared" si="26"/>
        <v>3.1717017665837677E-3</v>
      </c>
      <c r="D449">
        <f t="shared" si="27"/>
        <v>1</v>
      </c>
      <c r="E449">
        <v>0.85316057129474698</v>
      </c>
      <c r="F449">
        <f t="shared" si="28"/>
        <v>1</v>
      </c>
      <c r="G449" t="b">
        <f t="shared" si="29"/>
        <v>1</v>
      </c>
      <c r="H449">
        <v>0.37794337575850373</v>
      </c>
    </row>
    <row r="450" spans="1:8" x14ac:dyDescent="0.35">
      <c r="A450" s="13">
        <v>43013</v>
      </c>
      <c r="B450" s="14">
        <v>5379.21</v>
      </c>
      <c r="C450" s="2">
        <f t="shared" si="26"/>
        <v>2.1984532577166149E-3</v>
      </c>
      <c r="D450">
        <f t="shared" si="27"/>
        <v>1</v>
      </c>
      <c r="E450">
        <v>0.86367728759229667</v>
      </c>
      <c r="F450">
        <f t="shared" si="28"/>
        <v>1</v>
      </c>
      <c r="G450" t="b">
        <f t="shared" si="29"/>
        <v>1</v>
      </c>
      <c r="H450">
        <v>0.37794338689772738</v>
      </c>
    </row>
    <row r="451" spans="1:8" x14ac:dyDescent="0.35">
      <c r="A451" s="13">
        <v>43014</v>
      </c>
      <c r="B451" s="14">
        <v>5359.9</v>
      </c>
      <c r="C451" s="2">
        <f t="shared" si="26"/>
        <v>-3.5897464497575138E-3</v>
      </c>
      <c r="D451">
        <f t="shared" si="27"/>
        <v>0</v>
      </c>
      <c r="E451">
        <v>0.87260185489159325</v>
      </c>
      <c r="F451">
        <f t="shared" si="28"/>
        <v>1</v>
      </c>
      <c r="G451" t="b">
        <f t="shared" si="29"/>
        <v>0</v>
      </c>
      <c r="H451">
        <v>0.37794336250363825</v>
      </c>
    </row>
    <row r="452" spans="1:8" x14ac:dyDescent="0.35">
      <c r="A452" s="13">
        <v>43017</v>
      </c>
      <c r="B452" s="14">
        <v>5365.83</v>
      </c>
      <c r="C452" s="2">
        <f t="shared" ref="C452:C515" si="30">(B452/B451)-1</f>
        <v>1.1063639247002044E-3</v>
      </c>
      <c r="D452">
        <f t="shared" si="27"/>
        <v>1</v>
      </c>
      <c r="E452">
        <v>0.85238941964447679</v>
      </c>
      <c r="F452">
        <f t="shared" si="28"/>
        <v>1</v>
      </c>
      <c r="G452" t="b">
        <f t="shared" si="29"/>
        <v>1</v>
      </c>
      <c r="H452">
        <v>0.37794335607518553</v>
      </c>
    </row>
    <row r="453" spans="1:8" x14ac:dyDescent="0.35">
      <c r="A453" s="13">
        <v>43018</v>
      </c>
      <c r="B453" s="14">
        <v>5363.65</v>
      </c>
      <c r="C453" s="2">
        <f t="shared" si="30"/>
        <v>-4.0627451857411234E-4</v>
      </c>
      <c r="D453">
        <f t="shared" si="27"/>
        <v>0</v>
      </c>
      <c r="E453">
        <v>0.84661143684009366</v>
      </c>
      <c r="F453">
        <f t="shared" si="28"/>
        <v>1</v>
      </c>
      <c r="G453" t="b">
        <f t="shared" si="29"/>
        <v>0</v>
      </c>
      <c r="H453">
        <v>0.37794331856971902</v>
      </c>
    </row>
    <row r="454" spans="1:8" x14ac:dyDescent="0.35">
      <c r="A454" s="13">
        <v>43019</v>
      </c>
      <c r="B454" s="14">
        <v>5362.41</v>
      </c>
      <c r="C454" s="2">
        <f t="shared" si="30"/>
        <v>-2.3118585291725946E-4</v>
      </c>
      <c r="D454">
        <f t="shared" ref="D454:D517" si="31">IF(C454&gt;=0,1,0)</f>
        <v>0</v>
      </c>
      <c r="E454">
        <v>0.80973962086420359</v>
      </c>
      <c r="F454">
        <f t="shared" si="28"/>
        <v>1</v>
      </c>
      <c r="G454" t="b">
        <f t="shared" si="29"/>
        <v>0</v>
      </c>
      <c r="H454">
        <v>0.37794326029142206</v>
      </c>
    </row>
    <row r="455" spans="1:8" x14ac:dyDescent="0.35">
      <c r="A455" s="13">
        <v>43020</v>
      </c>
      <c r="B455" s="14">
        <v>5360.81</v>
      </c>
      <c r="C455" s="2">
        <f t="shared" si="30"/>
        <v>-2.9837330603210699E-4</v>
      </c>
      <c r="D455">
        <f t="shared" si="31"/>
        <v>0</v>
      </c>
      <c r="E455">
        <v>0.74069508887868962</v>
      </c>
      <c r="F455">
        <f t="shared" si="28"/>
        <v>1</v>
      </c>
      <c r="G455" t="b">
        <f t="shared" si="29"/>
        <v>0</v>
      </c>
      <c r="H455">
        <v>0.37794318516926739</v>
      </c>
    </row>
    <row r="456" spans="1:8" x14ac:dyDescent="0.35">
      <c r="A456" s="13">
        <v>43021</v>
      </c>
      <c r="B456" s="14">
        <v>5351.74</v>
      </c>
      <c r="C456" s="2">
        <f t="shared" si="30"/>
        <v>-1.6919084989023281E-3</v>
      </c>
      <c r="D456">
        <f t="shared" si="31"/>
        <v>0</v>
      </c>
      <c r="E456">
        <v>0.6328858378663661</v>
      </c>
      <c r="F456">
        <f t="shared" si="28"/>
        <v>1</v>
      </c>
      <c r="G456" t="b">
        <f t="shared" si="29"/>
        <v>0</v>
      </c>
      <c r="H456">
        <v>0.37794309902866641</v>
      </c>
    </row>
    <row r="457" spans="1:8" x14ac:dyDescent="0.35">
      <c r="A457" s="13">
        <v>43024</v>
      </c>
      <c r="B457" s="14">
        <v>5362.88</v>
      </c>
      <c r="C457" s="2">
        <f t="shared" si="30"/>
        <v>2.0815659953585808E-3</v>
      </c>
      <c r="D457">
        <f t="shared" si="31"/>
        <v>1</v>
      </c>
      <c r="E457">
        <v>0.49435936196967356</v>
      </c>
      <c r="F457">
        <f t="shared" ref="F457:F520" si="32">IF(E457&gt;=0.5,1,0)</f>
        <v>0</v>
      </c>
      <c r="G457" t="b">
        <f t="shared" ref="G457:G520" si="33">IF(D457=F457,TRUE,FALSE)</f>
        <v>0</v>
      </c>
      <c r="H457">
        <v>0.37794309800671627</v>
      </c>
    </row>
    <row r="458" spans="1:8" x14ac:dyDescent="0.35">
      <c r="A458" s="13">
        <v>43025</v>
      </c>
      <c r="B458" s="14">
        <v>5361.37</v>
      </c>
      <c r="C458" s="2">
        <f t="shared" si="30"/>
        <v>-2.8156512918431353E-4</v>
      </c>
      <c r="D458">
        <f t="shared" si="31"/>
        <v>0</v>
      </c>
      <c r="E458">
        <v>0.49112105940918654</v>
      </c>
      <c r="F458">
        <f t="shared" si="32"/>
        <v>0</v>
      </c>
      <c r="G458" t="b">
        <f t="shared" si="33"/>
        <v>1</v>
      </c>
      <c r="H458">
        <v>0.37794305627041663</v>
      </c>
    </row>
    <row r="459" spans="1:8" x14ac:dyDescent="0.35">
      <c r="A459" s="13">
        <v>43027</v>
      </c>
      <c r="B459" s="14">
        <v>5368.29</v>
      </c>
      <c r="C459" s="2">
        <f t="shared" si="30"/>
        <v>1.2907148732506091E-3</v>
      </c>
      <c r="D459">
        <f t="shared" si="31"/>
        <v>1</v>
      </c>
      <c r="E459">
        <v>0.42450358107812103</v>
      </c>
      <c r="F459">
        <f t="shared" si="32"/>
        <v>0</v>
      </c>
      <c r="G459" t="b">
        <f t="shared" si="33"/>
        <v>0</v>
      </c>
      <c r="H459">
        <v>0.37794308238368512</v>
      </c>
    </row>
    <row r="460" spans="1:8" x14ac:dyDescent="0.35">
      <c r="A460" s="13">
        <v>43028</v>
      </c>
      <c r="B460" s="14">
        <v>5372.38</v>
      </c>
      <c r="C460" s="2">
        <f t="shared" si="30"/>
        <v>7.6188134396626417E-4</v>
      </c>
      <c r="D460">
        <f t="shared" si="31"/>
        <v>1</v>
      </c>
      <c r="E460">
        <v>0.46543744194876641</v>
      </c>
      <c r="F460">
        <f t="shared" si="32"/>
        <v>0</v>
      </c>
      <c r="G460" t="b">
        <f t="shared" si="33"/>
        <v>0</v>
      </c>
      <c r="H460">
        <v>0.37794313929015122</v>
      </c>
    </row>
    <row r="461" spans="1:8" x14ac:dyDescent="0.35">
      <c r="A461" s="13">
        <v>43031</v>
      </c>
      <c r="B461" s="14">
        <v>5386.81</v>
      </c>
      <c r="C461" s="2">
        <f t="shared" si="30"/>
        <v>2.6859604123312675E-3</v>
      </c>
      <c r="D461">
        <f t="shared" si="31"/>
        <v>1</v>
      </c>
      <c r="E461">
        <v>0.55699417037584131</v>
      </c>
      <c r="F461">
        <f t="shared" si="32"/>
        <v>1</v>
      </c>
      <c r="G461" t="b">
        <f t="shared" si="33"/>
        <v>1</v>
      </c>
      <c r="H461">
        <v>0.37794320319438823</v>
      </c>
    </row>
    <row r="462" spans="1:8" x14ac:dyDescent="0.35">
      <c r="A462" s="13">
        <v>43032</v>
      </c>
      <c r="B462" s="14">
        <v>5394.8</v>
      </c>
      <c r="C462" s="2">
        <f t="shared" si="30"/>
        <v>1.4832526114714195E-3</v>
      </c>
      <c r="D462">
        <f t="shared" si="31"/>
        <v>1</v>
      </c>
      <c r="E462">
        <v>0.65640694961232071</v>
      </c>
      <c r="F462">
        <f t="shared" si="32"/>
        <v>1</v>
      </c>
      <c r="G462" t="b">
        <f t="shared" si="33"/>
        <v>1</v>
      </c>
      <c r="H462">
        <v>0.37794325991313199</v>
      </c>
    </row>
    <row r="463" spans="1:8" x14ac:dyDescent="0.35">
      <c r="A463" s="13">
        <v>43033</v>
      </c>
      <c r="B463" s="14">
        <v>5374.89</v>
      </c>
      <c r="C463" s="2">
        <f t="shared" si="30"/>
        <v>-3.690590939423144E-3</v>
      </c>
      <c r="D463">
        <f t="shared" si="31"/>
        <v>0</v>
      </c>
      <c r="E463">
        <v>0.73562332111908291</v>
      </c>
      <c r="F463">
        <f t="shared" si="32"/>
        <v>1</v>
      </c>
      <c r="G463" t="b">
        <f t="shared" si="33"/>
        <v>0</v>
      </c>
      <c r="H463">
        <v>0.37794324246203054</v>
      </c>
    </row>
    <row r="464" spans="1:8" x14ac:dyDescent="0.35">
      <c r="A464" s="13">
        <v>43034</v>
      </c>
      <c r="B464" s="14">
        <v>5455.4</v>
      </c>
      <c r="C464" s="2">
        <f t="shared" si="30"/>
        <v>1.4978911196322109E-2</v>
      </c>
      <c r="D464">
        <f t="shared" si="31"/>
        <v>1</v>
      </c>
      <c r="E464">
        <v>0.711694234095263</v>
      </c>
      <c r="F464">
        <f t="shared" si="32"/>
        <v>1</v>
      </c>
      <c r="G464" t="b">
        <f t="shared" si="33"/>
        <v>1</v>
      </c>
      <c r="H464">
        <v>0.3779432526613874</v>
      </c>
    </row>
    <row r="465" spans="1:8" x14ac:dyDescent="0.35">
      <c r="A465" s="13">
        <v>43035</v>
      </c>
      <c r="B465" s="14">
        <v>5494.13</v>
      </c>
      <c r="C465" s="2">
        <f t="shared" si="30"/>
        <v>7.0993877625840085E-3</v>
      </c>
      <c r="D465">
        <f t="shared" si="31"/>
        <v>1</v>
      </c>
      <c r="E465">
        <v>0.72532070539484561</v>
      </c>
      <c r="F465">
        <f t="shared" si="32"/>
        <v>1</v>
      </c>
      <c r="G465" t="b">
        <f t="shared" si="33"/>
        <v>1</v>
      </c>
      <c r="H465">
        <v>0.37794327498546459</v>
      </c>
    </row>
    <row r="466" spans="1:8" x14ac:dyDescent="0.35">
      <c r="A466" s="13">
        <v>43039</v>
      </c>
      <c r="B466" s="14">
        <v>5503.29</v>
      </c>
      <c r="C466" s="2">
        <f t="shared" si="30"/>
        <v>1.6672339387673318E-3</v>
      </c>
      <c r="D466">
        <f t="shared" si="31"/>
        <v>1</v>
      </c>
      <c r="E466">
        <v>0.75444829051262596</v>
      </c>
      <c r="F466">
        <f t="shared" si="32"/>
        <v>1</v>
      </c>
      <c r="G466" t="b">
        <f t="shared" si="33"/>
        <v>1</v>
      </c>
      <c r="H466">
        <v>0.37794330038824697</v>
      </c>
    </row>
    <row r="467" spans="1:8" x14ac:dyDescent="0.35">
      <c r="A467" s="13">
        <v>43040</v>
      </c>
      <c r="B467" s="14">
        <v>5514.29</v>
      </c>
      <c r="C467" s="2">
        <f t="shared" si="30"/>
        <v>1.9988043515788423E-3</v>
      </c>
      <c r="D467">
        <f t="shared" si="31"/>
        <v>1</v>
      </c>
      <c r="E467">
        <v>0.78520064709686799</v>
      </c>
      <c r="F467">
        <f t="shared" si="32"/>
        <v>1</v>
      </c>
      <c r="G467" t="b">
        <f t="shared" si="33"/>
        <v>1</v>
      </c>
      <c r="H467">
        <v>0.37794332431986599</v>
      </c>
    </row>
    <row r="468" spans="1:8" x14ac:dyDescent="0.35">
      <c r="A468" s="13">
        <v>43041</v>
      </c>
      <c r="B468" s="14">
        <v>5510.5</v>
      </c>
      <c r="C468" s="2">
        <f t="shared" si="30"/>
        <v>-6.8730516530690622E-4</v>
      </c>
      <c r="D468">
        <f t="shared" si="31"/>
        <v>0</v>
      </c>
      <c r="E468">
        <v>0.81172595764065392</v>
      </c>
      <c r="F468">
        <f t="shared" si="32"/>
        <v>1</v>
      </c>
      <c r="G468" t="b">
        <f t="shared" si="33"/>
        <v>0</v>
      </c>
      <c r="H468">
        <v>0.37794329766826168</v>
      </c>
    </row>
    <row r="469" spans="1:8" x14ac:dyDescent="0.35">
      <c r="A469" s="13">
        <v>43042</v>
      </c>
      <c r="B469" s="14">
        <v>5517.97</v>
      </c>
      <c r="C469" s="2">
        <f t="shared" si="30"/>
        <v>1.355593866255278E-3</v>
      </c>
      <c r="D469">
        <f t="shared" si="31"/>
        <v>1</v>
      </c>
      <c r="E469">
        <v>0.78181233730470068</v>
      </c>
      <c r="F469">
        <f t="shared" si="32"/>
        <v>1</v>
      </c>
      <c r="G469" t="b">
        <f t="shared" si="33"/>
        <v>1</v>
      </c>
      <c r="H469">
        <v>0.37794329600743509</v>
      </c>
    </row>
    <row r="470" spans="1:8" x14ac:dyDescent="0.35">
      <c r="A470" s="13">
        <v>43045</v>
      </c>
      <c r="B470" s="14">
        <v>5507.25</v>
      </c>
      <c r="C470" s="2">
        <f t="shared" si="30"/>
        <v>-1.9427434364449603E-3</v>
      </c>
      <c r="D470">
        <f t="shared" si="31"/>
        <v>0</v>
      </c>
      <c r="E470">
        <v>0.77971273055215284</v>
      </c>
      <c r="F470">
        <f t="shared" si="32"/>
        <v>1</v>
      </c>
      <c r="G470" t="b">
        <f t="shared" si="33"/>
        <v>0</v>
      </c>
      <c r="H470">
        <v>0.37794325302175635</v>
      </c>
    </row>
    <row r="471" spans="1:8" x14ac:dyDescent="0.35">
      <c r="A471" s="13">
        <v>43046</v>
      </c>
      <c r="B471" s="14">
        <v>5480.64</v>
      </c>
      <c r="C471" s="2">
        <f t="shared" si="30"/>
        <v>-4.8318126106495773E-3</v>
      </c>
      <c r="D471">
        <f t="shared" si="31"/>
        <v>0</v>
      </c>
      <c r="E471">
        <v>0.72500291084686663</v>
      </c>
      <c r="F471">
        <f t="shared" si="32"/>
        <v>1</v>
      </c>
      <c r="G471" t="b">
        <f t="shared" si="33"/>
        <v>0</v>
      </c>
      <c r="H471">
        <v>0.37794318537703953</v>
      </c>
    </row>
    <row r="472" spans="1:8" x14ac:dyDescent="0.35">
      <c r="A472" s="13">
        <v>43047</v>
      </c>
      <c r="B472" s="14">
        <v>5471.43</v>
      </c>
      <c r="C472" s="2">
        <f t="shared" si="30"/>
        <v>-1.6804606761253726E-3</v>
      </c>
      <c r="D472">
        <f t="shared" si="31"/>
        <v>0</v>
      </c>
      <c r="E472">
        <v>0.6251825488242273</v>
      </c>
      <c r="F472">
        <f t="shared" si="32"/>
        <v>1</v>
      </c>
      <c r="G472" t="b">
        <f t="shared" si="33"/>
        <v>0</v>
      </c>
      <c r="H472">
        <v>0.3779431034063746</v>
      </c>
    </row>
    <row r="473" spans="1:8" x14ac:dyDescent="0.35">
      <c r="A473" s="13">
        <v>43048</v>
      </c>
      <c r="B473" s="14">
        <v>5407.75</v>
      </c>
      <c r="C473" s="2">
        <f t="shared" si="30"/>
        <v>-1.163863925884101E-2</v>
      </c>
      <c r="D473">
        <f t="shared" si="31"/>
        <v>0</v>
      </c>
      <c r="E473">
        <v>0.49228542232566413</v>
      </c>
      <c r="F473">
        <f t="shared" si="32"/>
        <v>0</v>
      </c>
      <c r="G473" t="b">
        <f t="shared" si="33"/>
        <v>1</v>
      </c>
      <c r="H473">
        <v>0.3779430211684921</v>
      </c>
    </row>
    <row r="474" spans="1:8" x14ac:dyDescent="0.35">
      <c r="A474" s="13">
        <v>43049</v>
      </c>
      <c r="B474" s="14">
        <v>5380.72</v>
      </c>
      <c r="C474" s="2">
        <f t="shared" si="30"/>
        <v>-4.9983819518283346E-3</v>
      </c>
      <c r="D474">
        <f t="shared" si="31"/>
        <v>0</v>
      </c>
      <c r="E474">
        <v>0.36255668859610907</v>
      </c>
      <c r="F474">
        <f t="shared" si="32"/>
        <v>0</v>
      </c>
      <c r="G474" t="b">
        <f t="shared" si="33"/>
        <v>1</v>
      </c>
      <c r="H474">
        <v>0.37794295106232145</v>
      </c>
    </row>
    <row r="475" spans="1:8" x14ac:dyDescent="0.35">
      <c r="A475" s="13">
        <v>43052</v>
      </c>
      <c r="B475" s="14">
        <v>5341.63</v>
      </c>
      <c r="C475" s="2">
        <f t="shared" si="30"/>
        <v>-7.264827011998376E-3</v>
      </c>
      <c r="D475">
        <f t="shared" si="31"/>
        <v>0</v>
      </c>
      <c r="E475">
        <v>0.26722747738866703</v>
      </c>
      <c r="F475">
        <f t="shared" si="32"/>
        <v>0</v>
      </c>
      <c r="G475" t="b">
        <f t="shared" si="33"/>
        <v>1</v>
      </c>
      <c r="H475">
        <v>0.37794289764876465</v>
      </c>
    </row>
    <row r="476" spans="1:8" x14ac:dyDescent="0.35">
      <c r="A476" s="13">
        <v>43053</v>
      </c>
      <c r="B476" s="14">
        <v>5315.58</v>
      </c>
      <c r="C476" s="2">
        <f t="shared" si="30"/>
        <v>-4.8767885458184113E-3</v>
      </c>
      <c r="D476">
        <f t="shared" si="31"/>
        <v>0</v>
      </c>
      <c r="E476">
        <v>0.20725228228574125</v>
      </c>
      <c r="F476">
        <f t="shared" si="32"/>
        <v>0</v>
      </c>
      <c r="G476" t="b">
        <f t="shared" si="33"/>
        <v>1</v>
      </c>
      <c r="H476">
        <v>0.37794285880416678</v>
      </c>
    </row>
    <row r="477" spans="1:8" x14ac:dyDescent="0.35">
      <c r="A477" s="13">
        <v>43054</v>
      </c>
      <c r="B477" s="14">
        <v>5301.25</v>
      </c>
      <c r="C477" s="2">
        <f t="shared" si="30"/>
        <v>-2.6958488067153619E-3</v>
      </c>
      <c r="D477">
        <f t="shared" si="31"/>
        <v>0</v>
      </c>
      <c r="E477">
        <v>0.17082109794927514</v>
      </c>
      <c r="F477">
        <f t="shared" si="32"/>
        <v>0</v>
      </c>
      <c r="G477" t="b">
        <f t="shared" si="33"/>
        <v>1</v>
      </c>
      <c r="H477">
        <v>0.37794283067152468</v>
      </c>
    </row>
    <row r="478" spans="1:8" x14ac:dyDescent="0.35">
      <c r="A478" s="13">
        <v>43055</v>
      </c>
      <c r="B478" s="14">
        <v>5336.39</v>
      </c>
      <c r="C478" s="2">
        <f t="shared" si="30"/>
        <v>6.628625324216042E-3</v>
      </c>
      <c r="D478">
        <f t="shared" si="31"/>
        <v>1</v>
      </c>
      <c r="E478">
        <v>0.14805470361779938</v>
      </c>
      <c r="F478">
        <f t="shared" si="32"/>
        <v>0</v>
      </c>
      <c r="G478" t="b">
        <f t="shared" si="33"/>
        <v>0</v>
      </c>
      <c r="H478">
        <v>0.37794285509098074</v>
      </c>
    </row>
    <row r="479" spans="1:8" x14ac:dyDescent="0.35">
      <c r="A479" s="13">
        <v>43056</v>
      </c>
      <c r="B479" s="14">
        <v>5319.17</v>
      </c>
      <c r="C479" s="2">
        <f t="shared" si="30"/>
        <v>-3.2269005826036645E-3</v>
      </c>
      <c r="D479">
        <f t="shared" si="31"/>
        <v>0</v>
      </c>
      <c r="E479">
        <v>0.16686166655904561</v>
      </c>
      <c r="F479">
        <f t="shared" si="32"/>
        <v>0</v>
      </c>
      <c r="G479" t="b">
        <f t="shared" si="33"/>
        <v>1</v>
      </c>
      <c r="H479">
        <v>0.37794285902264552</v>
      </c>
    </row>
    <row r="480" spans="1:8" x14ac:dyDescent="0.35">
      <c r="A480" s="13">
        <v>43059</v>
      </c>
      <c r="B480" s="14">
        <v>5340.45</v>
      </c>
      <c r="C480" s="2">
        <f t="shared" si="30"/>
        <v>4.0006241575283319E-3</v>
      </c>
      <c r="D480">
        <f t="shared" si="31"/>
        <v>1</v>
      </c>
      <c r="E480">
        <v>0.16993556783082989</v>
      </c>
      <c r="F480">
        <f t="shared" si="32"/>
        <v>0</v>
      </c>
      <c r="G480" t="b">
        <f t="shared" si="33"/>
        <v>0</v>
      </c>
      <c r="H480">
        <v>0.37794290257497587</v>
      </c>
    </row>
    <row r="481" spans="1:8" x14ac:dyDescent="0.35">
      <c r="A481" s="13">
        <v>43060</v>
      </c>
      <c r="B481" s="14">
        <v>5366.15</v>
      </c>
      <c r="C481" s="2">
        <f t="shared" si="30"/>
        <v>4.812328549092193E-3</v>
      </c>
      <c r="D481">
        <f t="shared" si="31"/>
        <v>1</v>
      </c>
      <c r="E481">
        <v>0.2095919386782247</v>
      </c>
      <c r="F481">
        <f t="shared" si="32"/>
        <v>0</v>
      </c>
      <c r="G481" t="b">
        <f t="shared" si="33"/>
        <v>0</v>
      </c>
      <c r="H481">
        <v>0.37794296963044688</v>
      </c>
    </row>
    <row r="482" spans="1:8" x14ac:dyDescent="0.35">
      <c r="A482" s="13">
        <v>43061</v>
      </c>
      <c r="B482" s="14">
        <v>5352.76</v>
      </c>
      <c r="C482" s="2">
        <f t="shared" si="30"/>
        <v>-2.495271283881273E-3</v>
      </c>
      <c r="D482">
        <f t="shared" si="31"/>
        <v>0</v>
      </c>
      <c r="E482">
        <v>0.28493664952755837</v>
      </c>
      <c r="F482">
        <f t="shared" si="32"/>
        <v>0</v>
      </c>
      <c r="G482" t="b">
        <f t="shared" si="33"/>
        <v>1</v>
      </c>
      <c r="H482">
        <v>0.37794298315596075</v>
      </c>
    </row>
    <row r="483" spans="1:8" x14ac:dyDescent="0.35">
      <c r="A483" s="13">
        <v>43062</v>
      </c>
      <c r="B483" s="14">
        <v>5379.54</v>
      </c>
      <c r="C483" s="2">
        <f t="shared" si="30"/>
        <v>5.0030264760609899E-3</v>
      </c>
      <c r="D483">
        <f t="shared" si="31"/>
        <v>1</v>
      </c>
      <c r="E483">
        <v>0.30161518753804439</v>
      </c>
      <c r="F483">
        <f t="shared" si="32"/>
        <v>0</v>
      </c>
      <c r="G483" t="b">
        <f t="shared" si="33"/>
        <v>0</v>
      </c>
      <c r="H483">
        <v>0.37794303969673676</v>
      </c>
    </row>
    <row r="484" spans="1:8" x14ac:dyDescent="0.35">
      <c r="A484" s="13">
        <v>43063</v>
      </c>
      <c r="B484" s="14">
        <v>5390.46</v>
      </c>
      <c r="C484" s="2">
        <f t="shared" si="30"/>
        <v>2.029913338315259E-3</v>
      </c>
      <c r="D484">
        <f t="shared" si="31"/>
        <v>1</v>
      </c>
      <c r="E484">
        <v>0.38078177881479019</v>
      </c>
      <c r="F484">
        <f t="shared" si="32"/>
        <v>0</v>
      </c>
      <c r="G484" t="b">
        <f t="shared" si="33"/>
        <v>0</v>
      </c>
      <c r="H484">
        <v>0.37794311591912078</v>
      </c>
    </row>
    <row r="485" spans="1:8" x14ac:dyDescent="0.35">
      <c r="A485" s="13">
        <v>43066</v>
      </c>
      <c r="B485" s="14">
        <v>5360.09</v>
      </c>
      <c r="C485" s="2">
        <f t="shared" si="30"/>
        <v>-5.6340275226974823E-3</v>
      </c>
      <c r="D485">
        <f t="shared" si="31"/>
        <v>0</v>
      </c>
      <c r="E485">
        <v>0.50060290191297774</v>
      </c>
      <c r="F485">
        <f t="shared" si="32"/>
        <v>1</v>
      </c>
      <c r="G485" t="b">
        <f t="shared" si="33"/>
        <v>0</v>
      </c>
      <c r="H485">
        <v>0.37794311296887995</v>
      </c>
    </row>
    <row r="486" spans="1:8" x14ac:dyDescent="0.35">
      <c r="A486" s="13">
        <v>43067</v>
      </c>
      <c r="B486" s="14">
        <v>5390.48</v>
      </c>
      <c r="C486" s="2">
        <f t="shared" si="30"/>
        <v>5.6696809195366793E-3</v>
      </c>
      <c r="D486">
        <f t="shared" si="31"/>
        <v>1</v>
      </c>
      <c r="E486">
        <v>0.4948259523922669</v>
      </c>
      <c r="F486">
        <f t="shared" si="32"/>
        <v>0</v>
      </c>
      <c r="G486" t="b">
        <f t="shared" si="33"/>
        <v>0</v>
      </c>
      <c r="H486">
        <v>0.37794315266249334</v>
      </c>
    </row>
    <row r="487" spans="1:8" x14ac:dyDescent="0.35">
      <c r="A487" s="13">
        <v>43068</v>
      </c>
      <c r="B487" s="14">
        <v>5398.05</v>
      </c>
      <c r="C487" s="2">
        <f t="shared" si="30"/>
        <v>1.4043276294506413E-3</v>
      </c>
      <c r="D487">
        <f t="shared" si="31"/>
        <v>1</v>
      </c>
      <c r="E487">
        <v>0.55920931281853992</v>
      </c>
      <c r="F487">
        <f t="shared" si="32"/>
        <v>1</v>
      </c>
      <c r="G487" t="b">
        <f t="shared" si="33"/>
        <v>1</v>
      </c>
      <c r="H487">
        <v>0.37794320709229001</v>
      </c>
    </row>
    <row r="488" spans="1:8" x14ac:dyDescent="0.35">
      <c r="A488" s="13">
        <v>43069</v>
      </c>
      <c r="B488" s="14">
        <v>5372.79</v>
      </c>
      <c r="C488" s="2">
        <f t="shared" si="30"/>
        <v>-4.679467585517072E-3</v>
      </c>
      <c r="D488">
        <f t="shared" si="31"/>
        <v>0</v>
      </c>
      <c r="E488">
        <v>0.64573756074700739</v>
      </c>
      <c r="F488">
        <f t="shared" si="32"/>
        <v>1</v>
      </c>
      <c r="G488" t="b">
        <f t="shared" si="33"/>
        <v>0</v>
      </c>
      <c r="H488">
        <v>0.37794318666595722</v>
      </c>
    </row>
    <row r="489" spans="1:8" x14ac:dyDescent="0.35">
      <c r="A489" s="13">
        <v>43070</v>
      </c>
      <c r="B489" s="14">
        <v>5316.89</v>
      </c>
      <c r="C489" s="2">
        <f t="shared" si="30"/>
        <v>-1.0404277851916666E-2</v>
      </c>
      <c r="D489">
        <f t="shared" si="31"/>
        <v>0</v>
      </c>
      <c r="E489">
        <v>0.61410088862315648</v>
      </c>
      <c r="F489">
        <f t="shared" si="32"/>
        <v>1</v>
      </c>
      <c r="G489" t="b">
        <f t="shared" si="33"/>
        <v>0</v>
      </c>
      <c r="H489">
        <v>0.37794312888659043</v>
      </c>
    </row>
    <row r="490" spans="1:8" x14ac:dyDescent="0.35">
      <c r="A490" s="13">
        <v>43073</v>
      </c>
      <c r="B490" s="14">
        <v>5389.29</v>
      </c>
      <c r="C490" s="2">
        <f t="shared" si="30"/>
        <v>1.3616982860281013E-2</v>
      </c>
      <c r="D490">
        <f t="shared" si="31"/>
        <v>1</v>
      </c>
      <c r="E490">
        <v>0.52118973350403197</v>
      </c>
      <c r="F490">
        <f t="shared" si="32"/>
        <v>1</v>
      </c>
      <c r="G490" t="b">
        <f t="shared" si="33"/>
        <v>1</v>
      </c>
      <c r="H490">
        <v>0.37794313915240196</v>
      </c>
    </row>
    <row r="491" spans="1:8" x14ac:dyDescent="0.35">
      <c r="A491" s="13">
        <v>43074</v>
      </c>
      <c r="B491" s="14">
        <v>5375.53</v>
      </c>
      <c r="C491" s="2">
        <f t="shared" si="30"/>
        <v>-2.5532120186518847E-3</v>
      </c>
      <c r="D491">
        <f t="shared" si="31"/>
        <v>0</v>
      </c>
      <c r="E491">
        <v>0.53762762073996662</v>
      </c>
      <c r="F491">
        <f t="shared" si="32"/>
        <v>1</v>
      </c>
      <c r="G491" t="b">
        <f t="shared" si="33"/>
        <v>0</v>
      </c>
      <c r="H491">
        <v>0.3779431002809952</v>
      </c>
    </row>
    <row r="492" spans="1:8" x14ac:dyDescent="0.35">
      <c r="A492" s="13">
        <v>43075</v>
      </c>
      <c r="B492" s="14">
        <v>5374.35</v>
      </c>
      <c r="C492" s="2">
        <f t="shared" si="30"/>
        <v>-2.1951323869451311E-4</v>
      </c>
      <c r="D492">
        <f t="shared" si="31"/>
        <v>0</v>
      </c>
      <c r="E492">
        <v>0.47446835542743232</v>
      </c>
      <c r="F492">
        <f t="shared" si="32"/>
        <v>0</v>
      </c>
      <c r="G492" t="b">
        <f t="shared" si="33"/>
        <v>1</v>
      </c>
      <c r="H492">
        <v>0.37794304106916748</v>
      </c>
    </row>
    <row r="493" spans="1:8" x14ac:dyDescent="0.35">
      <c r="A493" s="13">
        <v>43076</v>
      </c>
      <c r="B493" s="14">
        <v>5383.86</v>
      </c>
      <c r="C493" s="2">
        <f t="shared" si="30"/>
        <v>1.769516313600672E-3</v>
      </c>
      <c r="D493">
        <f t="shared" si="31"/>
        <v>1</v>
      </c>
      <c r="E493">
        <v>0.3819624010406889</v>
      </c>
      <c r="F493">
        <f t="shared" si="32"/>
        <v>0</v>
      </c>
      <c r="G493" t="b">
        <f t="shared" si="33"/>
        <v>0</v>
      </c>
      <c r="H493">
        <v>0.37794305985723958</v>
      </c>
    </row>
    <row r="494" spans="1:8" x14ac:dyDescent="0.35">
      <c r="A494" s="13">
        <v>43077</v>
      </c>
      <c r="B494" s="14">
        <v>5399.09</v>
      </c>
      <c r="C494" s="2">
        <f t="shared" si="30"/>
        <v>2.8288254152226688E-3</v>
      </c>
      <c r="D494">
        <f t="shared" si="31"/>
        <v>1</v>
      </c>
      <c r="E494">
        <v>0.41108603635460217</v>
      </c>
      <c r="F494">
        <f t="shared" si="32"/>
        <v>0</v>
      </c>
      <c r="G494" t="b">
        <f t="shared" si="33"/>
        <v>0</v>
      </c>
      <c r="H494">
        <v>0.37794311624049826</v>
      </c>
    </row>
    <row r="495" spans="1:8" x14ac:dyDescent="0.35">
      <c r="A495" s="13">
        <v>43080</v>
      </c>
      <c r="B495" s="14">
        <v>5386.83</v>
      </c>
      <c r="C495" s="2">
        <f t="shared" si="30"/>
        <v>-2.2707530343076821E-3</v>
      </c>
      <c r="D495">
        <f t="shared" si="31"/>
        <v>0</v>
      </c>
      <c r="E495">
        <v>0.50148088968484617</v>
      </c>
      <c r="F495">
        <f t="shared" si="32"/>
        <v>1</v>
      </c>
      <c r="G495" t="b">
        <f t="shared" si="33"/>
        <v>0</v>
      </c>
      <c r="H495">
        <v>0.37794310294559841</v>
      </c>
    </row>
    <row r="496" spans="1:8" x14ac:dyDescent="0.35">
      <c r="A496" s="13">
        <v>43081</v>
      </c>
      <c r="B496" s="14">
        <v>5427.19</v>
      </c>
      <c r="C496" s="2">
        <f t="shared" si="30"/>
        <v>7.4923470761096844E-3</v>
      </c>
      <c r="D496">
        <f t="shared" si="31"/>
        <v>1</v>
      </c>
      <c r="E496">
        <v>0.48016542173299648</v>
      </c>
      <c r="F496">
        <f t="shared" si="32"/>
        <v>0</v>
      </c>
      <c r="G496" t="b">
        <f t="shared" si="33"/>
        <v>0</v>
      </c>
      <c r="H496">
        <v>0.37794313875558661</v>
      </c>
    </row>
    <row r="497" spans="1:8" x14ac:dyDescent="0.35">
      <c r="A497" s="13">
        <v>43082</v>
      </c>
      <c r="B497" s="14">
        <v>5399.45</v>
      </c>
      <c r="C497" s="2">
        <f t="shared" si="30"/>
        <v>-5.1113006915179948E-3</v>
      </c>
      <c r="D497">
        <f t="shared" si="31"/>
        <v>0</v>
      </c>
      <c r="E497">
        <v>0.53879036657337631</v>
      </c>
      <c r="F497">
        <f t="shared" si="32"/>
        <v>1</v>
      </c>
      <c r="G497" t="b">
        <f t="shared" si="33"/>
        <v>0</v>
      </c>
      <c r="H497">
        <v>0.37794311308223427</v>
      </c>
    </row>
    <row r="498" spans="1:8" x14ac:dyDescent="0.35">
      <c r="A498" s="13">
        <v>43083</v>
      </c>
      <c r="B498" s="14">
        <v>5357.14</v>
      </c>
      <c r="C498" s="2">
        <f t="shared" si="30"/>
        <v>-7.8359832945946728E-3</v>
      </c>
      <c r="D498">
        <f t="shared" si="31"/>
        <v>0</v>
      </c>
      <c r="E498">
        <v>0.49659024225263165</v>
      </c>
      <c r="F498">
        <f t="shared" si="32"/>
        <v>0</v>
      </c>
      <c r="G498" t="b">
        <f t="shared" si="33"/>
        <v>1</v>
      </c>
      <c r="H498">
        <v>0.37794305878871365</v>
      </c>
    </row>
    <row r="499" spans="1:8" x14ac:dyDescent="0.35">
      <c r="A499" s="13">
        <v>43084</v>
      </c>
      <c r="B499" s="14">
        <v>5349.3</v>
      </c>
      <c r="C499" s="2">
        <f t="shared" si="30"/>
        <v>-1.4634674471826203E-3</v>
      </c>
      <c r="D499">
        <f t="shared" si="31"/>
        <v>0</v>
      </c>
      <c r="E499">
        <v>0.41013470755868237</v>
      </c>
      <c r="F499">
        <f t="shared" si="32"/>
        <v>0</v>
      </c>
      <c r="G499" t="b">
        <f t="shared" si="33"/>
        <v>1</v>
      </c>
      <c r="H499">
        <v>0.37794299824223193</v>
      </c>
    </row>
    <row r="500" spans="1:8" x14ac:dyDescent="0.35">
      <c r="A500" s="13">
        <v>43087</v>
      </c>
      <c r="B500" s="14">
        <v>5420.58</v>
      </c>
      <c r="C500" s="2">
        <f t="shared" si="30"/>
        <v>1.332510795805053E-2</v>
      </c>
      <c r="D500">
        <f t="shared" si="31"/>
        <v>1</v>
      </c>
      <c r="E500">
        <v>0.3209239789392147</v>
      </c>
      <c r="F500">
        <f t="shared" si="32"/>
        <v>0</v>
      </c>
      <c r="G500" t="b">
        <f t="shared" si="33"/>
        <v>0</v>
      </c>
      <c r="H500">
        <v>0.37794301784184775</v>
      </c>
    </row>
    <row r="501" spans="1:8" x14ac:dyDescent="0.35">
      <c r="A501" s="13">
        <v>43088</v>
      </c>
      <c r="B501" s="14">
        <v>5382.91</v>
      </c>
      <c r="C501" s="2">
        <f t="shared" si="30"/>
        <v>-6.9494408347445802E-3</v>
      </c>
      <c r="D501">
        <f t="shared" si="31"/>
        <v>0</v>
      </c>
      <c r="E501">
        <v>0.34808609335713098</v>
      </c>
      <c r="F501">
        <f t="shared" si="32"/>
        <v>0</v>
      </c>
      <c r="G501" t="b">
        <f t="shared" si="33"/>
        <v>1</v>
      </c>
      <c r="H501">
        <v>0.37794300110187673</v>
      </c>
    </row>
    <row r="502" spans="1:8" x14ac:dyDescent="0.35">
      <c r="A502" s="13">
        <v>43089</v>
      </c>
      <c r="B502" s="14">
        <v>5352.77</v>
      </c>
      <c r="C502" s="2">
        <f t="shared" si="30"/>
        <v>-5.599201918664698E-3</v>
      </c>
      <c r="D502">
        <f t="shared" si="31"/>
        <v>0</v>
      </c>
      <c r="E502">
        <v>0.32418272176324398</v>
      </c>
      <c r="F502">
        <f t="shared" si="32"/>
        <v>0</v>
      </c>
      <c r="G502" t="b">
        <f t="shared" si="33"/>
        <v>1</v>
      </c>
      <c r="H502">
        <v>0.37794296852906512</v>
      </c>
    </row>
    <row r="503" spans="1:8" x14ac:dyDescent="0.35">
      <c r="A503" s="13">
        <v>43090</v>
      </c>
      <c r="B503" s="14">
        <v>5385.97</v>
      </c>
      <c r="C503" s="2">
        <f t="shared" si="30"/>
        <v>6.2023961425579088E-3</v>
      </c>
      <c r="D503">
        <f t="shared" si="31"/>
        <v>1</v>
      </c>
      <c r="E503">
        <v>0.28105595921258025</v>
      </c>
      <c r="F503">
        <f t="shared" si="32"/>
        <v>0</v>
      </c>
      <c r="G503" t="b">
        <f t="shared" si="33"/>
        <v>0</v>
      </c>
      <c r="H503">
        <v>0.37794300122740959</v>
      </c>
    </row>
    <row r="504" spans="1:8" x14ac:dyDescent="0.35">
      <c r="A504" s="13">
        <v>43091</v>
      </c>
      <c r="B504" s="14">
        <v>5364.72</v>
      </c>
      <c r="C504" s="2">
        <f t="shared" si="30"/>
        <v>-3.9454360124545618E-3</v>
      </c>
      <c r="D504">
        <f t="shared" si="31"/>
        <v>0</v>
      </c>
      <c r="E504">
        <v>0.32460514182480515</v>
      </c>
      <c r="F504">
        <f t="shared" si="32"/>
        <v>0</v>
      </c>
      <c r="G504" t="b">
        <f t="shared" si="33"/>
        <v>1</v>
      </c>
      <c r="H504">
        <v>0.37794299338232162</v>
      </c>
    </row>
    <row r="505" spans="1:8" x14ac:dyDescent="0.35">
      <c r="A505" s="13">
        <v>43096</v>
      </c>
      <c r="B505" s="14">
        <v>5368.84</v>
      </c>
      <c r="C505" s="2">
        <f t="shared" si="30"/>
        <v>7.679804351392594E-4</v>
      </c>
      <c r="D505">
        <f t="shared" si="31"/>
        <v>1</v>
      </c>
      <c r="E505">
        <v>0.31414484194565934</v>
      </c>
      <c r="F505">
        <f t="shared" si="32"/>
        <v>0</v>
      </c>
      <c r="G505" t="b">
        <f t="shared" si="33"/>
        <v>0</v>
      </c>
      <c r="H505">
        <v>0.37794303935472956</v>
      </c>
    </row>
    <row r="506" spans="1:8" x14ac:dyDescent="0.35">
      <c r="A506" s="13">
        <v>43097</v>
      </c>
      <c r="B506" s="14">
        <v>5339.42</v>
      </c>
      <c r="C506" s="2">
        <f t="shared" si="30"/>
        <v>-5.4797684416000303E-3</v>
      </c>
      <c r="D506">
        <f t="shared" si="31"/>
        <v>0</v>
      </c>
      <c r="E506">
        <v>0.37982219999795491</v>
      </c>
      <c r="F506">
        <f t="shared" si="32"/>
        <v>0</v>
      </c>
      <c r="G506" t="b">
        <f t="shared" si="33"/>
        <v>1</v>
      </c>
      <c r="H506">
        <v>0.37794303242199451</v>
      </c>
    </row>
    <row r="507" spans="1:8" x14ac:dyDescent="0.35">
      <c r="A507" s="13">
        <v>43098</v>
      </c>
      <c r="B507" s="14">
        <v>5312.56</v>
      </c>
      <c r="C507" s="2">
        <f t="shared" si="30"/>
        <v>-5.0305089316816654E-3</v>
      </c>
      <c r="D507">
        <f t="shared" si="31"/>
        <v>0</v>
      </c>
      <c r="E507">
        <v>0.36919352712561698</v>
      </c>
      <c r="F507">
        <f t="shared" si="32"/>
        <v>0</v>
      </c>
      <c r="G507" t="b">
        <f t="shared" si="33"/>
        <v>1</v>
      </c>
      <c r="H507">
        <v>0.37794299983270663</v>
      </c>
    </row>
    <row r="508" spans="1:8" x14ac:dyDescent="0.35">
      <c r="A508" s="13">
        <v>43102</v>
      </c>
      <c r="B508" s="14">
        <v>5288.6</v>
      </c>
      <c r="C508" s="2">
        <f t="shared" si="30"/>
        <v>-4.5100667098347813E-3</v>
      </c>
      <c r="D508">
        <f t="shared" si="31"/>
        <v>0</v>
      </c>
      <c r="E508">
        <v>0.32267534167833362</v>
      </c>
      <c r="F508">
        <f t="shared" si="32"/>
        <v>0</v>
      </c>
      <c r="G508" t="b">
        <f t="shared" si="33"/>
        <v>1</v>
      </c>
      <c r="H508">
        <v>0.37794295925683541</v>
      </c>
    </row>
    <row r="509" spans="1:8" x14ac:dyDescent="0.35">
      <c r="A509" s="13">
        <v>43103</v>
      </c>
      <c r="B509" s="14">
        <v>5331.28</v>
      </c>
      <c r="C509" s="2">
        <f t="shared" si="30"/>
        <v>8.0701887077865297E-3</v>
      </c>
      <c r="D509">
        <f t="shared" si="31"/>
        <v>1</v>
      </c>
      <c r="E509">
        <v>0.27006667217642977</v>
      </c>
      <c r="F509">
        <f t="shared" si="32"/>
        <v>0</v>
      </c>
      <c r="G509" t="b">
        <f t="shared" si="33"/>
        <v>0</v>
      </c>
      <c r="H509">
        <v>0.37794298800629716</v>
      </c>
    </row>
    <row r="510" spans="1:8" x14ac:dyDescent="0.35">
      <c r="A510" s="13">
        <v>43104</v>
      </c>
      <c r="B510" s="14">
        <v>5413.69</v>
      </c>
      <c r="C510" s="2">
        <f t="shared" si="30"/>
        <v>1.5457826263111318E-2</v>
      </c>
      <c r="D510">
        <f t="shared" si="31"/>
        <v>1</v>
      </c>
      <c r="E510">
        <v>0.30684980056140759</v>
      </c>
      <c r="F510">
        <f t="shared" si="32"/>
        <v>0</v>
      </c>
      <c r="G510" t="b">
        <f t="shared" si="33"/>
        <v>0</v>
      </c>
      <c r="H510">
        <v>0.37794305179057153</v>
      </c>
    </row>
    <row r="511" spans="1:8" x14ac:dyDescent="0.35">
      <c r="A511" s="13">
        <v>43105</v>
      </c>
      <c r="B511" s="14">
        <v>5470.75</v>
      </c>
      <c r="C511" s="2">
        <f t="shared" si="30"/>
        <v>1.0539945951836938E-2</v>
      </c>
      <c r="D511">
        <f t="shared" si="31"/>
        <v>1</v>
      </c>
      <c r="E511">
        <v>0.39862076015159209</v>
      </c>
      <c r="F511">
        <f t="shared" si="32"/>
        <v>0</v>
      </c>
      <c r="G511" t="b">
        <f t="shared" si="33"/>
        <v>0</v>
      </c>
      <c r="H511">
        <v>0.37794313078009012</v>
      </c>
    </row>
    <row r="512" spans="1:8" x14ac:dyDescent="0.35">
      <c r="A512" s="13">
        <v>43108</v>
      </c>
      <c r="B512" s="14">
        <v>5487.42</v>
      </c>
      <c r="C512" s="2">
        <f t="shared" si="30"/>
        <v>3.0471141982360006E-3</v>
      </c>
      <c r="D512">
        <f t="shared" si="31"/>
        <v>1</v>
      </c>
      <c r="E512">
        <v>0.52469622769485147</v>
      </c>
      <c r="F512">
        <f t="shared" si="32"/>
        <v>1</v>
      </c>
      <c r="G512" t="b">
        <f t="shared" si="33"/>
        <v>1</v>
      </c>
      <c r="H512">
        <v>0.37794320796724939</v>
      </c>
    </row>
    <row r="513" spans="1:8" x14ac:dyDescent="0.35">
      <c r="A513" s="13">
        <v>43109</v>
      </c>
      <c r="B513" s="14">
        <v>5523.94</v>
      </c>
      <c r="C513" s="2">
        <f t="shared" si="30"/>
        <v>6.6552223084801465E-3</v>
      </c>
      <c r="D513">
        <f t="shared" si="31"/>
        <v>1</v>
      </c>
      <c r="E513">
        <v>0.64757226235689114</v>
      </c>
      <c r="F513">
        <f t="shared" si="32"/>
        <v>1</v>
      </c>
      <c r="G513" t="b">
        <f t="shared" si="33"/>
        <v>1</v>
      </c>
      <c r="H513">
        <v>0.3779432717959908</v>
      </c>
    </row>
    <row r="514" spans="1:8" x14ac:dyDescent="0.35">
      <c r="A514" s="13">
        <v>43110</v>
      </c>
      <c r="B514" s="14">
        <v>5504.68</v>
      </c>
      <c r="C514" s="2">
        <f t="shared" si="30"/>
        <v>-3.486641781047406E-3</v>
      </c>
      <c r="D514">
        <f t="shared" si="31"/>
        <v>0</v>
      </c>
      <c r="E514">
        <v>0.73815711488823943</v>
      </c>
      <c r="F514">
        <f t="shared" si="32"/>
        <v>1</v>
      </c>
      <c r="G514" t="b">
        <f t="shared" si="33"/>
        <v>0</v>
      </c>
      <c r="H514">
        <v>0.37794325915868171</v>
      </c>
    </row>
    <row r="515" spans="1:8" x14ac:dyDescent="0.35">
      <c r="A515" s="13">
        <v>43111</v>
      </c>
      <c r="B515" s="14">
        <v>5488.55</v>
      </c>
      <c r="C515" s="2">
        <f t="shared" si="30"/>
        <v>-2.9302339100547581E-3</v>
      </c>
      <c r="D515">
        <f t="shared" si="31"/>
        <v>0</v>
      </c>
      <c r="E515">
        <v>0.71982226841497421</v>
      </c>
      <c r="F515">
        <f t="shared" si="32"/>
        <v>1</v>
      </c>
      <c r="G515" t="b">
        <f t="shared" si="33"/>
        <v>0</v>
      </c>
      <c r="H515">
        <v>0.37794320688047506</v>
      </c>
    </row>
    <row r="516" spans="1:8" x14ac:dyDescent="0.35">
      <c r="A516" s="13">
        <v>43112</v>
      </c>
      <c r="B516" s="14">
        <v>5517.06</v>
      </c>
      <c r="C516" s="2">
        <f t="shared" ref="C516:C579" si="34">(B516/B515)-1</f>
        <v>5.1944502646419366E-3</v>
      </c>
      <c r="D516">
        <f t="shared" si="31"/>
        <v>1</v>
      </c>
      <c r="E516">
        <v>0.64224948235403612</v>
      </c>
      <c r="F516">
        <f t="shared" si="32"/>
        <v>1</v>
      </c>
      <c r="G516" t="b">
        <f t="shared" si="33"/>
        <v>1</v>
      </c>
      <c r="H516">
        <v>0.37794320649447732</v>
      </c>
    </row>
    <row r="517" spans="1:8" x14ac:dyDescent="0.35">
      <c r="A517" s="13">
        <v>43116</v>
      </c>
      <c r="B517" s="14">
        <v>5513.82</v>
      </c>
      <c r="C517" s="2">
        <f t="shared" si="34"/>
        <v>-5.8726930647856612E-4</v>
      </c>
      <c r="D517">
        <f t="shared" si="31"/>
        <v>0</v>
      </c>
      <c r="E517">
        <v>0.64163912599581985</v>
      </c>
      <c r="F517">
        <f t="shared" si="32"/>
        <v>1</v>
      </c>
      <c r="G517" t="b">
        <f t="shared" si="33"/>
        <v>0</v>
      </c>
      <c r="H517">
        <v>0.3779431597880612</v>
      </c>
    </row>
    <row r="518" spans="1:8" x14ac:dyDescent="0.35">
      <c r="A518" s="13">
        <v>43117</v>
      </c>
      <c r="B518" s="14">
        <v>5493.99</v>
      </c>
      <c r="C518" s="2">
        <f t="shared" si="34"/>
        <v>-3.5964177285439103E-3</v>
      </c>
      <c r="D518">
        <f t="shared" ref="D518:D581" si="35">IF(C518&gt;=0,1,0)</f>
        <v>0</v>
      </c>
      <c r="E518">
        <v>0.56577975299852745</v>
      </c>
      <c r="F518">
        <f t="shared" si="32"/>
        <v>1</v>
      </c>
      <c r="G518" t="b">
        <f t="shared" si="33"/>
        <v>0</v>
      </c>
      <c r="H518">
        <v>0.37794309157531975</v>
      </c>
    </row>
    <row r="519" spans="1:8" x14ac:dyDescent="0.35">
      <c r="A519" s="13">
        <v>43118</v>
      </c>
      <c r="B519" s="14">
        <v>5494.83</v>
      </c>
      <c r="C519" s="2">
        <f t="shared" si="34"/>
        <v>1.5289434454746065E-4</v>
      </c>
      <c r="D519">
        <f t="shared" si="35"/>
        <v>1</v>
      </c>
      <c r="E519">
        <v>0.45226313816800351</v>
      </c>
      <c r="F519">
        <f t="shared" si="32"/>
        <v>0</v>
      </c>
      <c r="G519" t="b">
        <f t="shared" si="33"/>
        <v>0</v>
      </c>
      <c r="H519">
        <v>0.37794310139150039</v>
      </c>
    </row>
    <row r="520" spans="1:8" x14ac:dyDescent="0.35">
      <c r="A520" s="13">
        <v>43123</v>
      </c>
      <c r="B520" s="14">
        <v>5535.26</v>
      </c>
      <c r="C520" s="2">
        <f t="shared" si="34"/>
        <v>7.3578254468291693E-3</v>
      </c>
      <c r="D520">
        <f t="shared" si="35"/>
        <v>1</v>
      </c>
      <c r="E520">
        <v>0.46765958862119816</v>
      </c>
      <c r="F520">
        <f t="shared" si="32"/>
        <v>0</v>
      </c>
      <c r="G520" t="b">
        <f t="shared" si="33"/>
        <v>0</v>
      </c>
      <c r="H520">
        <v>0.37794314905479037</v>
      </c>
    </row>
    <row r="521" spans="1:8" x14ac:dyDescent="0.35">
      <c r="A521" s="13">
        <v>43124</v>
      </c>
      <c r="B521" s="14">
        <v>5495.16</v>
      </c>
      <c r="C521" s="2">
        <f t="shared" si="34"/>
        <v>-7.2444654812963138E-3</v>
      </c>
      <c r="D521">
        <f t="shared" si="35"/>
        <v>0</v>
      </c>
      <c r="E521">
        <v>0.54608801183311406</v>
      </c>
      <c r="F521">
        <f t="shared" ref="F521:F584" si="36">IF(E521&gt;=0.5,1,0)</f>
        <v>1</v>
      </c>
      <c r="G521" t="b">
        <f t="shared" ref="G521:G584" si="37">IF(D521=F521,TRUE,FALSE)</f>
        <v>0</v>
      </c>
      <c r="H521">
        <v>0.37794312880228126</v>
      </c>
    </row>
    <row r="522" spans="1:8" x14ac:dyDescent="0.35">
      <c r="A522" s="13">
        <v>43125</v>
      </c>
      <c r="B522" s="14">
        <v>5481.21</v>
      </c>
      <c r="C522" s="2">
        <f t="shared" si="34"/>
        <v>-2.5385976022536116E-3</v>
      </c>
      <c r="D522">
        <f t="shared" si="35"/>
        <v>0</v>
      </c>
      <c r="E522">
        <v>0.51308848587853295</v>
      </c>
      <c r="F522">
        <f t="shared" si="36"/>
        <v>1</v>
      </c>
      <c r="G522" t="b">
        <f t="shared" si="37"/>
        <v>0</v>
      </c>
      <c r="H522">
        <v>0.37794307624933371</v>
      </c>
    </row>
    <row r="523" spans="1:8" x14ac:dyDescent="0.35">
      <c r="A523" s="13">
        <v>43126</v>
      </c>
      <c r="B523" s="14">
        <v>5529.15</v>
      </c>
      <c r="C523" s="2">
        <f t="shared" si="34"/>
        <v>8.7462439862731056E-3</v>
      </c>
      <c r="D523">
        <f t="shared" si="35"/>
        <v>1</v>
      </c>
      <c r="E523">
        <v>0.42852060228589245</v>
      </c>
      <c r="F523">
        <f t="shared" si="36"/>
        <v>0</v>
      </c>
      <c r="G523" t="b">
        <f t="shared" si="37"/>
        <v>0</v>
      </c>
      <c r="H523">
        <v>0.37794309599316123</v>
      </c>
    </row>
    <row r="524" spans="1:8" x14ac:dyDescent="0.35">
      <c r="A524" s="13">
        <v>43129</v>
      </c>
      <c r="B524" s="14">
        <v>5521.59</v>
      </c>
      <c r="C524" s="2">
        <f t="shared" si="34"/>
        <v>-1.3672987710587892E-3</v>
      </c>
      <c r="D524">
        <f t="shared" si="35"/>
        <v>0</v>
      </c>
      <c r="E524">
        <v>0.46031044374539176</v>
      </c>
      <c r="F524">
        <f t="shared" si="36"/>
        <v>0</v>
      </c>
      <c r="G524" t="b">
        <f t="shared" si="37"/>
        <v>1</v>
      </c>
      <c r="H524">
        <v>0.37794306804501371</v>
      </c>
    </row>
    <row r="525" spans="1:8" x14ac:dyDescent="0.35">
      <c r="A525" s="13">
        <v>43130</v>
      </c>
      <c r="B525" s="14">
        <v>5473.78</v>
      </c>
      <c r="C525" s="2">
        <f t="shared" si="34"/>
        <v>-8.6587377911073737E-3</v>
      </c>
      <c r="D525">
        <f t="shared" si="35"/>
        <v>0</v>
      </c>
      <c r="E525">
        <v>0.41606768072366723</v>
      </c>
      <c r="F525">
        <f t="shared" si="36"/>
        <v>0</v>
      </c>
      <c r="G525" t="b">
        <f t="shared" si="37"/>
        <v>1</v>
      </c>
      <c r="H525">
        <v>0.37794302018254738</v>
      </c>
    </row>
    <row r="526" spans="1:8" x14ac:dyDescent="0.35">
      <c r="A526" s="13">
        <v>43131</v>
      </c>
      <c r="B526" s="14">
        <v>5481.93</v>
      </c>
      <c r="C526" s="2">
        <f t="shared" si="34"/>
        <v>1.4889162516580345E-3</v>
      </c>
      <c r="D526">
        <f t="shared" si="35"/>
        <v>1</v>
      </c>
      <c r="E526">
        <v>0.34426667336754557</v>
      </c>
      <c r="F526">
        <f t="shared" si="36"/>
        <v>0</v>
      </c>
      <c r="G526" t="b">
        <f t="shared" si="37"/>
        <v>0</v>
      </c>
      <c r="H526">
        <v>0.37794304554606112</v>
      </c>
    </row>
    <row r="527" spans="1:8" x14ac:dyDescent="0.35">
      <c r="A527" s="13">
        <v>43132</v>
      </c>
      <c r="B527" s="14">
        <v>5454.55</v>
      </c>
      <c r="C527" s="2">
        <f t="shared" si="34"/>
        <v>-4.994591320939934E-3</v>
      </c>
      <c r="D527">
        <f t="shared" si="35"/>
        <v>0</v>
      </c>
      <c r="E527">
        <v>0.381865497103547</v>
      </c>
      <c r="F527">
        <f t="shared" si="36"/>
        <v>0</v>
      </c>
      <c r="G527" t="b">
        <f t="shared" si="37"/>
        <v>1</v>
      </c>
      <c r="H527">
        <v>0.37794302809652458</v>
      </c>
    </row>
    <row r="528" spans="1:8" x14ac:dyDescent="0.35">
      <c r="A528" s="13">
        <v>43133</v>
      </c>
      <c r="B528" s="14">
        <v>5364.98</v>
      </c>
      <c r="C528" s="2">
        <f t="shared" si="34"/>
        <v>-1.6421152982372678E-2</v>
      </c>
      <c r="D528">
        <f t="shared" si="35"/>
        <v>0</v>
      </c>
      <c r="E528">
        <v>0.35608475228547881</v>
      </c>
      <c r="F528">
        <f t="shared" si="36"/>
        <v>0</v>
      </c>
      <c r="G528" t="b">
        <f t="shared" si="37"/>
        <v>1</v>
      </c>
      <c r="H528">
        <v>0.37794299155108985</v>
      </c>
    </row>
    <row r="529" spans="1:8" x14ac:dyDescent="0.35">
      <c r="A529" s="13">
        <v>43136</v>
      </c>
      <c r="B529" s="14">
        <v>5285.83</v>
      </c>
      <c r="C529" s="2">
        <f t="shared" si="34"/>
        <v>-1.4753083888476737E-2</v>
      </c>
      <c r="D529">
        <f t="shared" si="35"/>
        <v>0</v>
      </c>
      <c r="E529">
        <v>0.305429867624185</v>
      </c>
      <c r="F529">
        <f t="shared" si="36"/>
        <v>0</v>
      </c>
      <c r="G529" t="b">
        <f t="shared" si="37"/>
        <v>1</v>
      </c>
      <c r="H529">
        <v>0.37794295098694064</v>
      </c>
    </row>
    <row r="530" spans="1:8" x14ac:dyDescent="0.35">
      <c r="A530" s="13">
        <v>43137</v>
      </c>
      <c r="B530" s="14">
        <v>5161.8100000000004</v>
      </c>
      <c r="C530" s="2">
        <f t="shared" si="34"/>
        <v>-2.3462729599703303E-2</v>
      </c>
      <c r="D530">
        <f t="shared" si="35"/>
        <v>0</v>
      </c>
      <c r="E530">
        <v>0.25469121813437229</v>
      </c>
      <c r="F530">
        <f t="shared" si="36"/>
        <v>0</v>
      </c>
      <c r="G530" t="b">
        <f t="shared" si="37"/>
        <v>1</v>
      </c>
      <c r="H530">
        <v>0.37794291379845513</v>
      </c>
    </row>
    <row r="531" spans="1:8" x14ac:dyDescent="0.35">
      <c r="A531" s="13">
        <v>43138</v>
      </c>
      <c r="B531" s="14">
        <v>5255.9</v>
      </c>
      <c r="C531" s="2">
        <f t="shared" si="34"/>
        <v>1.8228102157963777E-2</v>
      </c>
      <c r="D531">
        <f t="shared" si="35"/>
        <v>1</v>
      </c>
      <c r="E531">
        <v>0.21378650850183445</v>
      </c>
      <c r="F531">
        <f t="shared" si="36"/>
        <v>0</v>
      </c>
      <c r="G531" t="b">
        <f t="shared" si="37"/>
        <v>0</v>
      </c>
      <c r="H531">
        <v>0.37794294208291423</v>
      </c>
    </row>
    <row r="532" spans="1:8" x14ac:dyDescent="0.35">
      <c r="A532" s="13">
        <v>43139</v>
      </c>
      <c r="B532" s="14">
        <v>5151.68</v>
      </c>
      <c r="C532" s="2">
        <f t="shared" si="34"/>
        <v>-1.9829144390113851E-2</v>
      </c>
      <c r="D532">
        <f t="shared" si="35"/>
        <v>0</v>
      </c>
      <c r="E532">
        <v>0.24299366469648481</v>
      </c>
      <c r="F532">
        <f t="shared" si="36"/>
        <v>0</v>
      </c>
      <c r="G532" t="b">
        <f t="shared" si="37"/>
        <v>1</v>
      </c>
      <c r="H532">
        <v>0.37794294068480278</v>
      </c>
    </row>
    <row r="533" spans="1:8" x14ac:dyDescent="0.35">
      <c r="A533" s="13">
        <v>43140</v>
      </c>
      <c r="B533" s="14">
        <v>5079.21</v>
      </c>
      <c r="C533" s="2">
        <f t="shared" si="34"/>
        <v>-1.4067255730169648E-2</v>
      </c>
      <c r="D533">
        <f t="shared" si="35"/>
        <v>0</v>
      </c>
      <c r="E533">
        <v>0.24082112409313694</v>
      </c>
      <c r="F533">
        <f t="shared" si="36"/>
        <v>0</v>
      </c>
      <c r="G533" t="b">
        <f t="shared" si="37"/>
        <v>1</v>
      </c>
      <c r="H533">
        <v>0.37794292423587161</v>
      </c>
    </row>
    <row r="534" spans="1:8" x14ac:dyDescent="0.35">
      <c r="A534" s="13">
        <v>43143</v>
      </c>
      <c r="B534" s="14">
        <v>5140.0600000000004</v>
      </c>
      <c r="C534" s="2">
        <f t="shared" si="34"/>
        <v>1.1980209520771945E-2</v>
      </c>
      <c r="D534">
        <f t="shared" si="35"/>
        <v>1</v>
      </c>
      <c r="E534">
        <v>0.22313468298983302</v>
      </c>
      <c r="F534">
        <f t="shared" si="36"/>
        <v>0</v>
      </c>
      <c r="G534" t="b">
        <f t="shared" si="37"/>
        <v>0</v>
      </c>
      <c r="H534">
        <v>0.37794296371213548</v>
      </c>
    </row>
    <row r="535" spans="1:8" x14ac:dyDescent="0.35">
      <c r="A535" s="13">
        <v>43144</v>
      </c>
      <c r="B535" s="14">
        <v>5109.24</v>
      </c>
      <c r="C535" s="2">
        <f t="shared" si="34"/>
        <v>-5.9960389567438321E-3</v>
      </c>
      <c r="D535">
        <f t="shared" si="35"/>
        <v>0</v>
      </c>
      <c r="E535">
        <v>0.26668507154652121</v>
      </c>
      <c r="F535">
        <f t="shared" si="36"/>
        <v>0</v>
      </c>
      <c r="G535" t="b">
        <f t="shared" si="37"/>
        <v>1</v>
      </c>
      <c r="H535">
        <v>0.37794296507057229</v>
      </c>
    </row>
    <row r="536" spans="1:8" x14ac:dyDescent="0.35">
      <c r="A536" s="13">
        <v>43145</v>
      </c>
      <c r="B536" s="14">
        <v>5165.26</v>
      </c>
      <c r="C536" s="2">
        <f t="shared" si="34"/>
        <v>1.0964448724272158E-2</v>
      </c>
      <c r="D536">
        <f t="shared" si="35"/>
        <v>1</v>
      </c>
      <c r="E536">
        <v>0.26811498660774868</v>
      </c>
      <c r="F536">
        <f t="shared" si="36"/>
        <v>0</v>
      </c>
      <c r="G536" t="b">
        <f t="shared" si="37"/>
        <v>0</v>
      </c>
      <c r="H536">
        <v>0.37794301644051398</v>
      </c>
    </row>
    <row r="537" spans="1:8" x14ac:dyDescent="0.35">
      <c r="A537" s="13">
        <v>43146</v>
      </c>
      <c r="B537" s="14">
        <v>5222.5200000000004</v>
      </c>
      <c r="C537" s="2">
        <f t="shared" si="34"/>
        <v>1.1085598788831641E-2</v>
      </c>
      <c r="D537">
        <f t="shared" si="35"/>
        <v>1</v>
      </c>
      <c r="E537">
        <v>0.33285486801022551</v>
      </c>
      <c r="F537">
        <f t="shared" si="36"/>
        <v>0</v>
      </c>
      <c r="G537" t="b">
        <f t="shared" si="37"/>
        <v>0</v>
      </c>
      <c r="H537">
        <v>0.37794309194918746</v>
      </c>
    </row>
    <row r="538" spans="1:8" x14ac:dyDescent="0.35">
      <c r="A538" s="13">
        <v>43147</v>
      </c>
      <c r="B538" s="14">
        <v>5281.58</v>
      </c>
      <c r="C538" s="2">
        <f t="shared" si="34"/>
        <v>1.1308716864655288E-2</v>
      </c>
      <c r="D538">
        <f t="shared" si="35"/>
        <v>1</v>
      </c>
      <c r="E538">
        <v>0.44401805429734448</v>
      </c>
      <c r="F538">
        <f t="shared" si="36"/>
        <v>0</v>
      </c>
      <c r="G538" t="b">
        <f t="shared" si="37"/>
        <v>0</v>
      </c>
      <c r="H538">
        <v>0.37794317442186248</v>
      </c>
    </row>
    <row r="539" spans="1:8" x14ac:dyDescent="0.35">
      <c r="A539" s="13">
        <v>43150</v>
      </c>
      <c r="B539" s="14">
        <v>5256.18</v>
      </c>
      <c r="C539" s="2">
        <f t="shared" si="34"/>
        <v>-4.809166953828159E-3</v>
      </c>
      <c r="D539">
        <f t="shared" si="35"/>
        <v>0</v>
      </c>
      <c r="E539">
        <v>0.57549210588682909</v>
      </c>
      <c r="F539">
        <f t="shared" si="36"/>
        <v>1</v>
      </c>
      <c r="G539" t="b">
        <f t="shared" si="37"/>
        <v>0</v>
      </c>
      <c r="H539">
        <v>0.37794316972801539</v>
      </c>
    </row>
    <row r="540" spans="1:8" x14ac:dyDescent="0.35">
      <c r="A540" s="13">
        <v>43151</v>
      </c>
      <c r="B540" s="14">
        <v>5289.86</v>
      </c>
      <c r="C540" s="2">
        <f t="shared" si="34"/>
        <v>6.4076953224583288E-3</v>
      </c>
      <c r="D540">
        <f t="shared" si="35"/>
        <v>1</v>
      </c>
      <c r="E540">
        <v>0.56657991357030846</v>
      </c>
      <c r="F540">
        <f t="shared" si="36"/>
        <v>1</v>
      </c>
      <c r="G540" t="b">
        <f t="shared" si="37"/>
        <v>1</v>
      </c>
      <c r="H540">
        <v>0.37794320122343616</v>
      </c>
    </row>
    <row r="541" spans="1:8" x14ac:dyDescent="0.35">
      <c r="A541" s="13">
        <v>43152</v>
      </c>
      <c r="B541" s="14">
        <v>5302.17</v>
      </c>
      <c r="C541" s="2">
        <f t="shared" si="34"/>
        <v>2.3270937227073407E-3</v>
      </c>
      <c r="D541">
        <f t="shared" si="35"/>
        <v>1</v>
      </c>
      <c r="E541">
        <v>0.6172326413520508</v>
      </c>
      <c r="F541">
        <f t="shared" si="36"/>
        <v>1</v>
      </c>
      <c r="G541" t="b">
        <f t="shared" si="37"/>
        <v>1</v>
      </c>
      <c r="H541">
        <v>0.37794324529246265</v>
      </c>
    </row>
    <row r="542" spans="1:8" x14ac:dyDescent="0.35">
      <c r="A542" s="13">
        <v>43153</v>
      </c>
      <c r="B542" s="14">
        <v>5309.23</v>
      </c>
      <c r="C542" s="2">
        <f t="shared" si="34"/>
        <v>1.3315302979721721E-3</v>
      </c>
      <c r="D542">
        <f t="shared" si="35"/>
        <v>1</v>
      </c>
      <c r="E542">
        <v>0.68502473495775174</v>
      </c>
      <c r="F542">
        <f t="shared" si="36"/>
        <v>1</v>
      </c>
      <c r="G542" t="b">
        <f t="shared" si="37"/>
        <v>1</v>
      </c>
      <c r="H542">
        <v>0.37794328837999819</v>
      </c>
    </row>
    <row r="543" spans="1:8" x14ac:dyDescent="0.35">
      <c r="A543" s="13">
        <v>43154</v>
      </c>
      <c r="B543" s="14">
        <v>5317.37</v>
      </c>
      <c r="C543" s="2">
        <f t="shared" si="34"/>
        <v>1.5331790108923382E-3</v>
      </c>
      <c r="D543">
        <f t="shared" si="35"/>
        <v>1</v>
      </c>
      <c r="E543">
        <v>0.74512995859582509</v>
      </c>
      <c r="F543">
        <f t="shared" si="36"/>
        <v>1</v>
      </c>
      <c r="G543" t="b">
        <f t="shared" si="37"/>
        <v>1</v>
      </c>
      <c r="H543">
        <v>0.37794332453671503</v>
      </c>
    </row>
    <row r="544" spans="1:8" x14ac:dyDescent="0.35">
      <c r="A544" s="13">
        <v>43157</v>
      </c>
      <c r="B544" s="14">
        <v>5344.26</v>
      </c>
      <c r="C544" s="2">
        <f t="shared" si="34"/>
        <v>5.0570112668482103E-3</v>
      </c>
      <c r="D544">
        <f t="shared" si="35"/>
        <v>1</v>
      </c>
      <c r="E544">
        <v>0.79002764577648821</v>
      </c>
      <c r="F544">
        <f t="shared" si="36"/>
        <v>1</v>
      </c>
      <c r="G544" t="b">
        <f t="shared" si="37"/>
        <v>1</v>
      </c>
      <c r="H544">
        <v>0.37794335310818911</v>
      </c>
    </row>
    <row r="545" spans="1:8" x14ac:dyDescent="0.35">
      <c r="A545" s="13">
        <v>43158</v>
      </c>
      <c r="B545" s="14">
        <v>5343.93</v>
      </c>
      <c r="C545" s="2">
        <f t="shared" si="34"/>
        <v>-6.1748492775404173E-5</v>
      </c>
      <c r="D545">
        <f t="shared" si="35"/>
        <v>0</v>
      </c>
      <c r="E545">
        <v>0.82148270328488249</v>
      </c>
      <c r="F545">
        <f t="shared" si="36"/>
        <v>1</v>
      </c>
      <c r="G545" t="b">
        <f t="shared" si="37"/>
        <v>0</v>
      </c>
      <c r="H545">
        <v>0.37794333088216253</v>
      </c>
    </row>
    <row r="546" spans="1:8" x14ac:dyDescent="0.35">
      <c r="A546" s="13">
        <v>43159</v>
      </c>
      <c r="B546" s="14">
        <v>5320.49</v>
      </c>
      <c r="C546" s="2">
        <f t="shared" si="34"/>
        <v>-4.3862849999907194E-3</v>
      </c>
      <c r="D546">
        <f t="shared" si="35"/>
        <v>0</v>
      </c>
      <c r="E546">
        <v>0.79693718067722774</v>
      </c>
      <c r="F546">
        <f t="shared" si="36"/>
        <v>1</v>
      </c>
      <c r="G546" t="b">
        <f t="shared" si="37"/>
        <v>0</v>
      </c>
      <c r="H546">
        <v>0.37794327983656723</v>
      </c>
    </row>
    <row r="547" spans="1:8" x14ac:dyDescent="0.35">
      <c r="A547" s="13">
        <v>43160</v>
      </c>
      <c r="B547" s="14">
        <v>5262.56</v>
      </c>
      <c r="C547" s="2">
        <f t="shared" si="34"/>
        <v>-1.0888094893515277E-2</v>
      </c>
      <c r="D547">
        <f t="shared" si="35"/>
        <v>0</v>
      </c>
      <c r="E547">
        <v>0.73299996727974825</v>
      </c>
      <c r="F547">
        <f t="shared" si="36"/>
        <v>1</v>
      </c>
      <c r="G547" t="b">
        <f t="shared" si="37"/>
        <v>0</v>
      </c>
      <c r="H547">
        <v>0.37794320904404249</v>
      </c>
    </row>
    <row r="548" spans="1:8" x14ac:dyDescent="0.35">
      <c r="A548" s="13">
        <v>43161</v>
      </c>
      <c r="B548" s="14">
        <v>5136.58</v>
      </c>
      <c r="C548" s="2">
        <f t="shared" si="34"/>
        <v>-2.3938919461250929E-2</v>
      </c>
      <c r="D548">
        <f t="shared" si="35"/>
        <v>0</v>
      </c>
      <c r="E548">
        <v>0.62786979486172578</v>
      </c>
      <c r="F548">
        <f t="shared" si="36"/>
        <v>1</v>
      </c>
      <c r="G548" t="b">
        <f t="shared" si="37"/>
        <v>0</v>
      </c>
      <c r="H548">
        <v>0.37794312574458827</v>
      </c>
    </row>
    <row r="549" spans="1:8" x14ac:dyDescent="0.35">
      <c r="A549" s="13">
        <v>43164</v>
      </c>
      <c r="B549" s="14">
        <v>5167.2299999999996</v>
      </c>
      <c r="C549" s="2">
        <f t="shared" si="34"/>
        <v>5.9670052836711118E-3</v>
      </c>
      <c r="D549">
        <f t="shared" si="35"/>
        <v>1</v>
      </c>
      <c r="E549">
        <v>0.49143605787784794</v>
      </c>
      <c r="F549">
        <f t="shared" si="36"/>
        <v>0</v>
      </c>
      <c r="G549" t="b">
        <f t="shared" si="37"/>
        <v>0</v>
      </c>
      <c r="H549">
        <v>0.37794312614663528</v>
      </c>
    </row>
    <row r="550" spans="1:8" x14ac:dyDescent="0.35">
      <c r="A550" s="13">
        <v>43165</v>
      </c>
      <c r="B550" s="14">
        <v>5170.2299999999996</v>
      </c>
      <c r="C550" s="2">
        <f t="shared" si="34"/>
        <v>5.8058185913933968E-4</v>
      </c>
      <c r="D550">
        <f t="shared" si="35"/>
        <v>1</v>
      </c>
      <c r="E550">
        <v>0.48979579400450035</v>
      </c>
      <c r="F550">
        <f t="shared" si="36"/>
        <v>0</v>
      </c>
      <c r="G550" t="b">
        <f t="shared" si="37"/>
        <v>0</v>
      </c>
      <c r="H550">
        <v>0.3779431677924362</v>
      </c>
    </row>
    <row r="551" spans="1:8" x14ac:dyDescent="0.35">
      <c r="A551" s="13">
        <v>43166</v>
      </c>
      <c r="B551" s="14">
        <v>5187.83</v>
      </c>
      <c r="C551" s="2">
        <f t="shared" si="34"/>
        <v>3.4041038793246603E-3</v>
      </c>
      <c r="D551">
        <f t="shared" si="35"/>
        <v>1</v>
      </c>
      <c r="E551">
        <v>0.55691815460095173</v>
      </c>
      <c r="F551">
        <f t="shared" si="36"/>
        <v>1</v>
      </c>
      <c r="G551" t="b">
        <f t="shared" si="37"/>
        <v>1</v>
      </c>
      <c r="H551">
        <v>0.37794322400813124</v>
      </c>
    </row>
    <row r="552" spans="1:8" x14ac:dyDescent="0.35">
      <c r="A552" s="13">
        <v>43167</v>
      </c>
      <c r="B552" s="14">
        <v>5254.1</v>
      </c>
      <c r="C552" s="2">
        <f t="shared" si="34"/>
        <v>1.2774127139864033E-2</v>
      </c>
      <c r="D552">
        <f t="shared" si="35"/>
        <v>1</v>
      </c>
      <c r="E552">
        <v>0.6451817257352126</v>
      </c>
      <c r="F552">
        <f t="shared" si="36"/>
        <v>1</v>
      </c>
      <c r="G552" t="b">
        <f t="shared" si="37"/>
        <v>1</v>
      </c>
      <c r="H552">
        <v>0.37794327795789423</v>
      </c>
    </row>
    <row r="553" spans="1:8" x14ac:dyDescent="0.35">
      <c r="A553" s="13">
        <v>43168</v>
      </c>
      <c r="B553" s="14">
        <v>5274.4</v>
      </c>
      <c r="C553" s="2">
        <f t="shared" si="34"/>
        <v>3.8636493405148631E-3</v>
      </c>
      <c r="D553">
        <f t="shared" si="35"/>
        <v>1</v>
      </c>
      <c r="E553">
        <v>0.7225782046294259</v>
      </c>
      <c r="F553">
        <f t="shared" si="36"/>
        <v>1</v>
      </c>
      <c r="G553" t="b">
        <f t="shared" si="37"/>
        <v>1</v>
      </c>
      <c r="H553">
        <v>0.37794332236416472</v>
      </c>
    </row>
    <row r="554" spans="1:8" x14ac:dyDescent="0.35">
      <c r="A554" s="13">
        <v>43171</v>
      </c>
      <c r="B554" s="14">
        <v>5276.71</v>
      </c>
      <c r="C554" s="2">
        <f t="shared" si="34"/>
        <v>4.3796450781141694E-4</v>
      </c>
      <c r="D554">
        <f t="shared" si="35"/>
        <v>1</v>
      </c>
      <c r="E554">
        <v>0.77848537004853269</v>
      </c>
      <c r="F554">
        <f t="shared" si="36"/>
        <v>1</v>
      </c>
      <c r="G554" t="b">
        <f t="shared" si="37"/>
        <v>1</v>
      </c>
      <c r="H554">
        <v>0.37794335656178674</v>
      </c>
    </row>
    <row r="555" spans="1:8" x14ac:dyDescent="0.35">
      <c r="A555" s="13">
        <v>43172</v>
      </c>
      <c r="B555" s="14">
        <v>5242.79</v>
      </c>
      <c r="C555" s="2">
        <f t="shared" si="34"/>
        <v>-6.4282479044708296E-3</v>
      </c>
      <c r="D555">
        <f t="shared" si="35"/>
        <v>0</v>
      </c>
      <c r="E555">
        <v>0.81594560237340374</v>
      </c>
      <c r="F555">
        <f t="shared" si="36"/>
        <v>1</v>
      </c>
      <c r="G555" t="b">
        <f t="shared" si="37"/>
        <v>0</v>
      </c>
      <c r="H555">
        <v>0.37794333537304403</v>
      </c>
    </row>
    <row r="556" spans="1:8" x14ac:dyDescent="0.35">
      <c r="A556" s="13">
        <v>43173</v>
      </c>
      <c r="B556" s="14">
        <v>5233.3599999999997</v>
      </c>
      <c r="C556" s="2">
        <f t="shared" si="34"/>
        <v>-1.7986606367984548E-3</v>
      </c>
      <c r="D556">
        <f t="shared" si="35"/>
        <v>0</v>
      </c>
      <c r="E556">
        <v>0.7926551609394803</v>
      </c>
      <c r="F556">
        <f t="shared" si="36"/>
        <v>1</v>
      </c>
      <c r="G556" t="b">
        <f t="shared" si="37"/>
        <v>0</v>
      </c>
      <c r="H556">
        <v>0.37794328392620097</v>
      </c>
    </row>
    <row r="557" spans="1:8" x14ac:dyDescent="0.35">
      <c r="A557" s="13">
        <v>43174</v>
      </c>
      <c r="B557" s="14">
        <v>5267.26</v>
      </c>
      <c r="C557" s="2">
        <f t="shared" si="34"/>
        <v>6.4776739991134757E-3</v>
      </c>
      <c r="D557">
        <f t="shared" si="35"/>
        <v>1</v>
      </c>
      <c r="E557">
        <v>0.72837161362805092</v>
      </c>
      <c r="F557">
        <f t="shared" si="36"/>
        <v>1</v>
      </c>
      <c r="G557" t="b">
        <f t="shared" si="37"/>
        <v>1</v>
      </c>
      <c r="H557">
        <v>0.37794327508028519</v>
      </c>
    </row>
    <row r="558" spans="1:8" x14ac:dyDescent="0.35">
      <c r="A558" s="13">
        <v>43175</v>
      </c>
      <c r="B558" s="14">
        <v>5282.75</v>
      </c>
      <c r="C558" s="2">
        <f t="shared" si="34"/>
        <v>2.9408079342960747E-3</v>
      </c>
      <c r="D558">
        <f t="shared" si="35"/>
        <v>1</v>
      </c>
      <c r="E558">
        <v>0.71601837821081216</v>
      </c>
      <c r="F558">
        <f t="shared" si="36"/>
        <v>1</v>
      </c>
      <c r="G558" t="b">
        <f t="shared" si="37"/>
        <v>1</v>
      </c>
      <c r="H558">
        <v>0.37794328842539399</v>
      </c>
    </row>
    <row r="559" spans="1:8" x14ac:dyDescent="0.35">
      <c r="A559" s="13">
        <v>43178</v>
      </c>
      <c r="B559" s="14">
        <v>5222.84</v>
      </c>
      <c r="C559" s="2">
        <f t="shared" si="34"/>
        <v>-1.1340684302683202E-2</v>
      </c>
      <c r="D559">
        <f t="shared" si="35"/>
        <v>0</v>
      </c>
      <c r="E559">
        <v>0.73462339841654201</v>
      </c>
      <c r="F559">
        <f t="shared" si="36"/>
        <v>1</v>
      </c>
      <c r="G559" t="b">
        <f t="shared" si="37"/>
        <v>0</v>
      </c>
      <c r="H559">
        <v>0.3779432505695412</v>
      </c>
    </row>
    <row r="560" spans="1:8" x14ac:dyDescent="0.35">
      <c r="A560" s="13">
        <v>43179</v>
      </c>
      <c r="B560" s="14">
        <v>5252.43</v>
      </c>
      <c r="C560" s="2">
        <f t="shared" si="34"/>
        <v>5.6654999961707198E-3</v>
      </c>
      <c r="D560">
        <f t="shared" si="35"/>
        <v>1</v>
      </c>
      <c r="E560">
        <v>0.68067444080686124</v>
      </c>
      <c r="F560">
        <f t="shared" si="36"/>
        <v>1</v>
      </c>
      <c r="G560" t="b">
        <f t="shared" si="37"/>
        <v>1</v>
      </c>
      <c r="H560">
        <v>0.37794325347751334</v>
      </c>
    </row>
    <row r="561" spans="1:8" x14ac:dyDescent="0.35">
      <c r="A561" s="13">
        <v>43180</v>
      </c>
      <c r="B561" s="14">
        <v>5239.74</v>
      </c>
      <c r="C561" s="2">
        <f t="shared" si="34"/>
        <v>-2.4160245829074611E-3</v>
      </c>
      <c r="D561">
        <f t="shared" si="35"/>
        <v>0</v>
      </c>
      <c r="E561">
        <v>0.68468744194126241</v>
      </c>
      <c r="F561">
        <f t="shared" si="36"/>
        <v>1</v>
      </c>
      <c r="G561" t="b">
        <f t="shared" si="37"/>
        <v>0</v>
      </c>
      <c r="H561">
        <v>0.37794320806715281</v>
      </c>
    </row>
    <row r="562" spans="1:8" x14ac:dyDescent="0.35">
      <c r="A562" s="13">
        <v>43181</v>
      </c>
      <c r="B562" s="14">
        <v>5167.21</v>
      </c>
      <c r="C562" s="2">
        <f t="shared" si="34"/>
        <v>-1.3842289884612557E-2</v>
      </c>
      <c r="D562">
        <f t="shared" si="35"/>
        <v>0</v>
      </c>
      <c r="E562">
        <v>0.61471917292353817</v>
      </c>
      <c r="F562">
        <f t="shared" si="36"/>
        <v>1</v>
      </c>
      <c r="G562" t="b">
        <f t="shared" si="37"/>
        <v>0</v>
      </c>
      <c r="H562">
        <v>0.37794313773676308</v>
      </c>
    </row>
    <row r="563" spans="1:8" x14ac:dyDescent="0.35">
      <c r="A563" s="13">
        <v>43182</v>
      </c>
      <c r="B563" s="14">
        <v>5095.22</v>
      </c>
      <c r="C563" s="2">
        <f t="shared" si="34"/>
        <v>-1.3932083271243068E-2</v>
      </c>
      <c r="D563">
        <f t="shared" si="35"/>
        <v>0</v>
      </c>
      <c r="E563">
        <v>0.50032752362701272</v>
      </c>
      <c r="F563">
        <f t="shared" si="36"/>
        <v>1</v>
      </c>
      <c r="G563" t="b">
        <f t="shared" si="37"/>
        <v>0</v>
      </c>
      <c r="H563">
        <v>0.37794306087140311</v>
      </c>
    </row>
    <row r="564" spans="1:8" x14ac:dyDescent="0.35">
      <c r="A564" s="13">
        <v>43185</v>
      </c>
      <c r="B564" s="14">
        <v>5066.28</v>
      </c>
      <c r="C564" s="2">
        <f t="shared" si="34"/>
        <v>-5.6798332554827136E-3</v>
      </c>
      <c r="D564">
        <f t="shared" si="35"/>
        <v>0</v>
      </c>
      <c r="E564">
        <v>0.37791291383528336</v>
      </c>
      <c r="F564">
        <f t="shared" si="36"/>
        <v>0</v>
      </c>
      <c r="G564" t="b">
        <f t="shared" si="37"/>
        <v>1</v>
      </c>
      <c r="H564">
        <v>0.37794299223139627</v>
      </c>
    </row>
    <row r="565" spans="1:8" x14ac:dyDescent="0.35">
      <c r="A565" s="13">
        <v>43186</v>
      </c>
      <c r="B565" s="14">
        <v>5115.74</v>
      </c>
      <c r="C565" s="2">
        <f t="shared" si="34"/>
        <v>9.7625871448083767E-3</v>
      </c>
      <c r="D565">
        <f t="shared" si="35"/>
        <v>1</v>
      </c>
      <c r="E565">
        <v>0.28151386018575497</v>
      </c>
      <c r="F565">
        <f t="shared" si="36"/>
        <v>0</v>
      </c>
      <c r="G565" t="b">
        <f t="shared" si="37"/>
        <v>0</v>
      </c>
      <c r="H565">
        <v>0.3779430075799069</v>
      </c>
    </row>
    <row r="566" spans="1:8" x14ac:dyDescent="0.35">
      <c r="A566" s="13">
        <v>43187</v>
      </c>
      <c r="B566" s="14">
        <v>5130.4399999999996</v>
      </c>
      <c r="C566" s="2">
        <f t="shared" si="34"/>
        <v>2.873484578965968E-3</v>
      </c>
      <c r="D566">
        <f t="shared" si="35"/>
        <v>1</v>
      </c>
      <c r="E566">
        <v>0.30003234519246758</v>
      </c>
      <c r="F566">
        <f t="shared" si="36"/>
        <v>0</v>
      </c>
      <c r="G566" t="b">
        <f t="shared" si="37"/>
        <v>0</v>
      </c>
      <c r="H566">
        <v>0.37794306447702647</v>
      </c>
    </row>
    <row r="567" spans="1:8" x14ac:dyDescent="0.35">
      <c r="A567" s="13">
        <v>43188</v>
      </c>
      <c r="B567" s="14">
        <v>5167.3</v>
      </c>
      <c r="C567" s="2">
        <f t="shared" si="34"/>
        <v>7.184568964845317E-3</v>
      </c>
      <c r="D567">
        <f t="shared" si="35"/>
        <v>1</v>
      </c>
      <c r="E567">
        <v>0.38005719468639643</v>
      </c>
      <c r="F567">
        <f t="shared" si="36"/>
        <v>0</v>
      </c>
      <c r="G567" t="b">
        <f t="shared" si="37"/>
        <v>0</v>
      </c>
      <c r="H567">
        <v>0.37794314083958896</v>
      </c>
    </row>
    <row r="568" spans="1:8" x14ac:dyDescent="0.35">
      <c r="A568" s="13">
        <v>43193</v>
      </c>
      <c r="B568" s="14">
        <v>5152.12</v>
      </c>
      <c r="C568" s="2">
        <f t="shared" si="34"/>
        <v>-2.9377044104271777E-3</v>
      </c>
      <c r="D568">
        <f t="shared" si="35"/>
        <v>0</v>
      </c>
      <c r="E568">
        <v>0.50042500713823268</v>
      </c>
      <c r="F568">
        <f t="shared" si="36"/>
        <v>1</v>
      </c>
      <c r="G568" t="b">
        <f t="shared" si="37"/>
        <v>0</v>
      </c>
      <c r="H568">
        <v>0.37794313797101725</v>
      </c>
    </row>
    <row r="569" spans="1:8" x14ac:dyDescent="0.35">
      <c r="A569" s="13">
        <v>43194</v>
      </c>
      <c r="B569" s="14">
        <v>5141.8</v>
      </c>
      <c r="C569" s="2">
        <f t="shared" si="34"/>
        <v>-2.0030589349626648E-3</v>
      </c>
      <c r="D569">
        <f t="shared" si="35"/>
        <v>0</v>
      </c>
      <c r="E569">
        <v>0.49496860569566115</v>
      </c>
      <c r="F569">
        <f t="shared" si="36"/>
        <v>0</v>
      </c>
      <c r="G569" t="b">
        <f t="shared" si="37"/>
        <v>1</v>
      </c>
      <c r="H569">
        <v>0.37794309537512488</v>
      </c>
    </row>
    <row r="570" spans="1:8" x14ac:dyDescent="0.35">
      <c r="A570" s="13">
        <v>43195</v>
      </c>
      <c r="B570" s="14">
        <v>5276.67</v>
      </c>
      <c r="C570" s="2">
        <f t="shared" si="34"/>
        <v>2.6230113967871116E-2</v>
      </c>
      <c r="D570">
        <f t="shared" si="35"/>
        <v>1</v>
      </c>
      <c r="E570">
        <v>0.4266585336585908</v>
      </c>
      <c r="F570">
        <f t="shared" si="36"/>
        <v>0</v>
      </c>
      <c r="G570" t="b">
        <f t="shared" si="37"/>
        <v>0</v>
      </c>
      <c r="H570">
        <v>0.37794312036099309</v>
      </c>
    </row>
    <row r="571" spans="1:8" x14ac:dyDescent="0.35">
      <c r="A571" s="13">
        <v>43196</v>
      </c>
      <c r="B571" s="14">
        <v>5258.24</v>
      </c>
      <c r="C571" s="2">
        <f t="shared" si="34"/>
        <v>-3.4927331062962752E-3</v>
      </c>
      <c r="D571">
        <f t="shared" si="35"/>
        <v>0</v>
      </c>
      <c r="E571">
        <v>0.46664025855015034</v>
      </c>
      <c r="F571">
        <f t="shared" si="36"/>
        <v>0</v>
      </c>
      <c r="G571" t="b">
        <f t="shared" si="37"/>
        <v>1</v>
      </c>
      <c r="H571">
        <v>0.37794309533850834</v>
      </c>
    </row>
    <row r="572" spans="1:8" x14ac:dyDescent="0.35">
      <c r="A572" s="13">
        <v>43199</v>
      </c>
      <c r="B572" s="14">
        <v>5263.39</v>
      </c>
      <c r="C572" s="2">
        <f t="shared" si="34"/>
        <v>9.7941516553068375E-4</v>
      </c>
      <c r="D572">
        <f t="shared" si="35"/>
        <v>1</v>
      </c>
      <c r="E572">
        <v>0.42535597637309186</v>
      </c>
      <c r="F572">
        <f t="shared" si="36"/>
        <v>0</v>
      </c>
      <c r="G572" t="b">
        <f t="shared" si="37"/>
        <v>0</v>
      </c>
      <c r="H572">
        <v>0.37794312798262464</v>
      </c>
    </row>
    <row r="573" spans="1:8" x14ac:dyDescent="0.35">
      <c r="A573" s="13">
        <v>43200</v>
      </c>
      <c r="B573" s="14">
        <v>5307.56</v>
      </c>
      <c r="C573" s="2">
        <f t="shared" si="34"/>
        <v>8.3919299158907723E-3</v>
      </c>
      <c r="D573">
        <f t="shared" si="35"/>
        <v>1</v>
      </c>
      <c r="E573">
        <v>0.47889998478451207</v>
      </c>
      <c r="F573">
        <f t="shared" si="36"/>
        <v>0</v>
      </c>
      <c r="G573" t="b">
        <f t="shared" si="37"/>
        <v>0</v>
      </c>
      <c r="H573">
        <v>0.37794318492848816</v>
      </c>
    </row>
    <row r="574" spans="1:8" x14ac:dyDescent="0.35">
      <c r="A574" s="13">
        <v>43201</v>
      </c>
      <c r="B574" s="14">
        <v>5277.94</v>
      </c>
      <c r="C574" s="2">
        <f t="shared" si="34"/>
        <v>-5.5807188237158023E-3</v>
      </c>
      <c r="D574">
        <f t="shared" si="35"/>
        <v>0</v>
      </c>
      <c r="E574">
        <v>0.57495128069008483</v>
      </c>
      <c r="F574">
        <f t="shared" si="36"/>
        <v>1</v>
      </c>
      <c r="G574" t="b">
        <f t="shared" si="37"/>
        <v>0</v>
      </c>
      <c r="H574">
        <v>0.37794316940464096</v>
      </c>
    </row>
    <row r="575" spans="1:8" x14ac:dyDescent="0.35">
      <c r="A575" s="13">
        <v>43202</v>
      </c>
      <c r="B575" s="14">
        <v>5309.22</v>
      </c>
      <c r="C575" s="2">
        <f t="shared" si="34"/>
        <v>5.9265546785300938E-3</v>
      </c>
      <c r="D575">
        <f t="shared" si="35"/>
        <v>1</v>
      </c>
      <c r="E575">
        <v>0.54845526482377749</v>
      </c>
      <c r="F575">
        <f t="shared" si="36"/>
        <v>1</v>
      </c>
      <c r="G575" t="b">
        <f t="shared" si="37"/>
        <v>1</v>
      </c>
      <c r="H575">
        <v>0.37794319700489615</v>
      </c>
    </row>
    <row r="576" spans="1:8" x14ac:dyDescent="0.35">
      <c r="A576" s="13">
        <v>43203</v>
      </c>
      <c r="B576" s="14">
        <v>5315.02</v>
      </c>
      <c r="C576" s="2">
        <f t="shared" si="34"/>
        <v>1.0924391906910191E-3</v>
      </c>
      <c r="D576">
        <f t="shared" si="35"/>
        <v>1</v>
      </c>
      <c r="E576">
        <v>0.59390954870650681</v>
      </c>
      <c r="F576">
        <f t="shared" si="36"/>
        <v>1</v>
      </c>
      <c r="G576" t="b">
        <f t="shared" si="37"/>
        <v>1</v>
      </c>
      <c r="H576">
        <v>0.37794324085280762</v>
      </c>
    </row>
    <row r="577" spans="1:8" x14ac:dyDescent="0.35">
      <c r="A577" s="13">
        <v>43206</v>
      </c>
      <c r="B577" s="14">
        <v>5312.96</v>
      </c>
      <c r="C577" s="2">
        <f t="shared" si="34"/>
        <v>-3.8758085576351409E-4</v>
      </c>
      <c r="D577">
        <f t="shared" si="35"/>
        <v>0</v>
      </c>
      <c r="E577">
        <v>0.66444943242997423</v>
      </c>
      <c r="F577">
        <f t="shared" si="36"/>
        <v>1</v>
      </c>
      <c r="G577" t="b">
        <f t="shared" si="37"/>
        <v>0</v>
      </c>
      <c r="H577">
        <v>0.37794321679161247</v>
      </c>
    </row>
    <row r="578" spans="1:8" x14ac:dyDescent="0.35">
      <c r="A578" s="13">
        <v>43207</v>
      </c>
      <c r="B578" s="14">
        <v>5353.54</v>
      </c>
      <c r="C578" s="2">
        <f t="shared" si="34"/>
        <v>7.6379268806840983E-3</v>
      </c>
      <c r="D578">
        <f t="shared" si="35"/>
        <v>1</v>
      </c>
      <c r="E578">
        <v>0.62637128931247288</v>
      </c>
      <c r="F578">
        <f t="shared" si="36"/>
        <v>1</v>
      </c>
      <c r="G578" t="b">
        <f t="shared" si="37"/>
        <v>1</v>
      </c>
      <c r="H578">
        <v>0.37794323209648445</v>
      </c>
    </row>
    <row r="579" spans="1:8" x14ac:dyDescent="0.35">
      <c r="A579" s="13">
        <v>43208</v>
      </c>
      <c r="B579" s="14">
        <v>5380.17</v>
      </c>
      <c r="C579" s="2">
        <f t="shared" si="34"/>
        <v>4.9742787015694123E-3</v>
      </c>
      <c r="D579">
        <f t="shared" si="35"/>
        <v>1</v>
      </c>
      <c r="E579">
        <v>0.65046447390719297</v>
      </c>
      <c r="F579">
        <f t="shared" si="36"/>
        <v>1</v>
      </c>
      <c r="G579" t="b">
        <f t="shared" si="37"/>
        <v>1</v>
      </c>
      <c r="H579">
        <v>0.37794326410081736</v>
      </c>
    </row>
    <row r="580" spans="1:8" x14ac:dyDescent="0.35">
      <c r="A580" s="13">
        <v>43209</v>
      </c>
      <c r="B580" s="14">
        <v>5391.64</v>
      </c>
      <c r="C580" s="2">
        <f t="shared" ref="C580:C643" si="38">(B580/B579)-1</f>
        <v>2.1319028952617725E-3</v>
      </c>
      <c r="D580">
        <f t="shared" si="35"/>
        <v>1</v>
      </c>
      <c r="E580">
        <v>0.69930513348681655</v>
      </c>
      <c r="F580">
        <f t="shared" si="36"/>
        <v>1</v>
      </c>
      <c r="G580" t="b">
        <f t="shared" si="37"/>
        <v>1</v>
      </c>
      <c r="H580">
        <v>0.37794329956149803</v>
      </c>
    </row>
    <row r="581" spans="1:8" x14ac:dyDescent="0.35">
      <c r="A581" s="13">
        <v>43210</v>
      </c>
      <c r="B581" s="14">
        <v>5412.83</v>
      </c>
      <c r="C581" s="2">
        <f t="shared" si="38"/>
        <v>3.9301585417423901E-3</v>
      </c>
      <c r="D581">
        <f t="shared" si="35"/>
        <v>1</v>
      </c>
      <c r="E581">
        <v>0.74866644976894015</v>
      </c>
      <c r="F581">
        <f t="shared" si="36"/>
        <v>1</v>
      </c>
      <c r="G581" t="b">
        <f t="shared" si="37"/>
        <v>1</v>
      </c>
      <c r="H581">
        <v>0.37794333170554334</v>
      </c>
    </row>
    <row r="582" spans="1:8" x14ac:dyDescent="0.35">
      <c r="A582" s="13">
        <v>43213</v>
      </c>
      <c r="B582" s="14">
        <v>5438.55</v>
      </c>
      <c r="C582" s="2">
        <f t="shared" si="38"/>
        <v>4.7516733390851051E-3</v>
      </c>
      <c r="D582">
        <f t="shared" ref="D582:D645" si="39">IF(C582&gt;=0,1,0)</f>
        <v>1</v>
      </c>
      <c r="E582">
        <v>0.78871675567236232</v>
      </c>
      <c r="F582">
        <f t="shared" si="36"/>
        <v>1</v>
      </c>
      <c r="G582" t="b">
        <f t="shared" si="37"/>
        <v>1</v>
      </c>
      <c r="H582">
        <v>0.37794335837109605</v>
      </c>
    </row>
    <row r="583" spans="1:8" x14ac:dyDescent="0.35">
      <c r="A583" s="13">
        <v>43214</v>
      </c>
      <c r="B583" s="14">
        <v>5444.16</v>
      </c>
      <c r="C583" s="2">
        <f t="shared" si="38"/>
        <v>1.0315249469068366E-3</v>
      </c>
      <c r="D583">
        <f t="shared" si="39"/>
        <v>1</v>
      </c>
      <c r="E583">
        <v>0.81847245967466387</v>
      </c>
      <c r="F583">
        <f t="shared" si="36"/>
        <v>1</v>
      </c>
      <c r="G583" t="b">
        <f t="shared" si="37"/>
        <v>1</v>
      </c>
      <c r="H583">
        <v>0.37794337981880383</v>
      </c>
    </row>
    <row r="584" spans="1:8" x14ac:dyDescent="0.35">
      <c r="A584" s="13">
        <v>43215</v>
      </c>
      <c r="B584" s="14">
        <v>5413.3</v>
      </c>
      <c r="C584" s="2">
        <f t="shared" si="38"/>
        <v>-5.6684594133896704E-3</v>
      </c>
      <c r="D584">
        <f t="shared" si="39"/>
        <v>0</v>
      </c>
      <c r="E584">
        <v>0.84006195108925041</v>
      </c>
      <c r="F584">
        <f t="shared" si="36"/>
        <v>1</v>
      </c>
      <c r="G584" t="b">
        <f t="shared" si="37"/>
        <v>0</v>
      </c>
      <c r="H584">
        <v>0.37794335657039996</v>
      </c>
    </row>
    <row r="585" spans="1:8" x14ac:dyDescent="0.35">
      <c r="A585" s="13">
        <v>43216</v>
      </c>
      <c r="B585" s="14">
        <v>5453.58</v>
      </c>
      <c r="C585" s="2">
        <f t="shared" si="38"/>
        <v>7.4409325180573305E-3</v>
      </c>
      <c r="D585">
        <f t="shared" si="39"/>
        <v>1</v>
      </c>
      <c r="E585">
        <v>0.81629195047274861</v>
      </c>
      <c r="F585">
        <f t="shared" ref="F585:F648" si="40">IF(E585&gt;=0.5,1,0)</f>
        <v>1</v>
      </c>
      <c r="G585" t="b">
        <f t="shared" ref="G585:G648" si="41">IF(D585=F585,TRUE,FALSE)</f>
        <v>1</v>
      </c>
      <c r="H585">
        <v>0.37794335327514977</v>
      </c>
    </row>
    <row r="586" spans="1:8" x14ac:dyDescent="0.35">
      <c r="A586" s="13">
        <v>43217</v>
      </c>
      <c r="B586" s="14">
        <v>5483.19</v>
      </c>
      <c r="C586" s="2">
        <f t="shared" si="38"/>
        <v>5.4294610145995126E-3</v>
      </c>
      <c r="D586">
        <f t="shared" si="39"/>
        <v>1</v>
      </c>
      <c r="E586">
        <v>0.81263698572873067</v>
      </c>
      <c r="F586">
        <f t="shared" si="40"/>
        <v>1</v>
      </c>
      <c r="G586" t="b">
        <f t="shared" si="41"/>
        <v>1</v>
      </c>
      <c r="H586">
        <v>0.37794336021278119</v>
      </c>
    </row>
    <row r="587" spans="1:8" x14ac:dyDescent="0.35">
      <c r="A587" s="13">
        <v>43220</v>
      </c>
      <c r="B587" s="14">
        <v>5520.5</v>
      </c>
      <c r="C587" s="2">
        <f t="shared" si="38"/>
        <v>6.8044331857914919E-3</v>
      </c>
      <c r="D587">
        <f t="shared" si="39"/>
        <v>1</v>
      </c>
      <c r="E587">
        <v>0.82004768405427797</v>
      </c>
      <c r="F587">
        <f t="shared" si="40"/>
        <v>1</v>
      </c>
      <c r="G587" t="b">
        <f t="shared" si="41"/>
        <v>1</v>
      </c>
      <c r="H587">
        <v>0.37794337166522091</v>
      </c>
    </row>
    <row r="588" spans="1:8" x14ac:dyDescent="0.35">
      <c r="A588" s="13">
        <v>43222</v>
      </c>
      <c r="B588" s="14">
        <v>5529.22</v>
      </c>
      <c r="C588" s="2">
        <f t="shared" si="38"/>
        <v>1.5795670682003937E-3</v>
      </c>
      <c r="D588">
        <f t="shared" si="39"/>
        <v>1</v>
      </c>
      <c r="E588">
        <v>0.83183451665132613</v>
      </c>
      <c r="F588">
        <f t="shared" si="40"/>
        <v>1</v>
      </c>
      <c r="G588" t="b">
        <f t="shared" si="41"/>
        <v>1</v>
      </c>
      <c r="H588">
        <v>0.37794338441109537</v>
      </c>
    </row>
    <row r="589" spans="1:8" x14ac:dyDescent="0.35">
      <c r="A589" s="13">
        <v>43223</v>
      </c>
      <c r="B589" s="14">
        <v>5501.66</v>
      </c>
      <c r="C589" s="2">
        <f t="shared" si="38"/>
        <v>-4.9844281833604231E-3</v>
      </c>
      <c r="D589">
        <f t="shared" si="39"/>
        <v>0</v>
      </c>
      <c r="E589">
        <v>0.84428687104119282</v>
      </c>
      <c r="F589">
        <f t="shared" si="40"/>
        <v>1</v>
      </c>
      <c r="G589" t="b">
        <f t="shared" si="41"/>
        <v>0</v>
      </c>
      <c r="H589">
        <v>0.37794335734420986</v>
      </c>
    </row>
    <row r="590" spans="1:8" x14ac:dyDescent="0.35">
      <c r="A590" s="13">
        <v>43224</v>
      </c>
      <c r="B590" s="14">
        <v>5516.05</v>
      </c>
      <c r="C590" s="2">
        <f t="shared" si="38"/>
        <v>2.6155742085116618E-3</v>
      </c>
      <c r="D590">
        <f t="shared" si="39"/>
        <v>1</v>
      </c>
      <c r="E590">
        <v>0.81709506500802309</v>
      </c>
      <c r="F590">
        <f t="shared" si="40"/>
        <v>1</v>
      </c>
      <c r="G590" t="b">
        <f t="shared" si="41"/>
        <v>1</v>
      </c>
      <c r="H590">
        <v>0.37794335212847358</v>
      </c>
    </row>
    <row r="591" spans="1:8" x14ac:dyDescent="0.35">
      <c r="A591" s="13">
        <v>43227</v>
      </c>
      <c r="B591" s="14">
        <v>5531.42</v>
      </c>
      <c r="C591" s="2">
        <f t="shared" si="38"/>
        <v>2.7864141913143126E-3</v>
      </c>
      <c r="D591">
        <f t="shared" si="39"/>
        <v>1</v>
      </c>
      <c r="E591">
        <v>0.81137050496239671</v>
      </c>
      <c r="F591">
        <f t="shared" si="40"/>
        <v>1</v>
      </c>
      <c r="G591" t="b">
        <f t="shared" si="41"/>
        <v>1</v>
      </c>
      <c r="H591">
        <v>0.37794335826608122</v>
      </c>
    </row>
    <row r="592" spans="1:8" x14ac:dyDescent="0.35">
      <c r="A592" s="13">
        <v>43228</v>
      </c>
      <c r="B592" s="14">
        <v>5521.93</v>
      </c>
      <c r="C592" s="2">
        <f t="shared" si="38"/>
        <v>-1.7156534850002458E-3</v>
      </c>
      <c r="D592">
        <f t="shared" si="39"/>
        <v>0</v>
      </c>
      <c r="E592">
        <v>0.81791399027120082</v>
      </c>
      <c r="F592">
        <f t="shared" si="40"/>
        <v>1</v>
      </c>
      <c r="G592" t="b">
        <f t="shared" si="41"/>
        <v>0</v>
      </c>
      <c r="H592">
        <v>0.37794332421734222</v>
      </c>
    </row>
    <row r="593" spans="1:8" x14ac:dyDescent="0.35">
      <c r="A593" s="13">
        <v>43229</v>
      </c>
      <c r="B593" s="14">
        <v>5534.63</v>
      </c>
      <c r="C593" s="2">
        <f t="shared" si="38"/>
        <v>2.2999204988110034E-3</v>
      </c>
      <c r="D593">
        <f t="shared" si="39"/>
        <v>1</v>
      </c>
      <c r="E593">
        <v>0.77924678324814423</v>
      </c>
      <c r="F593">
        <f t="shared" si="40"/>
        <v>1</v>
      </c>
      <c r="G593" t="b">
        <f t="shared" si="41"/>
        <v>1</v>
      </c>
      <c r="H593">
        <v>0.37794331881039578</v>
      </c>
    </row>
    <row r="594" spans="1:8" x14ac:dyDescent="0.35">
      <c r="A594" s="13">
        <v>43230</v>
      </c>
      <c r="B594" s="14">
        <v>5545.95</v>
      </c>
      <c r="C594" s="2">
        <f t="shared" si="38"/>
        <v>2.0453038414491864E-3</v>
      </c>
      <c r="D594">
        <f t="shared" si="39"/>
        <v>1</v>
      </c>
      <c r="E594">
        <v>0.77252919694436128</v>
      </c>
      <c r="F594">
        <f t="shared" si="40"/>
        <v>1</v>
      </c>
      <c r="G594" t="b">
        <f t="shared" si="41"/>
        <v>1</v>
      </c>
      <c r="H594">
        <v>0.37794332826184379</v>
      </c>
    </row>
    <row r="595" spans="1:8" x14ac:dyDescent="0.35">
      <c r="A595" s="13">
        <v>43231</v>
      </c>
      <c r="B595" s="14">
        <v>5541.94</v>
      </c>
      <c r="C595" s="2">
        <f t="shared" si="38"/>
        <v>-7.230501537157652E-4</v>
      </c>
      <c r="D595">
        <f t="shared" si="39"/>
        <v>0</v>
      </c>
      <c r="E595">
        <v>0.78405200509937267</v>
      </c>
      <c r="F595">
        <f t="shared" si="40"/>
        <v>1</v>
      </c>
      <c r="G595" t="b">
        <f t="shared" si="41"/>
        <v>0</v>
      </c>
      <c r="H595">
        <v>0.37794329193269915</v>
      </c>
    </row>
    <row r="596" spans="1:8" x14ac:dyDescent="0.35">
      <c r="A596" s="13">
        <v>43234</v>
      </c>
      <c r="B596" s="14">
        <v>5540.68</v>
      </c>
      <c r="C596" s="2">
        <f t="shared" si="38"/>
        <v>-2.2735720704292195E-4</v>
      </c>
      <c r="D596">
        <f t="shared" si="39"/>
        <v>0</v>
      </c>
      <c r="E596">
        <v>0.73825108553780172</v>
      </c>
      <c r="F596">
        <f t="shared" si="40"/>
        <v>1</v>
      </c>
      <c r="G596" t="b">
        <f t="shared" si="41"/>
        <v>0</v>
      </c>
      <c r="H596">
        <v>0.37794322887604109</v>
      </c>
    </row>
    <row r="597" spans="1:8" x14ac:dyDescent="0.35">
      <c r="A597" s="13">
        <v>43235</v>
      </c>
      <c r="B597" s="14">
        <v>5553.16</v>
      </c>
      <c r="C597" s="2">
        <f t="shared" si="38"/>
        <v>2.2524311095388772E-3</v>
      </c>
      <c r="D597">
        <f t="shared" si="39"/>
        <v>1</v>
      </c>
      <c r="E597">
        <v>0.64657929332641018</v>
      </c>
      <c r="F597">
        <f t="shared" si="40"/>
        <v>1</v>
      </c>
      <c r="G597" t="b">
        <f t="shared" si="41"/>
        <v>1</v>
      </c>
      <c r="H597">
        <v>0.3779432227777681</v>
      </c>
    </row>
    <row r="598" spans="1:8" x14ac:dyDescent="0.35">
      <c r="A598" s="13">
        <v>43236</v>
      </c>
      <c r="B598" s="14">
        <v>5567.54</v>
      </c>
      <c r="C598" s="2">
        <f t="shared" si="38"/>
        <v>2.5895165995577507E-3</v>
      </c>
      <c r="D598">
        <f t="shared" si="39"/>
        <v>1</v>
      </c>
      <c r="E598">
        <v>0.63671880270656733</v>
      </c>
      <c r="F598">
        <f t="shared" si="40"/>
        <v>1</v>
      </c>
      <c r="G598" t="b">
        <f t="shared" si="41"/>
        <v>1</v>
      </c>
      <c r="H598">
        <v>0.37794324609324503</v>
      </c>
    </row>
    <row r="599" spans="1:8" x14ac:dyDescent="0.35">
      <c r="A599" s="13">
        <v>43237</v>
      </c>
      <c r="B599" s="14">
        <v>5621.92</v>
      </c>
      <c r="C599" s="2">
        <f t="shared" si="38"/>
        <v>9.7673299159053428E-3</v>
      </c>
      <c r="D599">
        <f t="shared" si="39"/>
        <v>1</v>
      </c>
      <c r="E599">
        <v>0.67262683611756013</v>
      </c>
      <c r="F599">
        <f t="shared" si="40"/>
        <v>1</v>
      </c>
      <c r="G599" t="b">
        <f t="shared" si="41"/>
        <v>1</v>
      </c>
      <c r="H599">
        <v>0.37794328012769979</v>
      </c>
    </row>
    <row r="600" spans="1:8" x14ac:dyDescent="0.35">
      <c r="A600" s="13">
        <v>43238</v>
      </c>
      <c r="B600" s="14">
        <v>5614.51</v>
      </c>
      <c r="C600" s="2">
        <f t="shared" si="38"/>
        <v>-1.3180550416939107E-3</v>
      </c>
      <c r="D600">
        <f t="shared" si="39"/>
        <v>0</v>
      </c>
      <c r="E600">
        <v>0.72202471727294248</v>
      </c>
      <c r="F600">
        <f t="shared" si="40"/>
        <v>1</v>
      </c>
      <c r="G600" t="b">
        <f t="shared" si="41"/>
        <v>0</v>
      </c>
      <c r="H600">
        <v>0.37794325223290703</v>
      </c>
    </row>
    <row r="601" spans="1:8" x14ac:dyDescent="0.35">
      <c r="A601" s="13">
        <v>43241</v>
      </c>
      <c r="B601" s="14">
        <v>5637.51</v>
      </c>
      <c r="C601" s="2">
        <f t="shared" si="38"/>
        <v>4.0965284592957563E-3</v>
      </c>
      <c r="D601">
        <f t="shared" si="39"/>
        <v>1</v>
      </c>
      <c r="E601">
        <v>0.68139033643958258</v>
      </c>
      <c r="F601">
        <f t="shared" si="40"/>
        <v>1</v>
      </c>
      <c r="G601" t="b">
        <f t="shared" si="41"/>
        <v>1</v>
      </c>
      <c r="H601">
        <v>0.37794325982840971</v>
      </c>
    </row>
    <row r="602" spans="1:8" x14ac:dyDescent="0.35">
      <c r="A602" s="13">
        <v>43242</v>
      </c>
      <c r="B602" s="14">
        <v>5640.1</v>
      </c>
      <c r="C602" s="2">
        <f t="shared" si="38"/>
        <v>4.5942268838539135E-4</v>
      </c>
      <c r="D602">
        <f t="shared" si="39"/>
        <v>1</v>
      </c>
      <c r="E602">
        <v>0.69245890282877343</v>
      </c>
      <c r="F602">
        <f t="shared" si="40"/>
        <v>1</v>
      </c>
      <c r="G602" t="b">
        <f t="shared" si="41"/>
        <v>1</v>
      </c>
      <c r="H602">
        <v>0.37794328379276121</v>
      </c>
    </row>
    <row r="603" spans="1:8" x14ac:dyDescent="0.35">
      <c r="A603" s="13">
        <v>43243</v>
      </c>
      <c r="B603" s="14">
        <v>5565.85</v>
      </c>
      <c r="C603" s="2">
        <f t="shared" si="38"/>
        <v>-1.3164660201060219E-2</v>
      </c>
      <c r="D603">
        <f t="shared" si="39"/>
        <v>0</v>
      </c>
      <c r="E603">
        <v>0.72674708739446658</v>
      </c>
      <c r="F603">
        <f t="shared" si="40"/>
        <v>1</v>
      </c>
      <c r="G603" t="b">
        <f t="shared" si="41"/>
        <v>0</v>
      </c>
      <c r="H603">
        <v>0.37794325088007913</v>
      </c>
    </row>
    <row r="604" spans="1:8" x14ac:dyDescent="0.35">
      <c r="A604" s="13">
        <v>43244</v>
      </c>
      <c r="B604" s="14">
        <v>5548.45</v>
      </c>
      <c r="C604" s="2">
        <f t="shared" si="38"/>
        <v>-3.1262071381730205E-3</v>
      </c>
      <c r="D604">
        <f t="shared" si="39"/>
        <v>0</v>
      </c>
      <c r="E604">
        <v>0.67942012299355803</v>
      </c>
      <c r="F604">
        <f t="shared" si="40"/>
        <v>1</v>
      </c>
      <c r="G604" t="b">
        <f t="shared" si="41"/>
        <v>0</v>
      </c>
      <c r="H604">
        <v>0.37794318732135174</v>
      </c>
    </row>
    <row r="605" spans="1:8" x14ac:dyDescent="0.35">
      <c r="A605" s="13">
        <v>43245</v>
      </c>
      <c r="B605" s="14">
        <v>5542.55</v>
      </c>
      <c r="C605" s="2">
        <f t="shared" si="38"/>
        <v>-1.0633600374878593E-3</v>
      </c>
      <c r="D605">
        <f t="shared" si="39"/>
        <v>0</v>
      </c>
      <c r="E605">
        <v>0.57933090400501941</v>
      </c>
      <c r="F605">
        <f t="shared" si="40"/>
        <v>1</v>
      </c>
      <c r="G605" t="b">
        <f t="shared" si="41"/>
        <v>0</v>
      </c>
      <c r="H605">
        <v>0.3779431099877899</v>
      </c>
    </row>
    <row r="606" spans="1:8" x14ac:dyDescent="0.35">
      <c r="A606" s="13">
        <v>43248</v>
      </c>
      <c r="B606" s="14">
        <v>5508.93</v>
      </c>
      <c r="C606" s="2">
        <f t="shared" si="38"/>
        <v>-6.0658000378887023E-3</v>
      </c>
      <c r="D606">
        <f t="shared" si="39"/>
        <v>0</v>
      </c>
      <c r="E606">
        <v>0.4508177325963556</v>
      </c>
      <c r="F606">
        <f t="shared" si="40"/>
        <v>0</v>
      </c>
      <c r="G606" t="b">
        <f t="shared" si="41"/>
        <v>1</v>
      </c>
      <c r="H606">
        <v>0.37794303444882815</v>
      </c>
    </row>
    <row r="607" spans="1:8" x14ac:dyDescent="0.35">
      <c r="A607" s="13">
        <v>43249</v>
      </c>
      <c r="B607" s="14">
        <v>5438.06</v>
      </c>
      <c r="C607" s="2">
        <f t="shared" si="38"/>
        <v>-1.286456716640072E-2</v>
      </c>
      <c r="D607">
        <f t="shared" si="39"/>
        <v>0</v>
      </c>
      <c r="E607">
        <v>0.3332180491809531</v>
      </c>
      <c r="F607">
        <f t="shared" si="40"/>
        <v>0</v>
      </c>
      <c r="G607" t="b">
        <f t="shared" si="41"/>
        <v>1</v>
      </c>
      <c r="H607">
        <v>0.37794297168781249</v>
      </c>
    </row>
    <row r="608" spans="1:8" x14ac:dyDescent="0.35">
      <c r="A608" s="13">
        <v>43250</v>
      </c>
      <c r="B608" s="14">
        <v>5427.35</v>
      </c>
      <c r="C608" s="2">
        <f t="shared" si="38"/>
        <v>-1.9694523414600651E-3</v>
      </c>
      <c r="D608">
        <f t="shared" si="39"/>
        <v>0</v>
      </c>
      <c r="E608">
        <v>0.24997089865484304</v>
      </c>
      <c r="F608">
        <f t="shared" si="40"/>
        <v>0</v>
      </c>
      <c r="G608" t="b">
        <f t="shared" si="41"/>
        <v>1</v>
      </c>
      <c r="H608">
        <v>0.37794292423327053</v>
      </c>
    </row>
    <row r="609" spans="1:8" x14ac:dyDescent="0.35">
      <c r="A609" s="13">
        <v>43251</v>
      </c>
      <c r="B609" s="14">
        <v>5398.4</v>
      </c>
      <c r="C609" s="2">
        <f t="shared" si="38"/>
        <v>-5.3340949081965849E-3</v>
      </c>
      <c r="D609">
        <f t="shared" si="39"/>
        <v>0</v>
      </c>
      <c r="E609">
        <v>0.19775666827453245</v>
      </c>
      <c r="F609">
        <f t="shared" si="40"/>
        <v>0</v>
      </c>
      <c r="G609" t="b">
        <f t="shared" si="41"/>
        <v>1</v>
      </c>
      <c r="H609">
        <v>0.37794288955597355</v>
      </c>
    </row>
    <row r="610" spans="1:8" x14ac:dyDescent="0.35">
      <c r="A610" s="13">
        <v>43252</v>
      </c>
      <c r="B610" s="14">
        <v>5465.53</v>
      </c>
      <c r="C610" s="2">
        <f t="shared" si="38"/>
        <v>1.2435165975103857E-2</v>
      </c>
      <c r="D610">
        <f t="shared" si="39"/>
        <v>1</v>
      </c>
      <c r="E610">
        <v>0.16556603445343124</v>
      </c>
      <c r="F610">
        <f t="shared" si="40"/>
        <v>0</v>
      </c>
      <c r="G610" t="b">
        <f t="shared" si="41"/>
        <v>0</v>
      </c>
      <c r="H610">
        <v>0.37794291254801049</v>
      </c>
    </row>
    <row r="611" spans="1:8" x14ac:dyDescent="0.35">
      <c r="A611" s="13">
        <v>43255</v>
      </c>
      <c r="B611" s="14">
        <v>5472.91</v>
      </c>
      <c r="C611" s="2">
        <f t="shared" si="38"/>
        <v>1.3502807595970889E-3</v>
      </c>
      <c r="D611">
        <f t="shared" si="39"/>
        <v>1</v>
      </c>
      <c r="E611">
        <v>0.18511823566038466</v>
      </c>
      <c r="F611">
        <f t="shared" si="40"/>
        <v>0</v>
      </c>
      <c r="G611" t="b">
        <f t="shared" si="41"/>
        <v>0</v>
      </c>
      <c r="H611">
        <v>0.37794296582888931</v>
      </c>
    </row>
    <row r="612" spans="1:8" x14ac:dyDescent="0.35">
      <c r="A612" s="13">
        <v>43256</v>
      </c>
      <c r="B612" s="14">
        <v>5460.95</v>
      </c>
      <c r="C612" s="2">
        <f t="shared" si="38"/>
        <v>-2.1853090951614584E-3</v>
      </c>
      <c r="D612">
        <f t="shared" si="39"/>
        <v>0</v>
      </c>
      <c r="E612">
        <v>0.23977700286056539</v>
      </c>
      <c r="F612">
        <f t="shared" si="40"/>
        <v>0</v>
      </c>
      <c r="G612" t="b">
        <f t="shared" si="41"/>
        <v>1</v>
      </c>
      <c r="H612">
        <v>0.37794297757842049</v>
      </c>
    </row>
    <row r="613" spans="1:8" x14ac:dyDescent="0.35">
      <c r="A613" s="13">
        <v>43257</v>
      </c>
      <c r="B613" s="14">
        <v>5457.56</v>
      </c>
      <c r="C613" s="2">
        <f t="shared" si="38"/>
        <v>-6.2077111125347084E-4</v>
      </c>
      <c r="D613">
        <f t="shared" si="39"/>
        <v>0</v>
      </c>
      <c r="E613">
        <v>0.25304800397177429</v>
      </c>
      <c r="F613">
        <f t="shared" si="40"/>
        <v>0</v>
      </c>
      <c r="G613" t="b">
        <f t="shared" si="41"/>
        <v>1</v>
      </c>
      <c r="H613">
        <v>0.37794296718835441</v>
      </c>
    </row>
    <row r="614" spans="1:8" x14ac:dyDescent="0.35">
      <c r="A614" s="13">
        <v>43258</v>
      </c>
      <c r="B614" s="14">
        <v>5448.36</v>
      </c>
      <c r="C614" s="2">
        <f t="shared" si="38"/>
        <v>-1.6857350171139984E-3</v>
      </c>
      <c r="D614">
        <f t="shared" si="39"/>
        <v>0</v>
      </c>
      <c r="E614">
        <v>0.2408160008132634</v>
      </c>
      <c r="F614">
        <f t="shared" si="40"/>
        <v>0</v>
      </c>
      <c r="G614" t="b">
        <f t="shared" si="41"/>
        <v>1</v>
      </c>
      <c r="H614">
        <v>0.37794294698291836</v>
      </c>
    </row>
    <row r="615" spans="1:8" x14ac:dyDescent="0.35">
      <c r="A615" s="13">
        <v>43259</v>
      </c>
      <c r="B615" s="14">
        <v>5450.22</v>
      </c>
      <c r="C615" s="2">
        <f t="shared" si="38"/>
        <v>3.4138713300890799E-4</v>
      </c>
      <c r="D615">
        <f t="shared" si="39"/>
        <v>1</v>
      </c>
      <c r="E615">
        <v>0.21849011314664238</v>
      </c>
      <c r="F615">
        <f t="shared" si="40"/>
        <v>0</v>
      </c>
      <c r="G615" t="b">
        <f t="shared" si="41"/>
        <v>0</v>
      </c>
      <c r="H615">
        <v>0.37794298193844239</v>
      </c>
    </row>
    <row r="616" spans="1:8" x14ac:dyDescent="0.35">
      <c r="A616" s="13">
        <v>43262</v>
      </c>
      <c r="B616" s="14">
        <v>5473.91</v>
      </c>
      <c r="C616" s="2">
        <f t="shared" si="38"/>
        <v>4.346613531196919E-3</v>
      </c>
      <c r="D616">
        <f t="shared" si="39"/>
        <v>1</v>
      </c>
      <c r="E616">
        <v>0.25834607932145459</v>
      </c>
      <c r="F616">
        <f t="shared" si="40"/>
        <v>0</v>
      </c>
      <c r="G616" t="b">
        <f t="shared" si="41"/>
        <v>0</v>
      </c>
      <c r="H616">
        <v>0.37794304629724307</v>
      </c>
    </row>
    <row r="617" spans="1:8" x14ac:dyDescent="0.35">
      <c r="A617" s="13">
        <v>43263</v>
      </c>
      <c r="B617" s="14">
        <v>5453.37</v>
      </c>
      <c r="C617" s="2">
        <f t="shared" si="38"/>
        <v>-3.7523452157598447E-3</v>
      </c>
      <c r="D617">
        <f t="shared" si="39"/>
        <v>0</v>
      </c>
      <c r="E617">
        <v>0.34470250095991334</v>
      </c>
      <c r="F617">
        <f t="shared" si="40"/>
        <v>0</v>
      </c>
      <c r="G617" t="b">
        <f t="shared" si="41"/>
        <v>1</v>
      </c>
      <c r="H617">
        <v>0.3779430531420343</v>
      </c>
    </row>
    <row r="618" spans="1:8" x14ac:dyDescent="0.35">
      <c r="A618" s="13">
        <v>43264</v>
      </c>
      <c r="B618" s="14">
        <v>5452.73</v>
      </c>
      <c r="C618" s="2">
        <f t="shared" si="38"/>
        <v>-1.1735862411688114E-4</v>
      </c>
      <c r="D618">
        <f t="shared" si="39"/>
        <v>0</v>
      </c>
      <c r="E618">
        <v>0.35389875229342405</v>
      </c>
      <c r="F618">
        <f t="shared" si="40"/>
        <v>0</v>
      </c>
      <c r="G618" t="b">
        <f t="shared" si="41"/>
        <v>1</v>
      </c>
      <c r="H618">
        <v>0.37794302982772027</v>
      </c>
    </row>
    <row r="619" spans="1:8" x14ac:dyDescent="0.35">
      <c r="A619" s="13">
        <v>43265</v>
      </c>
      <c r="B619" s="14">
        <v>5528.46</v>
      </c>
      <c r="C619" s="2">
        <f t="shared" si="38"/>
        <v>1.3888455874397021E-2</v>
      </c>
      <c r="D619">
        <f t="shared" si="39"/>
        <v>1</v>
      </c>
      <c r="E619">
        <v>0.31993840751878933</v>
      </c>
      <c r="F619">
        <f t="shared" si="40"/>
        <v>0</v>
      </c>
      <c r="G619" t="b">
        <f t="shared" si="41"/>
        <v>0</v>
      </c>
      <c r="H619">
        <v>0.37794306643299114</v>
      </c>
    </row>
    <row r="620" spans="1:8" x14ac:dyDescent="0.35">
      <c r="A620" s="13">
        <v>43266</v>
      </c>
      <c r="B620" s="14">
        <v>5501.88</v>
      </c>
      <c r="C620" s="2">
        <f t="shared" si="38"/>
        <v>-4.8078488403642261E-3</v>
      </c>
      <c r="D620">
        <f t="shared" si="39"/>
        <v>0</v>
      </c>
      <c r="E620">
        <v>0.37400769701963393</v>
      </c>
      <c r="F620">
        <f t="shared" si="40"/>
        <v>0</v>
      </c>
      <c r="G620" t="b">
        <f t="shared" si="41"/>
        <v>1</v>
      </c>
      <c r="H620">
        <v>0.37794305619973317</v>
      </c>
    </row>
    <row r="621" spans="1:8" x14ac:dyDescent="0.35">
      <c r="A621" s="13">
        <v>43269</v>
      </c>
      <c r="B621" s="14">
        <v>5450.48</v>
      </c>
      <c r="C621" s="2">
        <f t="shared" si="38"/>
        <v>-9.3422611907203468E-3</v>
      </c>
      <c r="D621">
        <f t="shared" si="39"/>
        <v>0</v>
      </c>
      <c r="E621">
        <v>0.35843806494764352</v>
      </c>
      <c r="F621">
        <f t="shared" si="40"/>
        <v>0</v>
      </c>
      <c r="G621" t="b">
        <f t="shared" si="41"/>
        <v>1</v>
      </c>
      <c r="H621">
        <v>0.37794302380020323</v>
      </c>
    </row>
    <row r="622" spans="1:8" x14ac:dyDescent="0.35">
      <c r="A622" s="13">
        <v>43270</v>
      </c>
      <c r="B622" s="14">
        <v>5390.63</v>
      </c>
      <c r="C622" s="2">
        <f t="shared" si="38"/>
        <v>-1.09806842700092E-2</v>
      </c>
      <c r="D622">
        <f t="shared" si="39"/>
        <v>0</v>
      </c>
      <c r="E622">
        <v>0.31190784626240686</v>
      </c>
      <c r="F622">
        <f t="shared" si="40"/>
        <v>0</v>
      </c>
      <c r="G622" t="b">
        <f t="shared" si="41"/>
        <v>1</v>
      </c>
      <c r="H622">
        <v>0.3779429853247841</v>
      </c>
    </row>
    <row r="623" spans="1:8" x14ac:dyDescent="0.35">
      <c r="A623" s="13">
        <v>43271</v>
      </c>
      <c r="B623" s="14">
        <v>5372.31</v>
      </c>
      <c r="C623" s="2">
        <f t="shared" si="38"/>
        <v>-3.3984896014008781E-3</v>
      </c>
      <c r="D623">
        <f t="shared" si="39"/>
        <v>0</v>
      </c>
      <c r="E623">
        <v>0.26154086913477631</v>
      </c>
      <c r="F623">
        <f t="shared" si="40"/>
        <v>0</v>
      </c>
      <c r="G623" t="b">
        <f t="shared" si="41"/>
        <v>1</v>
      </c>
      <c r="H623">
        <v>0.37794294897425146</v>
      </c>
    </row>
    <row r="624" spans="1:8" x14ac:dyDescent="0.35">
      <c r="A624" s="13">
        <v>43272</v>
      </c>
      <c r="B624" s="14">
        <v>5316.01</v>
      </c>
      <c r="C624" s="2">
        <f t="shared" si="38"/>
        <v>-1.0479663310568488E-2</v>
      </c>
      <c r="D624">
        <f t="shared" si="39"/>
        <v>0</v>
      </c>
      <c r="E624">
        <v>0.21952662873652409</v>
      </c>
      <c r="F624">
        <f t="shared" si="40"/>
        <v>0</v>
      </c>
      <c r="G624" t="b">
        <f t="shared" si="41"/>
        <v>1</v>
      </c>
      <c r="H624">
        <v>0.37794291791630419</v>
      </c>
    </row>
    <row r="625" spans="1:8" x14ac:dyDescent="0.35">
      <c r="A625" s="13">
        <v>43273</v>
      </c>
      <c r="B625" s="14">
        <v>5387.38</v>
      </c>
      <c r="C625" s="2">
        <f t="shared" si="38"/>
        <v>1.3425482645818887E-2</v>
      </c>
      <c r="D625">
        <f t="shared" si="39"/>
        <v>1</v>
      </c>
      <c r="E625">
        <v>0.18797392421921333</v>
      </c>
      <c r="F625">
        <f t="shared" si="40"/>
        <v>0</v>
      </c>
      <c r="G625" t="b">
        <f t="shared" si="41"/>
        <v>0</v>
      </c>
      <c r="H625">
        <v>0.37794294461523797</v>
      </c>
    </row>
    <row r="626" spans="1:8" x14ac:dyDescent="0.35">
      <c r="A626" s="13">
        <v>43276</v>
      </c>
      <c r="B626" s="14">
        <v>5283.86</v>
      </c>
      <c r="C626" s="2">
        <f t="shared" si="38"/>
        <v>-1.9215277184828294E-2</v>
      </c>
      <c r="D626">
        <f t="shared" si="39"/>
        <v>0</v>
      </c>
      <c r="E626">
        <v>0.21447970468325081</v>
      </c>
      <c r="F626">
        <f t="shared" si="40"/>
        <v>0</v>
      </c>
      <c r="G626" t="b">
        <f t="shared" si="41"/>
        <v>1</v>
      </c>
      <c r="H626">
        <v>0.37794294579497539</v>
      </c>
    </row>
    <row r="627" spans="1:8" x14ac:dyDescent="0.35">
      <c r="A627" s="13">
        <v>43277</v>
      </c>
      <c r="B627" s="14">
        <v>5281.29</v>
      </c>
      <c r="C627" s="2">
        <f t="shared" si="38"/>
        <v>-4.8638684598001358E-4</v>
      </c>
      <c r="D627">
        <f t="shared" si="39"/>
        <v>0</v>
      </c>
      <c r="E627">
        <v>0.21549110339173982</v>
      </c>
      <c r="F627">
        <f t="shared" si="40"/>
        <v>0</v>
      </c>
      <c r="G627" t="b">
        <f t="shared" si="41"/>
        <v>1</v>
      </c>
      <c r="H627">
        <v>0.37794293372206755</v>
      </c>
    </row>
    <row r="628" spans="1:8" x14ac:dyDescent="0.35">
      <c r="A628" s="13">
        <v>43278</v>
      </c>
      <c r="B628" s="14">
        <v>5327.2</v>
      </c>
      <c r="C628" s="2">
        <f t="shared" si="38"/>
        <v>8.6929519113700948E-3</v>
      </c>
      <c r="D628">
        <f t="shared" si="39"/>
        <v>1</v>
      </c>
      <c r="E628">
        <v>0.20321058335305842</v>
      </c>
      <c r="F628">
        <f t="shared" si="40"/>
        <v>0</v>
      </c>
      <c r="G628" t="b">
        <f t="shared" si="41"/>
        <v>0</v>
      </c>
      <c r="H628">
        <v>0.37794297165332652</v>
      </c>
    </row>
    <row r="629" spans="1:8" x14ac:dyDescent="0.35">
      <c r="A629" s="13">
        <v>43279</v>
      </c>
      <c r="B629" s="14">
        <v>5275.64</v>
      </c>
      <c r="C629" s="2">
        <f t="shared" si="38"/>
        <v>-9.6786304249886213E-3</v>
      </c>
      <c r="D629">
        <f t="shared" si="39"/>
        <v>0</v>
      </c>
      <c r="E629">
        <v>0.24416223705159706</v>
      </c>
      <c r="F629">
        <f t="shared" si="40"/>
        <v>0</v>
      </c>
      <c r="G629" t="b">
        <f t="shared" si="41"/>
        <v>1</v>
      </c>
      <c r="H629">
        <v>0.37794297520238135</v>
      </c>
    </row>
    <row r="630" spans="1:8" x14ac:dyDescent="0.35">
      <c r="A630" s="13">
        <v>43280</v>
      </c>
      <c r="B630" s="14">
        <v>5323.53</v>
      </c>
      <c r="C630" s="2">
        <f t="shared" si="38"/>
        <v>9.077571631119552E-3</v>
      </c>
      <c r="D630">
        <f t="shared" si="39"/>
        <v>1</v>
      </c>
      <c r="E630">
        <v>0.24836075828604751</v>
      </c>
      <c r="F630">
        <f t="shared" si="40"/>
        <v>0</v>
      </c>
      <c r="G630" t="b">
        <f t="shared" si="41"/>
        <v>0</v>
      </c>
      <c r="H630">
        <v>0.37794302466040741</v>
      </c>
    </row>
    <row r="631" spans="1:8" x14ac:dyDescent="0.35">
      <c r="A631" s="13">
        <v>43283</v>
      </c>
      <c r="B631" s="14">
        <v>5276.76</v>
      </c>
      <c r="C631" s="2">
        <f t="shared" si="38"/>
        <v>-8.7855238911022093E-3</v>
      </c>
      <c r="D631">
        <f t="shared" si="39"/>
        <v>0</v>
      </c>
      <c r="E631">
        <v>0.31045447201278398</v>
      </c>
      <c r="F631">
        <f t="shared" si="40"/>
        <v>0</v>
      </c>
      <c r="G631" t="b">
        <f t="shared" si="41"/>
        <v>1</v>
      </c>
      <c r="H631">
        <v>0.37794302734763996</v>
      </c>
    </row>
    <row r="632" spans="1:8" x14ac:dyDescent="0.35">
      <c r="A632" s="13">
        <v>43284</v>
      </c>
      <c r="B632" s="14">
        <v>5316.77</v>
      </c>
      <c r="C632" s="2">
        <f t="shared" si="38"/>
        <v>7.5823042927858353E-3</v>
      </c>
      <c r="D632">
        <f t="shared" si="39"/>
        <v>1</v>
      </c>
      <c r="E632">
        <v>0.3133337971691223</v>
      </c>
      <c r="F632">
        <f t="shared" si="40"/>
        <v>0</v>
      </c>
      <c r="G632" t="b">
        <f t="shared" si="41"/>
        <v>0</v>
      </c>
      <c r="H632">
        <v>0.37794307764443719</v>
      </c>
    </row>
    <row r="633" spans="1:8" x14ac:dyDescent="0.35">
      <c r="A633" s="13">
        <v>43285</v>
      </c>
      <c r="B633" s="14">
        <v>5320.5</v>
      </c>
      <c r="C633" s="2">
        <f t="shared" si="38"/>
        <v>7.0155376290492732E-4</v>
      </c>
      <c r="D633">
        <f t="shared" si="39"/>
        <v>1</v>
      </c>
      <c r="E633">
        <v>0.38620312128542894</v>
      </c>
      <c r="F633">
        <f t="shared" si="40"/>
        <v>0</v>
      </c>
      <c r="G633" t="b">
        <f t="shared" si="41"/>
        <v>0</v>
      </c>
      <c r="H633">
        <v>0.37794314994546702</v>
      </c>
    </row>
    <row r="634" spans="1:8" x14ac:dyDescent="0.35">
      <c r="A634" s="13">
        <v>43286</v>
      </c>
      <c r="B634" s="14">
        <v>5366.32</v>
      </c>
      <c r="C634" s="2">
        <f t="shared" si="38"/>
        <v>8.6119725589699492E-3</v>
      </c>
      <c r="D634">
        <f t="shared" si="39"/>
        <v>1</v>
      </c>
      <c r="E634">
        <v>0.50204748541043409</v>
      </c>
      <c r="F634">
        <f t="shared" si="40"/>
        <v>1</v>
      </c>
      <c r="G634" t="b">
        <f t="shared" si="41"/>
        <v>1</v>
      </c>
      <c r="H634">
        <v>0.37794322523044588</v>
      </c>
    </row>
    <row r="635" spans="1:8" x14ac:dyDescent="0.35">
      <c r="A635" s="13">
        <v>43287</v>
      </c>
      <c r="B635" s="14">
        <v>5375.77</v>
      </c>
      <c r="C635" s="2">
        <f t="shared" si="38"/>
        <v>1.7609833181773116E-3</v>
      </c>
      <c r="D635">
        <f t="shared" si="39"/>
        <v>1</v>
      </c>
      <c r="E635">
        <v>0.62502565971102875</v>
      </c>
      <c r="F635">
        <f t="shared" si="40"/>
        <v>1</v>
      </c>
      <c r="G635" t="b">
        <f t="shared" si="41"/>
        <v>1</v>
      </c>
      <c r="H635">
        <v>0.37794329006038907</v>
      </c>
    </row>
    <row r="636" spans="1:8" x14ac:dyDescent="0.35">
      <c r="A636" s="13">
        <v>43290</v>
      </c>
      <c r="B636" s="14">
        <v>5398.11</v>
      </c>
      <c r="C636" s="2">
        <f t="shared" si="38"/>
        <v>4.1556837439100658E-3</v>
      </c>
      <c r="D636">
        <f t="shared" si="39"/>
        <v>1</v>
      </c>
      <c r="E636">
        <v>0.72140813239923318</v>
      </c>
      <c r="F636">
        <f t="shared" si="40"/>
        <v>1</v>
      </c>
      <c r="G636" t="b">
        <f t="shared" si="41"/>
        <v>1</v>
      </c>
      <c r="H636">
        <v>0.37794333950287384</v>
      </c>
    </row>
    <row r="637" spans="1:8" x14ac:dyDescent="0.35">
      <c r="A637" s="13">
        <v>43291</v>
      </c>
      <c r="B637" s="14">
        <v>5434.36</v>
      </c>
      <c r="C637" s="2">
        <f t="shared" si="38"/>
        <v>6.715313322625871E-3</v>
      </c>
      <c r="D637">
        <f t="shared" si="39"/>
        <v>1</v>
      </c>
      <c r="E637">
        <v>0.78457344638413851</v>
      </c>
      <c r="F637">
        <f t="shared" si="40"/>
        <v>1</v>
      </c>
      <c r="G637" t="b">
        <f t="shared" si="41"/>
        <v>1</v>
      </c>
      <c r="H637">
        <v>0.37794337511339932</v>
      </c>
    </row>
    <row r="638" spans="1:8" x14ac:dyDescent="0.35">
      <c r="A638" s="13">
        <v>43292</v>
      </c>
      <c r="B638" s="14">
        <v>5353.93</v>
      </c>
      <c r="C638" s="2">
        <f t="shared" si="38"/>
        <v>-1.4800270869062659E-2</v>
      </c>
      <c r="D638">
        <f t="shared" si="39"/>
        <v>0</v>
      </c>
      <c r="E638">
        <v>0.82371284483289131</v>
      </c>
      <c r="F638">
        <f t="shared" si="40"/>
        <v>1</v>
      </c>
      <c r="G638" t="b">
        <f t="shared" si="41"/>
        <v>0</v>
      </c>
      <c r="H638">
        <v>0.37794335688471675</v>
      </c>
    </row>
    <row r="639" spans="1:8" x14ac:dyDescent="0.35">
      <c r="A639" s="13">
        <v>43293</v>
      </c>
      <c r="B639" s="14">
        <v>5405.9</v>
      </c>
      <c r="C639" s="2">
        <f t="shared" si="38"/>
        <v>9.7068882110897814E-3</v>
      </c>
      <c r="D639">
        <f t="shared" si="39"/>
        <v>1</v>
      </c>
      <c r="E639">
        <v>0.80350315141452111</v>
      </c>
      <c r="F639">
        <f t="shared" si="40"/>
        <v>1</v>
      </c>
      <c r="G639" t="b">
        <f t="shared" si="41"/>
        <v>1</v>
      </c>
      <c r="H639">
        <v>0.37794335714038674</v>
      </c>
    </row>
    <row r="640" spans="1:8" x14ac:dyDescent="0.35">
      <c r="A640" s="13">
        <v>43294</v>
      </c>
      <c r="B640" s="14">
        <v>5429.2</v>
      </c>
      <c r="C640" s="2">
        <f t="shared" si="38"/>
        <v>4.3101056253354031E-3</v>
      </c>
      <c r="D640">
        <f t="shared" si="39"/>
        <v>1</v>
      </c>
      <c r="E640">
        <v>0.80353682746225608</v>
      </c>
      <c r="F640">
        <f t="shared" si="40"/>
        <v>1</v>
      </c>
      <c r="G640" t="b">
        <f t="shared" si="41"/>
        <v>1</v>
      </c>
      <c r="H640">
        <v>0.37794336653473831</v>
      </c>
    </row>
    <row r="641" spans="1:8" x14ac:dyDescent="0.35">
      <c r="A641" s="13">
        <v>43297</v>
      </c>
      <c r="B641" s="14">
        <v>5409.43</v>
      </c>
      <c r="C641" s="2">
        <f t="shared" si="38"/>
        <v>-3.6414204671036954E-3</v>
      </c>
      <c r="D641">
        <f t="shared" si="39"/>
        <v>0</v>
      </c>
      <c r="E641">
        <v>0.81389596311302626</v>
      </c>
      <c r="F641">
        <f t="shared" si="40"/>
        <v>1</v>
      </c>
      <c r="G641" t="b">
        <f t="shared" si="41"/>
        <v>0</v>
      </c>
      <c r="H641">
        <v>0.37794333404138142</v>
      </c>
    </row>
    <row r="642" spans="1:8" x14ac:dyDescent="0.35">
      <c r="A642" s="13">
        <v>43298</v>
      </c>
      <c r="B642" s="14">
        <v>5422.54</v>
      </c>
      <c r="C642" s="2">
        <f t="shared" si="38"/>
        <v>2.4235455491612434E-3</v>
      </c>
      <c r="D642">
        <f t="shared" si="39"/>
        <v>1</v>
      </c>
      <c r="E642">
        <v>0.77612528681488635</v>
      </c>
      <c r="F642">
        <f t="shared" si="40"/>
        <v>1</v>
      </c>
      <c r="G642" t="b">
        <f t="shared" si="41"/>
        <v>1</v>
      </c>
      <c r="H642">
        <v>0.37794332960113858</v>
      </c>
    </row>
    <row r="643" spans="1:8" x14ac:dyDescent="0.35">
      <c r="A643" s="13">
        <v>43299</v>
      </c>
      <c r="B643" s="14">
        <v>5447.44</v>
      </c>
      <c r="C643" s="2">
        <f t="shared" si="38"/>
        <v>4.591943996724801E-3</v>
      </c>
      <c r="D643">
        <f t="shared" si="39"/>
        <v>1</v>
      </c>
      <c r="E643">
        <v>0.77046150580086914</v>
      </c>
      <c r="F643">
        <f t="shared" si="40"/>
        <v>1</v>
      </c>
      <c r="G643" t="b">
        <f t="shared" si="41"/>
        <v>1</v>
      </c>
      <c r="H643">
        <v>0.37794333960174281</v>
      </c>
    </row>
    <row r="644" spans="1:8" x14ac:dyDescent="0.35">
      <c r="A644" s="13">
        <v>43300</v>
      </c>
      <c r="B644" s="14">
        <v>5417.07</v>
      </c>
      <c r="C644" s="2">
        <f t="shared" ref="C644:C707" si="42">(B644/B643)-1</f>
        <v>-5.575095824827736E-3</v>
      </c>
      <c r="D644">
        <f t="shared" si="39"/>
        <v>0</v>
      </c>
      <c r="E644">
        <v>0.78282441605922248</v>
      </c>
      <c r="F644">
        <f t="shared" si="40"/>
        <v>1</v>
      </c>
      <c r="G644" t="b">
        <f t="shared" si="41"/>
        <v>0</v>
      </c>
      <c r="H644">
        <v>0.37794330375656771</v>
      </c>
    </row>
    <row r="645" spans="1:8" x14ac:dyDescent="0.35">
      <c r="A645" s="13">
        <v>43301</v>
      </c>
      <c r="B645" s="14">
        <v>5398.32</v>
      </c>
      <c r="C645" s="2">
        <f t="shared" si="42"/>
        <v>-3.4612807292503378E-3</v>
      </c>
      <c r="D645">
        <f t="shared" si="39"/>
        <v>0</v>
      </c>
      <c r="E645">
        <v>0.73714885700670008</v>
      </c>
      <c r="F645">
        <f t="shared" si="40"/>
        <v>1</v>
      </c>
      <c r="G645" t="b">
        <f t="shared" si="41"/>
        <v>0</v>
      </c>
      <c r="H645">
        <v>0.37794324109814298</v>
      </c>
    </row>
    <row r="646" spans="1:8" x14ac:dyDescent="0.35">
      <c r="A646" s="13">
        <v>43304</v>
      </c>
      <c r="B646" s="14">
        <v>5378.25</v>
      </c>
      <c r="C646" s="2">
        <f t="shared" si="42"/>
        <v>-3.7178233228114532E-3</v>
      </c>
      <c r="D646">
        <f t="shared" ref="D646:D709" si="43">IF(C646&gt;=0,1,0)</f>
        <v>0</v>
      </c>
      <c r="E646">
        <v>0.64536983028556882</v>
      </c>
      <c r="F646">
        <f t="shared" si="40"/>
        <v>1</v>
      </c>
      <c r="G646" t="b">
        <f t="shared" si="41"/>
        <v>0</v>
      </c>
      <c r="H646">
        <v>0.37794316305840459</v>
      </c>
    </row>
    <row r="647" spans="1:8" x14ac:dyDescent="0.35">
      <c r="A647" s="13">
        <v>43305</v>
      </c>
      <c r="B647" s="14">
        <v>5434.19</v>
      </c>
      <c r="C647" s="2">
        <f t="shared" si="42"/>
        <v>1.0401152791335466E-2</v>
      </c>
      <c r="D647">
        <f t="shared" si="43"/>
        <v>1</v>
      </c>
      <c r="E647">
        <v>0.51653561558618633</v>
      </c>
      <c r="F647">
        <f t="shared" si="40"/>
        <v>1</v>
      </c>
      <c r="G647" t="b">
        <f t="shared" si="41"/>
        <v>1</v>
      </c>
      <c r="H647">
        <v>0.37794316278343465</v>
      </c>
    </row>
    <row r="648" spans="1:8" x14ac:dyDescent="0.35">
      <c r="A648" s="13">
        <v>43306</v>
      </c>
      <c r="B648" s="14">
        <v>5426.41</v>
      </c>
      <c r="C648" s="2">
        <f t="shared" si="42"/>
        <v>-1.431676109962976E-3</v>
      </c>
      <c r="D648">
        <f t="shared" si="43"/>
        <v>0</v>
      </c>
      <c r="E648">
        <v>0.51462227235668467</v>
      </c>
      <c r="F648">
        <f t="shared" si="40"/>
        <v>1</v>
      </c>
      <c r="G648" t="b">
        <f t="shared" si="41"/>
        <v>0</v>
      </c>
      <c r="H648">
        <v>0.37794312153561682</v>
      </c>
    </row>
    <row r="649" spans="1:8" x14ac:dyDescent="0.35">
      <c r="A649" s="13">
        <v>43307</v>
      </c>
      <c r="B649" s="14">
        <v>5480.55</v>
      </c>
      <c r="C649" s="2">
        <f t="shared" si="42"/>
        <v>9.9771303679596635E-3</v>
      </c>
      <c r="D649">
        <f t="shared" si="43"/>
        <v>1</v>
      </c>
      <c r="E649">
        <v>0.44516586938600594</v>
      </c>
      <c r="F649">
        <f t="shared" ref="F649:F712" si="44">IF(E649&gt;=0.5,1,0)</f>
        <v>0</v>
      </c>
      <c r="G649" t="b">
        <f t="shared" ref="G649:G712" si="45">IF(D649=F649,TRUE,FALSE)</f>
        <v>0</v>
      </c>
      <c r="H649">
        <v>0.3779431447354008</v>
      </c>
    </row>
    <row r="650" spans="1:8" x14ac:dyDescent="0.35">
      <c r="A650" s="13">
        <v>43308</v>
      </c>
      <c r="B650" s="14">
        <v>5511.76</v>
      </c>
      <c r="C650" s="2">
        <f t="shared" si="42"/>
        <v>5.6946839277078887E-3</v>
      </c>
      <c r="D650">
        <f t="shared" si="43"/>
        <v>1</v>
      </c>
      <c r="E650">
        <v>0.48331929995139078</v>
      </c>
      <c r="F650">
        <f t="shared" si="44"/>
        <v>0</v>
      </c>
      <c r="G650" t="b">
        <f t="shared" si="45"/>
        <v>0</v>
      </c>
      <c r="H650">
        <v>0.37794319680899841</v>
      </c>
    </row>
    <row r="651" spans="1:8" x14ac:dyDescent="0.35">
      <c r="A651" s="13">
        <v>43311</v>
      </c>
      <c r="B651" s="14">
        <v>5491.22</v>
      </c>
      <c r="C651" s="2">
        <f t="shared" si="42"/>
        <v>-3.7265773546018011E-3</v>
      </c>
      <c r="D651">
        <f t="shared" si="43"/>
        <v>0</v>
      </c>
      <c r="E651">
        <v>0.57104651765628933</v>
      </c>
      <c r="F651">
        <f t="shared" si="44"/>
        <v>1</v>
      </c>
      <c r="G651" t="b">
        <f t="shared" si="45"/>
        <v>0</v>
      </c>
      <c r="H651">
        <v>0.37794317865380039</v>
      </c>
    </row>
    <row r="652" spans="1:8" x14ac:dyDescent="0.35">
      <c r="A652" s="13">
        <v>43312</v>
      </c>
      <c r="B652" s="14">
        <v>5511.3</v>
      </c>
      <c r="C652" s="2">
        <f t="shared" si="42"/>
        <v>3.6567465881898187E-3</v>
      </c>
      <c r="D652">
        <f t="shared" si="43"/>
        <v>1</v>
      </c>
      <c r="E652">
        <v>0.54065882953649258</v>
      </c>
      <c r="F652">
        <f t="shared" si="44"/>
        <v>1</v>
      </c>
      <c r="G652" t="b">
        <f t="shared" si="45"/>
        <v>1</v>
      </c>
      <c r="H652">
        <v>0.37794320543638615</v>
      </c>
    </row>
    <row r="653" spans="1:8" x14ac:dyDescent="0.35">
      <c r="A653" s="13">
        <v>43313</v>
      </c>
      <c r="B653" s="14">
        <v>5498.37</v>
      </c>
      <c r="C653" s="2">
        <f t="shared" si="42"/>
        <v>-2.3460889445321431E-3</v>
      </c>
      <c r="D653">
        <f t="shared" si="43"/>
        <v>0</v>
      </c>
      <c r="E653">
        <v>0.58558709148752841</v>
      </c>
      <c r="F653">
        <f t="shared" si="44"/>
        <v>1</v>
      </c>
      <c r="G653" t="b">
        <f t="shared" si="45"/>
        <v>0</v>
      </c>
      <c r="H653">
        <v>0.37794317418783735</v>
      </c>
    </row>
    <row r="654" spans="1:8" x14ac:dyDescent="0.35">
      <c r="A654" s="13">
        <v>43314</v>
      </c>
      <c r="B654" s="14">
        <v>5460.98</v>
      </c>
      <c r="C654" s="2">
        <f t="shared" si="42"/>
        <v>-6.800197149336995E-3</v>
      </c>
      <c r="D654">
        <f t="shared" si="43"/>
        <v>0</v>
      </c>
      <c r="E654">
        <v>0.5331145013836518</v>
      </c>
      <c r="F654">
        <f t="shared" si="44"/>
        <v>1</v>
      </c>
      <c r="G654" t="b">
        <f t="shared" si="45"/>
        <v>0</v>
      </c>
      <c r="H654">
        <v>0.37794311622146737</v>
      </c>
    </row>
    <row r="655" spans="1:8" x14ac:dyDescent="0.35">
      <c r="A655" s="13">
        <v>43315</v>
      </c>
      <c r="B655" s="14">
        <v>5478.98</v>
      </c>
      <c r="C655" s="2">
        <f t="shared" si="42"/>
        <v>3.296111686913239E-3</v>
      </c>
      <c r="D655">
        <f t="shared" si="43"/>
        <v>1</v>
      </c>
      <c r="E655">
        <v>0.43595397699328797</v>
      </c>
      <c r="F655">
        <f t="shared" si="44"/>
        <v>0</v>
      </c>
      <c r="G655" t="b">
        <f t="shared" si="45"/>
        <v>0</v>
      </c>
      <c r="H655">
        <v>0.37794313148454084</v>
      </c>
    </row>
    <row r="656" spans="1:8" x14ac:dyDescent="0.35">
      <c r="A656" s="13">
        <v>43318</v>
      </c>
      <c r="B656" s="14">
        <v>5477.18</v>
      </c>
      <c r="C656" s="2">
        <f t="shared" si="42"/>
        <v>-3.2852830271312694E-4</v>
      </c>
      <c r="D656">
        <f t="shared" si="43"/>
        <v>0</v>
      </c>
      <c r="E656">
        <v>0.46098667541934102</v>
      </c>
      <c r="F656">
        <f t="shared" si="44"/>
        <v>0</v>
      </c>
      <c r="G656" t="b">
        <f t="shared" si="45"/>
        <v>1</v>
      </c>
      <c r="H656">
        <v>0.37794310266327502</v>
      </c>
    </row>
    <row r="657" spans="1:8" x14ac:dyDescent="0.35">
      <c r="A657" s="13">
        <v>43319</v>
      </c>
      <c r="B657" s="14">
        <v>5521.31</v>
      </c>
      <c r="C657" s="2">
        <f t="shared" si="42"/>
        <v>8.0570658623597691E-3</v>
      </c>
      <c r="D657">
        <f t="shared" si="43"/>
        <v>1</v>
      </c>
      <c r="E657">
        <v>0.41327892938515098</v>
      </c>
      <c r="F657">
        <f t="shared" si="44"/>
        <v>0</v>
      </c>
      <c r="G657" t="b">
        <f t="shared" si="45"/>
        <v>0</v>
      </c>
      <c r="H657">
        <v>0.37794313385600958</v>
      </c>
    </row>
    <row r="658" spans="1:8" x14ac:dyDescent="0.35">
      <c r="A658" s="13">
        <v>43320</v>
      </c>
      <c r="B658" s="14">
        <v>5501.9</v>
      </c>
      <c r="C658" s="2">
        <f t="shared" si="42"/>
        <v>-3.5154700605473099E-3</v>
      </c>
      <c r="D658">
        <f t="shared" si="43"/>
        <v>0</v>
      </c>
      <c r="E658">
        <v>0.46413236746400155</v>
      </c>
      <c r="F658">
        <f t="shared" si="44"/>
        <v>0</v>
      </c>
      <c r="G658" t="b">
        <f t="shared" si="45"/>
        <v>1</v>
      </c>
      <c r="H658">
        <v>0.37794311255482227</v>
      </c>
    </row>
    <row r="659" spans="1:8" x14ac:dyDescent="0.35">
      <c r="A659" s="13">
        <v>43321</v>
      </c>
      <c r="B659" s="14">
        <v>5502.25</v>
      </c>
      <c r="C659" s="2">
        <f t="shared" si="42"/>
        <v>6.3614387757038315E-5</v>
      </c>
      <c r="D659">
        <f t="shared" si="43"/>
        <v>1</v>
      </c>
      <c r="E659">
        <v>0.42874960156222197</v>
      </c>
      <c r="F659">
        <f t="shared" si="44"/>
        <v>0</v>
      </c>
      <c r="G659" t="b">
        <f t="shared" si="45"/>
        <v>0</v>
      </c>
      <c r="H659">
        <v>0.37794314663815681</v>
      </c>
    </row>
    <row r="660" spans="1:8" x14ac:dyDescent="0.35">
      <c r="A660" s="13">
        <v>43322</v>
      </c>
      <c r="B660" s="14">
        <v>5414.68</v>
      </c>
      <c r="C660" s="2">
        <f t="shared" si="42"/>
        <v>-1.5915307374255949E-2</v>
      </c>
      <c r="D660">
        <f t="shared" si="43"/>
        <v>0</v>
      </c>
      <c r="E660">
        <v>0.48506868829127642</v>
      </c>
      <c r="F660">
        <f t="shared" si="44"/>
        <v>0</v>
      </c>
      <c r="G660" t="b">
        <f t="shared" si="45"/>
        <v>1</v>
      </c>
      <c r="H660">
        <v>0.3779431246401187</v>
      </c>
    </row>
    <row r="661" spans="1:8" x14ac:dyDescent="0.35">
      <c r="A661" s="13">
        <v>43325</v>
      </c>
      <c r="B661" s="14">
        <v>5412.32</v>
      </c>
      <c r="C661" s="2">
        <f t="shared" si="42"/>
        <v>-4.3585216485564349E-4</v>
      </c>
      <c r="D661">
        <f t="shared" si="43"/>
        <v>0</v>
      </c>
      <c r="E661">
        <v>0.44890788964806139</v>
      </c>
      <c r="F661">
        <f t="shared" si="44"/>
        <v>0</v>
      </c>
      <c r="G661" t="b">
        <f t="shared" si="45"/>
        <v>1</v>
      </c>
      <c r="H661">
        <v>0.37794307711100184</v>
      </c>
    </row>
    <row r="662" spans="1:8" x14ac:dyDescent="0.35">
      <c r="A662" s="13">
        <v>43326</v>
      </c>
      <c r="B662" s="14">
        <v>5403.41</v>
      </c>
      <c r="C662" s="2">
        <f t="shared" si="42"/>
        <v>-1.646244124515861E-3</v>
      </c>
      <c r="D662">
        <f t="shared" si="43"/>
        <v>0</v>
      </c>
      <c r="E662">
        <v>0.37408102910789537</v>
      </c>
      <c r="F662">
        <f t="shared" si="44"/>
        <v>0</v>
      </c>
      <c r="G662" t="b">
        <f t="shared" si="45"/>
        <v>1</v>
      </c>
      <c r="H662">
        <v>0.37794302437596772</v>
      </c>
    </row>
    <row r="663" spans="1:8" x14ac:dyDescent="0.35">
      <c r="A663" s="13">
        <v>43327</v>
      </c>
      <c r="B663" s="14">
        <v>5305.22</v>
      </c>
      <c r="C663" s="2">
        <f t="shared" si="42"/>
        <v>-1.8171858141432851E-2</v>
      </c>
      <c r="D663">
        <f t="shared" si="43"/>
        <v>0</v>
      </c>
      <c r="E663">
        <v>0.29819195343082544</v>
      </c>
      <c r="F663">
        <f t="shared" si="44"/>
        <v>0</v>
      </c>
      <c r="G663" t="b">
        <f t="shared" si="45"/>
        <v>1</v>
      </c>
      <c r="H663">
        <v>0.37794297704781998</v>
      </c>
    </row>
    <row r="664" spans="1:8" x14ac:dyDescent="0.35">
      <c r="A664" s="13">
        <v>43328</v>
      </c>
      <c r="B664" s="14">
        <v>5349.02</v>
      </c>
      <c r="C664" s="2">
        <f t="shared" si="42"/>
        <v>8.2560195430161354E-3</v>
      </c>
      <c r="D664">
        <f t="shared" si="43"/>
        <v>1</v>
      </c>
      <c r="E664">
        <v>0.23887390860481114</v>
      </c>
      <c r="F664">
        <f t="shared" si="44"/>
        <v>0</v>
      </c>
      <c r="G664" t="b">
        <f t="shared" si="45"/>
        <v>0</v>
      </c>
      <c r="H664">
        <v>0.37794299996086217</v>
      </c>
    </row>
    <row r="665" spans="1:8" x14ac:dyDescent="0.35">
      <c r="A665" s="13">
        <v>43329</v>
      </c>
      <c r="B665" s="14">
        <v>5344.93</v>
      </c>
      <c r="C665" s="2">
        <f t="shared" si="42"/>
        <v>-7.6462604364913034E-4</v>
      </c>
      <c r="D665">
        <f t="shared" si="43"/>
        <v>0</v>
      </c>
      <c r="E665">
        <v>0.26570312954359132</v>
      </c>
      <c r="F665">
        <f t="shared" si="44"/>
        <v>0</v>
      </c>
      <c r="G665" t="b">
        <f t="shared" si="45"/>
        <v>1</v>
      </c>
      <c r="H665">
        <v>0.37794299406940274</v>
      </c>
    </row>
    <row r="666" spans="1:8" x14ac:dyDescent="0.35">
      <c r="A666" s="13">
        <v>43332</v>
      </c>
      <c r="B666" s="14">
        <v>5379.65</v>
      </c>
      <c r="C666" s="2">
        <f t="shared" si="42"/>
        <v>6.4958755306430138E-3</v>
      </c>
      <c r="D666">
        <f t="shared" si="43"/>
        <v>1</v>
      </c>
      <c r="E666">
        <v>0.25817844635488885</v>
      </c>
      <c r="F666">
        <f t="shared" si="44"/>
        <v>0</v>
      </c>
      <c r="G666" t="b">
        <f t="shared" si="45"/>
        <v>0</v>
      </c>
      <c r="H666">
        <v>0.37794303879674546</v>
      </c>
    </row>
    <row r="667" spans="1:8" x14ac:dyDescent="0.35">
      <c r="A667" s="13">
        <v>43333</v>
      </c>
      <c r="B667" s="14">
        <v>5408.6</v>
      </c>
      <c r="C667" s="2">
        <f t="shared" si="42"/>
        <v>5.3813909826849748E-3</v>
      </c>
      <c r="D667">
        <f t="shared" si="43"/>
        <v>1</v>
      </c>
      <c r="E667">
        <v>0.31582544585151878</v>
      </c>
      <c r="F667">
        <f t="shared" si="44"/>
        <v>0</v>
      </c>
      <c r="G667" t="b">
        <f t="shared" si="45"/>
        <v>0</v>
      </c>
      <c r="H667">
        <v>0.37794310965498329</v>
      </c>
    </row>
    <row r="668" spans="1:8" x14ac:dyDescent="0.35">
      <c r="A668" s="13">
        <v>43334</v>
      </c>
      <c r="B668" s="14">
        <v>5420.61</v>
      </c>
      <c r="C668" s="2">
        <f t="shared" si="42"/>
        <v>2.2205376622415063E-3</v>
      </c>
      <c r="D668">
        <f t="shared" si="43"/>
        <v>1</v>
      </c>
      <c r="E668">
        <v>0.42148778480911392</v>
      </c>
      <c r="F668">
        <f t="shared" si="44"/>
        <v>0</v>
      </c>
      <c r="G668" t="b">
        <f t="shared" si="45"/>
        <v>0</v>
      </c>
      <c r="H668">
        <v>0.37794319001285037</v>
      </c>
    </row>
    <row r="669" spans="1:8" x14ac:dyDescent="0.35">
      <c r="A669" s="13">
        <v>43335</v>
      </c>
      <c r="B669" s="14">
        <v>5419.33</v>
      </c>
      <c r="C669" s="2">
        <f t="shared" si="42"/>
        <v>-2.3613578545578218E-4</v>
      </c>
      <c r="D669">
        <f t="shared" si="43"/>
        <v>0</v>
      </c>
      <c r="E669">
        <v>0.55315187033681312</v>
      </c>
      <c r="F669">
        <f t="shared" si="44"/>
        <v>1</v>
      </c>
      <c r="G669" t="b">
        <f t="shared" si="45"/>
        <v>0</v>
      </c>
      <c r="H669">
        <v>0.37794318641349195</v>
      </c>
    </row>
    <row r="670" spans="1:8" x14ac:dyDescent="0.35">
      <c r="A670" s="13">
        <v>43336</v>
      </c>
      <c r="B670" s="14">
        <v>5432.5</v>
      </c>
      <c r="C670" s="2">
        <f t="shared" si="42"/>
        <v>2.4301897097980252E-3</v>
      </c>
      <c r="D670">
        <f t="shared" si="43"/>
        <v>1</v>
      </c>
      <c r="E670">
        <v>0.54635095057085536</v>
      </c>
      <c r="F670">
        <f t="shared" si="44"/>
        <v>1</v>
      </c>
      <c r="G670" t="b">
        <f t="shared" si="45"/>
        <v>1</v>
      </c>
      <c r="H670">
        <v>0.37794321999583413</v>
      </c>
    </row>
    <row r="671" spans="1:8" x14ac:dyDescent="0.35">
      <c r="A671" s="13">
        <v>43339</v>
      </c>
      <c r="B671" s="14">
        <v>5479.1</v>
      </c>
      <c r="C671" s="2">
        <f t="shared" si="42"/>
        <v>8.5780027611597198E-3</v>
      </c>
      <c r="D671">
        <f t="shared" si="43"/>
        <v>1</v>
      </c>
      <c r="E671">
        <v>0.60181991759688369</v>
      </c>
      <c r="F671">
        <f t="shared" si="44"/>
        <v>1</v>
      </c>
      <c r="G671" t="b">
        <f t="shared" si="45"/>
        <v>1</v>
      </c>
      <c r="H671">
        <v>0.37794326615801355</v>
      </c>
    </row>
    <row r="672" spans="1:8" x14ac:dyDescent="0.35">
      <c r="A672" s="13">
        <v>43340</v>
      </c>
      <c r="B672" s="14">
        <v>5484.99</v>
      </c>
      <c r="C672" s="2">
        <f t="shared" si="42"/>
        <v>1.0749940683687509E-3</v>
      </c>
      <c r="D672">
        <f t="shared" si="43"/>
        <v>1</v>
      </c>
      <c r="E672">
        <v>0.67512028479646513</v>
      </c>
      <c r="F672">
        <f t="shared" si="44"/>
        <v>1</v>
      </c>
      <c r="G672" t="b">
        <f t="shared" si="45"/>
        <v>1</v>
      </c>
      <c r="H672">
        <v>0.37794331087738253</v>
      </c>
    </row>
    <row r="673" spans="1:8" x14ac:dyDescent="0.35">
      <c r="A673" s="13">
        <v>43341</v>
      </c>
      <c r="B673" s="14">
        <v>5501.33</v>
      </c>
      <c r="C673" s="2">
        <f t="shared" si="42"/>
        <v>2.9790391595974075E-3</v>
      </c>
      <c r="D673">
        <f t="shared" si="43"/>
        <v>1</v>
      </c>
      <c r="E673">
        <v>0.73961257983941853</v>
      </c>
      <c r="F673">
        <f t="shared" si="44"/>
        <v>1</v>
      </c>
      <c r="G673" t="b">
        <f t="shared" si="45"/>
        <v>1</v>
      </c>
      <c r="H673">
        <v>0.37794334818042341</v>
      </c>
    </row>
    <row r="674" spans="1:8" x14ac:dyDescent="0.35">
      <c r="A674" s="13">
        <v>43342</v>
      </c>
      <c r="B674" s="14">
        <v>5478.06</v>
      </c>
      <c r="C674" s="2">
        <f t="shared" si="42"/>
        <v>-4.2298862275121918E-3</v>
      </c>
      <c r="D674">
        <f t="shared" si="43"/>
        <v>0</v>
      </c>
      <c r="E674">
        <v>0.78723224373768752</v>
      </c>
      <c r="F674">
        <f t="shared" si="44"/>
        <v>1</v>
      </c>
      <c r="G674" t="b">
        <f t="shared" si="45"/>
        <v>0</v>
      </c>
      <c r="H674">
        <v>0.37794332732736824</v>
      </c>
    </row>
    <row r="675" spans="1:8" x14ac:dyDescent="0.35">
      <c r="A675" s="13">
        <v>43343</v>
      </c>
      <c r="B675" s="14">
        <v>5406.85</v>
      </c>
      <c r="C675" s="2">
        <f t="shared" si="42"/>
        <v>-1.2999127428323209E-2</v>
      </c>
      <c r="D675">
        <f t="shared" si="43"/>
        <v>0</v>
      </c>
      <c r="E675">
        <v>0.7606934384863524</v>
      </c>
      <c r="F675">
        <f t="shared" si="44"/>
        <v>1</v>
      </c>
      <c r="G675" t="b">
        <f t="shared" si="45"/>
        <v>0</v>
      </c>
      <c r="H675">
        <v>0.37794327457921456</v>
      </c>
    </row>
    <row r="676" spans="1:8" x14ac:dyDescent="0.35">
      <c r="A676" s="13">
        <v>43346</v>
      </c>
      <c r="B676" s="14">
        <v>5413.8</v>
      </c>
      <c r="C676" s="2">
        <f t="shared" si="42"/>
        <v>1.2854064751195438E-3</v>
      </c>
      <c r="D676">
        <f t="shared" si="43"/>
        <v>1</v>
      </c>
      <c r="E676">
        <v>0.68625730067842416</v>
      </c>
      <c r="F676">
        <f t="shared" si="44"/>
        <v>1</v>
      </c>
      <c r="G676" t="b">
        <f t="shared" si="45"/>
        <v>1</v>
      </c>
      <c r="H676">
        <v>0.37794326909920473</v>
      </c>
    </row>
    <row r="677" spans="1:8" x14ac:dyDescent="0.35">
      <c r="A677" s="13">
        <v>43347</v>
      </c>
      <c r="B677" s="14">
        <v>5342.7</v>
      </c>
      <c r="C677" s="2">
        <f t="shared" si="42"/>
        <v>-1.3133104289039244E-2</v>
      </c>
      <c r="D677">
        <f t="shared" si="43"/>
        <v>0</v>
      </c>
      <c r="E677">
        <v>0.67722584806839814</v>
      </c>
      <c r="F677">
        <f t="shared" si="44"/>
        <v>1</v>
      </c>
      <c r="G677" t="b">
        <f t="shared" si="45"/>
        <v>0</v>
      </c>
      <c r="H677">
        <v>0.37794322026305482</v>
      </c>
    </row>
    <row r="678" spans="1:8" x14ac:dyDescent="0.35">
      <c r="A678" s="13">
        <v>43348</v>
      </c>
      <c r="B678" s="14">
        <v>5260.22</v>
      </c>
      <c r="C678" s="2">
        <f t="shared" si="42"/>
        <v>-1.5437887210586365E-2</v>
      </c>
      <c r="D678">
        <f t="shared" si="43"/>
        <v>0</v>
      </c>
      <c r="E678">
        <v>0.59927194239774562</v>
      </c>
      <c r="F678">
        <f t="shared" si="44"/>
        <v>1</v>
      </c>
      <c r="G678" t="b">
        <f t="shared" si="45"/>
        <v>0</v>
      </c>
      <c r="H678">
        <v>0.3779431495920037</v>
      </c>
    </row>
    <row r="679" spans="1:8" x14ac:dyDescent="0.35">
      <c r="A679" s="13">
        <v>43349</v>
      </c>
      <c r="B679" s="14">
        <v>5243.84</v>
      </c>
      <c r="C679" s="2">
        <f t="shared" si="42"/>
        <v>-3.1139382003034788E-3</v>
      </c>
      <c r="D679">
        <f t="shared" si="43"/>
        <v>0</v>
      </c>
      <c r="E679">
        <v>0.48128728657759368</v>
      </c>
      <c r="F679">
        <f t="shared" si="44"/>
        <v>0</v>
      </c>
      <c r="G679" t="b">
        <f t="shared" si="45"/>
        <v>1</v>
      </c>
      <c r="H679">
        <v>0.37794307470235466</v>
      </c>
    </row>
    <row r="680" spans="1:8" x14ac:dyDescent="0.35">
      <c r="A680" s="13">
        <v>43350</v>
      </c>
      <c r="B680" s="14">
        <v>5252.22</v>
      </c>
      <c r="C680" s="2">
        <f t="shared" si="42"/>
        <v>1.5980655397571653E-3</v>
      </c>
      <c r="D680">
        <f t="shared" si="43"/>
        <v>1</v>
      </c>
      <c r="E680">
        <v>0.36131301037269326</v>
      </c>
      <c r="F680">
        <f t="shared" si="44"/>
        <v>0</v>
      </c>
      <c r="G680" t="b">
        <f t="shared" si="45"/>
        <v>0</v>
      </c>
      <c r="H680">
        <v>0.3779430858379712</v>
      </c>
    </row>
    <row r="681" spans="1:8" x14ac:dyDescent="0.35">
      <c r="A681" s="13">
        <v>43353</v>
      </c>
      <c r="B681" s="14">
        <v>5269.63</v>
      </c>
      <c r="C681" s="2">
        <f t="shared" si="42"/>
        <v>3.3147887940718768E-3</v>
      </c>
      <c r="D681">
        <f t="shared" si="43"/>
        <v>1</v>
      </c>
      <c r="E681">
        <v>0.37690468388391629</v>
      </c>
      <c r="F681">
        <f t="shared" si="44"/>
        <v>0</v>
      </c>
      <c r="G681" t="b">
        <f t="shared" si="45"/>
        <v>0</v>
      </c>
      <c r="H681">
        <v>0.37794313957127224</v>
      </c>
    </row>
    <row r="682" spans="1:8" x14ac:dyDescent="0.35">
      <c r="A682" s="13">
        <v>43354</v>
      </c>
      <c r="B682" s="14">
        <v>5283.79</v>
      </c>
      <c r="C682" s="2">
        <f t="shared" si="42"/>
        <v>2.6870956784441624E-3</v>
      </c>
      <c r="D682">
        <f t="shared" si="43"/>
        <v>1</v>
      </c>
      <c r="E682">
        <v>0.46083159439577071</v>
      </c>
      <c r="F682">
        <f t="shared" si="44"/>
        <v>0</v>
      </c>
      <c r="G682" t="b">
        <f t="shared" si="45"/>
        <v>0</v>
      </c>
      <c r="H682">
        <v>0.37794320955388044</v>
      </c>
    </row>
    <row r="683" spans="1:8" x14ac:dyDescent="0.35">
      <c r="A683" s="13">
        <v>43355</v>
      </c>
      <c r="B683" s="14">
        <v>5332.13</v>
      </c>
      <c r="C683" s="2">
        <f t="shared" si="42"/>
        <v>9.1487360398501139E-3</v>
      </c>
      <c r="D683">
        <f t="shared" si="43"/>
        <v>1</v>
      </c>
      <c r="E683">
        <v>0.57509324823490626</v>
      </c>
      <c r="F683">
        <f t="shared" si="44"/>
        <v>1</v>
      </c>
      <c r="G683" t="b">
        <f t="shared" si="45"/>
        <v>1</v>
      </c>
      <c r="H683">
        <v>0.37794327730426414</v>
      </c>
    </row>
    <row r="684" spans="1:8" x14ac:dyDescent="0.35">
      <c r="A684" s="13">
        <v>43356</v>
      </c>
      <c r="B684" s="14">
        <v>5328.12</v>
      </c>
      <c r="C684" s="2">
        <f t="shared" si="42"/>
        <v>-7.5204468008094327E-4</v>
      </c>
      <c r="D684">
        <f t="shared" si="43"/>
        <v>0</v>
      </c>
      <c r="E684">
        <v>0.68039218612082086</v>
      </c>
      <c r="F684">
        <f t="shared" si="44"/>
        <v>1</v>
      </c>
      <c r="G684" t="b">
        <f t="shared" si="45"/>
        <v>0</v>
      </c>
      <c r="H684">
        <v>0.3779432644536202</v>
      </c>
    </row>
    <row r="685" spans="1:8" x14ac:dyDescent="0.35">
      <c r="A685" s="13">
        <v>43357</v>
      </c>
      <c r="B685" s="14">
        <v>5352.57</v>
      </c>
      <c r="C685" s="2">
        <f t="shared" si="42"/>
        <v>4.588860611247414E-3</v>
      </c>
      <c r="D685">
        <f t="shared" si="43"/>
        <v>1</v>
      </c>
      <c r="E685">
        <v>0.66024177121184491</v>
      </c>
      <c r="F685">
        <f t="shared" si="44"/>
        <v>1</v>
      </c>
      <c r="G685" t="b">
        <f t="shared" si="45"/>
        <v>1</v>
      </c>
      <c r="H685">
        <v>0.37794328184246395</v>
      </c>
    </row>
    <row r="686" spans="1:8" x14ac:dyDescent="0.35">
      <c r="A686" s="13">
        <v>43360</v>
      </c>
      <c r="B686" s="14">
        <v>5348.87</v>
      </c>
      <c r="C686" s="2">
        <f t="shared" si="42"/>
        <v>-6.9125672340575317E-4</v>
      </c>
      <c r="D686">
        <f t="shared" si="43"/>
        <v>0</v>
      </c>
      <c r="E686">
        <v>0.68620936244072561</v>
      </c>
      <c r="F686">
        <f t="shared" si="44"/>
        <v>1</v>
      </c>
      <c r="G686" t="b">
        <f t="shared" si="45"/>
        <v>0</v>
      </c>
      <c r="H686">
        <v>0.37794324458605855</v>
      </c>
    </row>
    <row r="687" spans="1:8" x14ac:dyDescent="0.35">
      <c r="A687" s="13">
        <v>43361</v>
      </c>
      <c r="B687" s="14">
        <v>5363.79</v>
      </c>
      <c r="C687" s="2">
        <f t="shared" si="42"/>
        <v>2.7893742042712777E-3</v>
      </c>
      <c r="D687">
        <f t="shared" si="43"/>
        <v>1</v>
      </c>
      <c r="E687">
        <v>0.62811435314877928</v>
      </c>
      <c r="F687">
        <f t="shared" si="44"/>
        <v>1</v>
      </c>
      <c r="G687" t="b">
        <f t="shared" si="45"/>
        <v>1</v>
      </c>
      <c r="H687">
        <v>0.37794325283898239</v>
      </c>
    </row>
    <row r="688" spans="1:8" x14ac:dyDescent="0.35">
      <c r="A688" s="13">
        <v>43362</v>
      </c>
      <c r="B688" s="14">
        <v>5393.74</v>
      </c>
      <c r="C688" s="2">
        <f t="shared" si="42"/>
        <v>5.583738364104418E-3</v>
      </c>
      <c r="D688">
        <f t="shared" si="43"/>
        <v>1</v>
      </c>
      <c r="E688">
        <v>0.64139498159912678</v>
      </c>
      <c r="F688">
        <f t="shared" si="44"/>
        <v>1</v>
      </c>
      <c r="G688" t="b">
        <f t="shared" si="45"/>
        <v>1</v>
      </c>
      <c r="H688">
        <v>0.37794328206311384</v>
      </c>
    </row>
    <row r="689" spans="1:8" x14ac:dyDescent="0.35">
      <c r="A689" s="13">
        <v>43363</v>
      </c>
      <c r="B689" s="14">
        <v>5451.59</v>
      </c>
      <c r="C689" s="2">
        <f t="shared" si="42"/>
        <v>1.0725396478139526E-2</v>
      </c>
      <c r="D689">
        <f t="shared" si="43"/>
        <v>1</v>
      </c>
      <c r="E689">
        <v>0.68722399910979215</v>
      </c>
      <c r="F689">
        <f t="shared" si="44"/>
        <v>1</v>
      </c>
      <c r="G689" t="b">
        <f t="shared" si="45"/>
        <v>1</v>
      </c>
      <c r="H689">
        <v>0.37794331684833893</v>
      </c>
    </row>
    <row r="690" spans="1:8" x14ac:dyDescent="0.35">
      <c r="A690" s="13">
        <v>43364</v>
      </c>
      <c r="B690" s="14">
        <v>5494.17</v>
      </c>
      <c r="C690" s="2">
        <f t="shared" si="42"/>
        <v>7.8105653579965129E-3</v>
      </c>
      <c r="D690">
        <f t="shared" si="43"/>
        <v>1</v>
      </c>
      <c r="E690">
        <v>0.73781662674193604</v>
      </c>
      <c r="F690">
        <f t="shared" si="44"/>
        <v>1</v>
      </c>
      <c r="G690" t="b">
        <f t="shared" si="45"/>
        <v>1</v>
      </c>
      <c r="H690">
        <v>0.37794334926443307</v>
      </c>
    </row>
    <row r="691" spans="1:8" x14ac:dyDescent="0.35">
      <c r="A691" s="13">
        <v>43367</v>
      </c>
      <c r="B691" s="14">
        <v>5476.17</v>
      </c>
      <c r="C691" s="2">
        <f t="shared" si="42"/>
        <v>-3.2762000447746908E-3</v>
      </c>
      <c r="D691">
        <f t="shared" si="43"/>
        <v>0</v>
      </c>
      <c r="E691">
        <v>0.78034169575658174</v>
      </c>
      <c r="F691">
        <f t="shared" si="44"/>
        <v>1</v>
      </c>
      <c r="G691" t="b">
        <f t="shared" si="45"/>
        <v>0</v>
      </c>
      <c r="H691">
        <v>0.37794332561661725</v>
      </c>
    </row>
    <row r="692" spans="1:8" x14ac:dyDescent="0.35">
      <c r="A692" s="13">
        <v>43368</v>
      </c>
      <c r="B692" s="14">
        <v>5479.1</v>
      </c>
      <c r="C692" s="2">
        <f t="shared" si="42"/>
        <v>5.3504547886573661E-4</v>
      </c>
      <c r="D692">
        <f t="shared" si="43"/>
        <v>1</v>
      </c>
      <c r="E692">
        <v>0.74953086666446767</v>
      </c>
      <c r="F692">
        <f t="shared" si="44"/>
        <v>1</v>
      </c>
      <c r="G692" t="b">
        <f t="shared" si="45"/>
        <v>1</v>
      </c>
      <c r="H692">
        <v>0.37794332783978157</v>
      </c>
    </row>
    <row r="693" spans="1:8" x14ac:dyDescent="0.35">
      <c r="A693" s="13">
        <v>43369</v>
      </c>
      <c r="B693" s="14">
        <v>5512.73</v>
      </c>
      <c r="C693" s="2">
        <f t="shared" si="42"/>
        <v>6.1378693581060073E-3</v>
      </c>
      <c r="D693">
        <f t="shared" si="43"/>
        <v>1</v>
      </c>
      <c r="E693">
        <v>0.7524213320113522</v>
      </c>
      <c r="F693">
        <f t="shared" si="44"/>
        <v>1</v>
      </c>
      <c r="G693" t="b">
        <f t="shared" si="45"/>
        <v>1</v>
      </c>
      <c r="H693">
        <v>0.37794334272202013</v>
      </c>
    </row>
    <row r="694" spans="1:8" x14ac:dyDescent="0.35">
      <c r="A694" s="13">
        <v>43370</v>
      </c>
      <c r="B694" s="14">
        <v>5540.41</v>
      </c>
      <c r="C694" s="2">
        <f t="shared" si="42"/>
        <v>5.0211056953632927E-3</v>
      </c>
      <c r="D694">
        <f t="shared" si="43"/>
        <v>1</v>
      </c>
      <c r="E694">
        <v>0.77181452993967892</v>
      </c>
      <c r="F694">
        <f t="shared" si="44"/>
        <v>1</v>
      </c>
      <c r="G694" t="b">
        <f t="shared" si="45"/>
        <v>1</v>
      </c>
      <c r="H694">
        <v>0.37794336205710249</v>
      </c>
    </row>
    <row r="695" spans="1:8" x14ac:dyDescent="0.35">
      <c r="A695" s="13">
        <v>43371</v>
      </c>
      <c r="B695" s="14">
        <v>5493.49</v>
      </c>
      <c r="C695" s="2">
        <f t="shared" si="42"/>
        <v>-8.4686873354138381E-3</v>
      </c>
      <c r="D695">
        <f t="shared" si="43"/>
        <v>0</v>
      </c>
      <c r="E695">
        <v>0.79554586273035377</v>
      </c>
      <c r="F695">
        <f t="shared" si="44"/>
        <v>1</v>
      </c>
      <c r="G695" t="b">
        <f t="shared" si="45"/>
        <v>0</v>
      </c>
      <c r="H695">
        <v>0.3779433332786577</v>
      </c>
    </row>
    <row r="696" spans="1:8" x14ac:dyDescent="0.35">
      <c r="A696" s="13">
        <v>43374</v>
      </c>
      <c r="B696" s="14">
        <v>5506.82</v>
      </c>
      <c r="C696" s="2">
        <f t="shared" si="42"/>
        <v>2.4265084672949744E-3</v>
      </c>
      <c r="D696">
        <f t="shared" si="43"/>
        <v>1</v>
      </c>
      <c r="E696">
        <v>0.75949974512180496</v>
      </c>
      <c r="F696">
        <f t="shared" si="44"/>
        <v>1</v>
      </c>
      <c r="G696" t="b">
        <f t="shared" si="45"/>
        <v>1</v>
      </c>
      <c r="H696">
        <v>0.37794333200770253</v>
      </c>
    </row>
    <row r="697" spans="1:8" x14ac:dyDescent="0.35">
      <c r="A697" s="13">
        <v>43375</v>
      </c>
      <c r="B697" s="14">
        <v>5467.89</v>
      </c>
      <c r="C697" s="2">
        <f t="shared" si="42"/>
        <v>-7.069415742660845E-3</v>
      </c>
      <c r="D697">
        <f t="shared" si="43"/>
        <v>0</v>
      </c>
      <c r="E697">
        <v>0.75771252913459564</v>
      </c>
      <c r="F697">
        <f t="shared" si="44"/>
        <v>1</v>
      </c>
      <c r="G697" t="b">
        <f t="shared" si="45"/>
        <v>0</v>
      </c>
      <c r="H697">
        <v>0.37794328933352284</v>
      </c>
    </row>
    <row r="698" spans="1:8" x14ac:dyDescent="0.35">
      <c r="A698" s="13">
        <v>43376</v>
      </c>
      <c r="B698" s="14">
        <v>5491.4</v>
      </c>
      <c r="C698" s="2">
        <f t="shared" si="42"/>
        <v>4.299647578864807E-3</v>
      </c>
      <c r="D698">
        <f t="shared" si="43"/>
        <v>1</v>
      </c>
      <c r="E698">
        <v>0.69761953101312479</v>
      </c>
      <c r="F698">
        <f t="shared" si="44"/>
        <v>1</v>
      </c>
      <c r="G698" t="b">
        <f t="shared" si="45"/>
        <v>1</v>
      </c>
      <c r="H698">
        <v>0.3779432876007639</v>
      </c>
    </row>
    <row r="699" spans="1:8" x14ac:dyDescent="0.35">
      <c r="A699" s="13">
        <v>43377</v>
      </c>
      <c r="B699" s="14">
        <v>5410.85</v>
      </c>
      <c r="C699" s="2">
        <f t="shared" si="42"/>
        <v>-1.4668390574352541E-2</v>
      </c>
      <c r="D699">
        <f t="shared" si="43"/>
        <v>0</v>
      </c>
      <c r="E699">
        <v>0.69446346498124245</v>
      </c>
      <c r="F699">
        <f t="shared" si="44"/>
        <v>1</v>
      </c>
      <c r="G699" t="b">
        <f t="shared" si="45"/>
        <v>0</v>
      </c>
      <c r="H699">
        <v>0.37794324128159668</v>
      </c>
    </row>
    <row r="700" spans="1:8" x14ac:dyDescent="0.35">
      <c r="A700" s="13">
        <v>43378</v>
      </c>
      <c r="B700" s="14">
        <v>5359.36</v>
      </c>
      <c r="C700" s="2">
        <f t="shared" si="42"/>
        <v>-9.5160649435857003E-3</v>
      </c>
      <c r="D700">
        <f t="shared" si="43"/>
        <v>0</v>
      </c>
      <c r="E700">
        <v>0.62177994232701117</v>
      </c>
      <c r="F700">
        <f t="shared" si="44"/>
        <v>1</v>
      </c>
      <c r="G700" t="b">
        <f t="shared" si="45"/>
        <v>0</v>
      </c>
      <c r="H700">
        <v>0.37794317155310408</v>
      </c>
    </row>
    <row r="701" spans="1:8" x14ac:dyDescent="0.35">
      <c r="A701" s="13">
        <v>43381</v>
      </c>
      <c r="B701" s="14">
        <v>5300.25</v>
      </c>
      <c r="C701" s="2">
        <f t="shared" si="42"/>
        <v>-1.1029302006209663E-2</v>
      </c>
      <c r="D701">
        <f t="shared" si="43"/>
        <v>0</v>
      </c>
      <c r="E701">
        <v>0.50549218028954324</v>
      </c>
      <c r="F701">
        <f t="shared" si="44"/>
        <v>1</v>
      </c>
      <c r="G701" t="b">
        <f t="shared" si="45"/>
        <v>0</v>
      </c>
      <c r="H701">
        <v>0.3779430955532358</v>
      </c>
    </row>
    <row r="702" spans="1:8" x14ac:dyDescent="0.35">
      <c r="A702" s="13">
        <v>43382</v>
      </c>
      <c r="B702" s="14">
        <v>5318.55</v>
      </c>
      <c r="C702" s="2">
        <f t="shared" si="42"/>
        <v>3.4526673270129926E-3</v>
      </c>
      <c r="D702">
        <f t="shared" si="43"/>
        <v>1</v>
      </c>
      <c r="E702">
        <v>0.38103740929308233</v>
      </c>
      <c r="F702">
        <f t="shared" si="44"/>
        <v>0</v>
      </c>
      <c r="G702" t="b">
        <f t="shared" si="45"/>
        <v>0</v>
      </c>
      <c r="H702">
        <v>0.37794310555316141</v>
      </c>
    </row>
    <row r="703" spans="1:8" x14ac:dyDescent="0.35">
      <c r="A703" s="13">
        <v>43383</v>
      </c>
      <c r="B703" s="14">
        <v>5206.22</v>
      </c>
      <c r="C703" s="2">
        <f t="shared" si="42"/>
        <v>-2.112041815908472E-2</v>
      </c>
      <c r="D703">
        <f t="shared" si="43"/>
        <v>0</v>
      </c>
      <c r="E703">
        <v>0.39480544936466067</v>
      </c>
      <c r="F703">
        <f t="shared" si="44"/>
        <v>0</v>
      </c>
      <c r="G703" t="b">
        <f t="shared" si="45"/>
        <v>1</v>
      </c>
      <c r="H703">
        <v>0.37794307949671174</v>
      </c>
    </row>
    <row r="704" spans="1:8" x14ac:dyDescent="0.35">
      <c r="A704" s="13">
        <v>43384</v>
      </c>
      <c r="B704" s="14">
        <v>5106.37</v>
      </c>
      <c r="C704" s="2">
        <f t="shared" si="42"/>
        <v>-1.9178982063762229E-2</v>
      </c>
      <c r="D704">
        <f t="shared" si="43"/>
        <v>0</v>
      </c>
      <c r="E704">
        <v>0.35450082104195513</v>
      </c>
      <c r="F704">
        <f t="shared" si="44"/>
        <v>0</v>
      </c>
      <c r="G704" t="b">
        <f t="shared" si="45"/>
        <v>1</v>
      </c>
      <c r="H704">
        <v>0.37794303899465048</v>
      </c>
    </row>
    <row r="705" spans="1:8" x14ac:dyDescent="0.35">
      <c r="A705" s="13">
        <v>43385</v>
      </c>
      <c r="B705" s="14">
        <v>5095.9799999999996</v>
      </c>
      <c r="C705" s="2">
        <f t="shared" si="42"/>
        <v>-2.0347135048969234E-3</v>
      </c>
      <c r="D705">
        <f t="shared" si="43"/>
        <v>0</v>
      </c>
      <c r="E705">
        <v>0.29774794880979444</v>
      </c>
      <c r="F705">
        <f t="shared" si="44"/>
        <v>0</v>
      </c>
      <c r="G705" t="b">
        <f t="shared" si="45"/>
        <v>1</v>
      </c>
      <c r="H705">
        <v>0.37794299744765131</v>
      </c>
    </row>
    <row r="706" spans="1:8" x14ac:dyDescent="0.35">
      <c r="A706" s="13">
        <v>43388</v>
      </c>
      <c r="B706" s="14">
        <v>5095.07</v>
      </c>
      <c r="C706" s="2">
        <f t="shared" si="42"/>
        <v>-1.7857212940397549E-4</v>
      </c>
      <c r="D706">
        <f t="shared" si="43"/>
        <v>0</v>
      </c>
      <c r="E706">
        <v>0.24608894028671399</v>
      </c>
      <c r="F706">
        <f t="shared" si="44"/>
        <v>0</v>
      </c>
      <c r="G706" t="b">
        <f t="shared" si="45"/>
        <v>1</v>
      </c>
      <c r="H706">
        <v>0.37794296077152617</v>
      </c>
    </row>
    <row r="707" spans="1:8" x14ac:dyDescent="0.35">
      <c r="A707" s="13">
        <v>43389</v>
      </c>
      <c r="B707" s="14">
        <v>5173.05</v>
      </c>
      <c r="C707" s="2">
        <f t="shared" si="42"/>
        <v>1.5304990902970994E-2</v>
      </c>
      <c r="D707">
        <f t="shared" si="43"/>
        <v>1</v>
      </c>
      <c r="E707">
        <v>0.20635150351411252</v>
      </c>
      <c r="F707">
        <f t="shared" si="44"/>
        <v>0</v>
      </c>
      <c r="G707" t="b">
        <f t="shared" si="45"/>
        <v>0</v>
      </c>
      <c r="H707">
        <v>0.37794298730755904</v>
      </c>
    </row>
    <row r="708" spans="1:8" x14ac:dyDescent="0.35">
      <c r="A708" s="13">
        <v>43390</v>
      </c>
      <c r="B708" s="14">
        <v>5144.95</v>
      </c>
      <c r="C708" s="2">
        <f t="shared" ref="C708:C735" si="46">(B708/B707)-1</f>
        <v>-5.431998530847415E-3</v>
      </c>
      <c r="D708">
        <f t="shared" si="43"/>
        <v>0</v>
      </c>
      <c r="E708">
        <v>0.23411443390063977</v>
      </c>
      <c r="F708">
        <f t="shared" si="44"/>
        <v>0</v>
      </c>
      <c r="G708" t="b">
        <f t="shared" si="45"/>
        <v>1</v>
      </c>
      <c r="H708">
        <v>0.3779429863327296</v>
      </c>
    </row>
    <row r="709" spans="1:8" x14ac:dyDescent="0.35">
      <c r="A709" s="13">
        <v>43391</v>
      </c>
      <c r="B709" s="14">
        <v>5116.79</v>
      </c>
      <c r="C709" s="2">
        <f t="shared" si="46"/>
        <v>-5.4733282150457585E-3</v>
      </c>
      <c r="D709">
        <f t="shared" si="43"/>
        <v>0</v>
      </c>
      <c r="E709">
        <v>0.23266220677941554</v>
      </c>
      <c r="F709">
        <f t="shared" si="44"/>
        <v>0</v>
      </c>
      <c r="G709" t="b">
        <f t="shared" si="45"/>
        <v>1</v>
      </c>
      <c r="H709">
        <v>0.37794297165536705</v>
      </c>
    </row>
    <row r="710" spans="1:8" x14ac:dyDescent="0.35">
      <c r="A710" s="13">
        <v>43392</v>
      </c>
      <c r="B710" s="14">
        <v>5084.66</v>
      </c>
      <c r="C710" s="2">
        <f t="shared" si="46"/>
        <v>-6.2793274689796341E-3</v>
      </c>
      <c r="D710">
        <f t="shared" ref="D710:D735" si="47">IF(C710&gt;=0,1,0)</f>
        <v>0</v>
      </c>
      <c r="E710">
        <v>0.21661460857265519</v>
      </c>
      <c r="F710">
        <f t="shared" si="44"/>
        <v>0</v>
      </c>
      <c r="G710" t="b">
        <f t="shared" si="45"/>
        <v>1</v>
      </c>
      <c r="H710">
        <v>0.37794295166350039</v>
      </c>
    </row>
    <row r="711" spans="1:8" x14ac:dyDescent="0.35">
      <c r="A711" s="13">
        <v>43395</v>
      </c>
      <c r="B711" s="14">
        <v>5053.3100000000004</v>
      </c>
      <c r="C711" s="2">
        <f t="shared" si="46"/>
        <v>-6.1656039931872186E-3</v>
      </c>
      <c r="D711">
        <f t="shared" si="47"/>
        <v>0</v>
      </c>
      <c r="E711">
        <v>0.19631730806881925</v>
      </c>
      <c r="F711">
        <f t="shared" si="44"/>
        <v>0</v>
      </c>
      <c r="G711" t="b">
        <f t="shared" si="45"/>
        <v>1</v>
      </c>
      <c r="H711">
        <v>0.37794293102603288</v>
      </c>
    </row>
    <row r="712" spans="1:8" x14ac:dyDescent="0.35">
      <c r="A712" s="13">
        <v>43396</v>
      </c>
      <c r="B712" s="14">
        <v>4967.6899999999996</v>
      </c>
      <c r="C712" s="2">
        <f t="shared" si="46"/>
        <v>-1.694335000227587E-2</v>
      </c>
      <c r="D712">
        <f t="shared" si="47"/>
        <v>0</v>
      </c>
      <c r="E712">
        <v>0.17697128000579937</v>
      </c>
      <c r="F712">
        <f t="shared" si="44"/>
        <v>0</v>
      </c>
      <c r="G712" t="b">
        <f t="shared" si="45"/>
        <v>1</v>
      </c>
      <c r="H712">
        <v>0.37794291183728818</v>
      </c>
    </row>
    <row r="713" spans="1:8" x14ac:dyDescent="0.35">
      <c r="A713" s="13">
        <v>43397</v>
      </c>
      <c r="B713" s="14">
        <v>4953.09</v>
      </c>
      <c r="C713" s="2">
        <f t="shared" si="46"/>
        <v>-2.9389917647839603E-3</v>
      </c>
      <c r="D713">
        <f t="shared" si="47"/>
        <v>0</v>
      </c>
      <c r="E713">
        <v>0.1603998511453387</v>
      </c>
      <c r="F713">
        <f t="shared" ref="F713:F735" si="48">IF(E713&gt;=0.5,1,0)</f>
        <v>0</v>
      </c>
      <c r="G713" t="b">
        <f t="shared" ref="G713:G735" si="49">IF(D713=F713,TRUE,FALSE)</f>
        <v>1</v>
      </c>
      <c r="H713">
        <v>0.37794289481176757</v>
      </c>
    </row>
    <row r="714" spans="1:8" x14ac:dyDescent="0.35">
      <c r="A714" s="13">
        <v>43398</v>
      </c>
      <c r="B714" s="14">
        <v>5032.3</v>
      </c>
      <c r="C714" s="2">
        <f t="shared" si="46"/>
        <v>1.5992037293891315E-2</v>
      </c>
      <c r="D714">
        <f t="shared" si="47"/>
        <v>1</v>
      </c>
      <c r="E714">
        <v>0.14679017150680779</v>
      </c>
      <c r="F714">
        <f t="shared" si="48"/>
        <v>0</v>
      </c>
      <c r="G714" t="b">
        <f t="shared" si="49"/>
        <v>0</v>
      </c>
      <c r="H714">
        <v>0.37794292247376826</v>
      </c>
    </row>
    <row r="715" spans="1:8" x14ac:dyDescent="0.35">
      <c r="A715" s="13">
        <v>43402</v>
      </c>
      <c r="B715" s="14">
        <v>4989.3500000000004</v>
      </c>
      <c r="C715" s="2">
        <f t="shared" si="46"/>
        <v>-8.5348647735628003E-3</v>
      </c>
      <c r="D715">
        <f t="shared" si="47"/>
        <v>0</v>
      </c>
      <c r="E715">
        <v>0.16986850926896935</v>
      </c>
      <c r="F715">
        <f t="shared" si="48"/>
        <v>0</v>
      </c>
      <c r="G715" t="b">
        <f t="shared" si="49"/>
        <v>1</v>
      </c>
      <c r="H715">
        <v>0.3779429281948592</v>
      </c>
    </row>
    <row r="716" spans="1:8" x14ac:dyDescent="0.35">
      <c r="A716" s="13">
        <v>43403</v>
      </c>
      <c r="B716" s="14">
        <v>4978.53</v>
      </c>
      <c r="C716" s="2">
        <f t="shared" si="46"/>
        <v>-2.1686191588083936E-3</v>
      </c>
      <c r="D716">
        <f t="shared" si="47"/>
        <v>0</v>
      </c>
      <c r="E716">
        <v>0.17501940701733965</v>
      </c>
      <c r="F716">
        <f t="shared" si="48"/>
        <v>0</v>
      </c>
      <c r="G716" t="b">
        <f t="shared" si="49"/>
        <v>1</v>
      </c>
      <c r="H716">
        <v>0.37794292242021188</v>
      </c>
    </row>
    <row r="717" spans="1:8" x14ac:dyDescent="0.35">
      <c r="A717" s="13">
        <v>43404</v>
      </c>
      <c r="B717" s="14">
        <v>5093.4399999999996</v>
      </c>
      <c r="C717" s="2">
        <f t="shared" si="46"/>
        <v>2.3081110287574758E-2</v>
      </c>
      <c r="D717">
        <f t="shared" si="47"/>
        <v>1</v>
      </c>
      <c r="E717">
        <v>0.16996448739391967</v>
      </c>
      <c r="F717">
        <f t="shared" si="48"/>
        <v>0</v>
      </c>
      <c r="G717" t="b">
        <f t="shared" si="49"/>
        <v>0</v>
      </c>
      <c r="H717">
        <v>0.37794295912893139</v>
      </c>
    </row>
    <row r="718" spans="1:8" x14ac:dyDescent="0.35">
      <c r="A718" s="13">
        <v>43405</v>
      </c>
      <c r="B718" s="14">
        <v>5085.78</v>
      </c>
      <c r="C718" s="2">
        <f t="shared" si="46"/>
        <v>-1.5038952063830546E-3</v>
      </c>
      <c r="D718">
        <f t="shared" si="47"/>
        <v>0</v>
      </c>
      <c r="E718">
        <v>0.20493149035115865</v>
      </c>
      <c r="F718">
        <f t="shared" si="48"/>
        <v>0</v>
      </c>
      <c r="G718" t="b">
        <f t="shared" si="49"/>
        <v>1</v>
      </c>
      <c r="H718">
        <v>0.37794296632262703</v>
      </c>
    </row>
    <row r="719" spans="1:8" x14ac:dyDescent="0.35">
      <c r="A719" s="13">
        <v>43409</v>
      </c>
      <c r="B719" s="14">
        <v>5101.3900000000003</v>
      </c>
      <c r="C719" s="2">
        <f t="shared" si="46"/>
        <v>3.0693423624301719E-3</v>
      </c>
      <c r="D719">
        <f t="shared" si="47"/>
        <v>1</v>
      </c>
      <c r="E719">
        <v>0.21225735904188514</v>
      </c>
      <c r="F719">
        <f t="shared" si="48"/>
        <v>0</v>
      </c>
      <c r="G719" t="b">
        <f t="shared" si="49"/>
        <v>0</v>
      </c>
      <c r="H719">
        <v>0.37794301373807931</v>
      </c>
    </row>
    <row r="720" spans="1:8" x14ac:dyDescent="0.35">
      <c r="A720" s="13">
        <v>43410</v>
      </c>
      <c r="B720" s="14">
        <v>5075.1899999999996</v>
      </c>
      <c r="C720" s="2">
        <f t="shared" si="46"/>
        <v>-5.1358551296805111E-3</v>
      </c>
      <c r="D720">
        <f t="shared" si="47"/>
        <v>0</v>
      </c>
      <c r="E720">
        <v>0.26702829898501051</v>
      </c>
      <c r="F720">
        <f t="shared" si="48"/>
        <v>0</v>
      </c>
      <c r="G720" t="b">
        <f t="shared" si="49"/>
        <v>1</v>
      </c>
      <c r="H720">
        <v>0.37794302057854418</v>
      </c>
    </row>
    <row r="721" spans="1:8" x14ac:dyDescent="0.35">
      <c r="A721" s="13">
        <v>43411</v>
      </c>
      <c r="B721" s="14">
        <v>5137.9399999999996</v>
      </c>
      <c r="C721" s="2">
        <f t="shared" si="46"/>
        <v>1.2364069128446342E-2</v>
      </c>
      <c r="D721">
        <f t="shared" si="47"/>
        <v>1</v>
      </c>
      <c r="E721">
        <v>0.27490806103457605</v>
      </c>
      <c r="F721">
        <f t="shared" si="48"/>
        <v>0</v>
      </c>
      <c r="G721" t="b">
        <f t="shared" si="49"/>
        <v>0</v>
      </c>
      <c r="H721">
        <v>0.37794307046791159</v>
      </c>
    </row>
    <row r="722" spans="1:8" x14ac:dyDescent="0.35">
      <c r="A722" s="13">
        <v>43412</v>
      </c>
      <c r="B722" s="14">
        <v>5131.45</v>
      </c>
      <c r="C722" s="2">
        <f t="shared" si="46"/>
        <v>-1.2631521582578964E-3</v>
      </c>
      <c r="D722">
        <f t="shared" si="47"/>
        <v>0</v>
      </c>
      <c r="E722">
        <v>0.34467828278974144</v>
      </c>
      <c r="F722">
        <f t="shared" si="48"/>
        <v>0</v>
      </c>
      <c r="G722" t="b">
        <f t="shared" si="49"/>
        <v>1</v>
      </c>
      <c r="H722">
        <v>0.37794307057927523</v>
      </c>
    </row>
    <row r="723" spans="1:8" x14ac:dyDescent="0.35">
      <c r="A723" s="13">
        <v>43413</v>
      </c>
      <c r="B723" s="14">
        <v>5106.75</v>
      </c>
      <c r="C723" s="2">
        <f t="shared" si="46"/>
        <v>-4.813454286800023E-3</v>
      </c>
      <c r="D723">
        <f t="shared" si="47"/>
        <v>0</v>
      </c>
      <c r="E723">
        <v>0.34421982288420133</v>
      </c>
      <c r="F723">
        <f t="shared" si="48"/>
        <v>0</v>
      </c>
      <c r="G723" t="b">
        <f t="shared" si="49"/>
        <v>1</v>
      </c>
      <c r="H723">
        <v>0.37794304589549205</v>
      </c>
    </row>
    <row r="724" spans="1:8" x14ac:dyDescent="0.35">
      <c r="A724" s="13">
        <v>43416</v>
      </c>
      <c r="B724" s="14">
        <v>5059.09</v>
      </c>
      <c r="C724" s="2">
        <f t="shared" si="46"/>
        <v>-9.3327458755568804E-3</v>
      </c>
      <c r="D724">
        <f t="shared" si="47"/>
        <v>0</v>
      </c>
      <c r="E724">
        <v>0.30767757137340596</v>
      </c>
      <c r="F724">
        <f t="shared" si="48"/>
        <v>0</v>
      </c>
      <c r="G724" t="b">
        <f t="shared" si="49"/>
        <v>1</v>
      </c>
      <c r="H724">
        <v>0.37794301244959982</v>
      </c>
    </row>
    <row r="725" spans="1:8" x14ac:dyDescent="0.35">
      <c r="A725" s="13">
        <v>43417</v>
      </c>
      <c r="B725" s="14">
        <v>5101.8500000000004</v>
      </c>
      <c r="C725" s="2">
        <f t="shared" si="46"/>
        <v>8.4521129294004016E-3</v>
      </c>
      <c r="D725">
        <f t="shared" si="47"/>
        <v>1</v>
      </c>
      <c r="E725">
        <v>0.26240351464847711</v>
      </c>
      <c r="F725">
        <f t="shared" si="48"/>
        <v>0</v>
      </c>
      <c r="G725" t="b">
        <f t="shared" si="49"/>
        <v>0</v>
      </c>
      <c r="H725">
        <v>0.37794304204688994</v>
      </c>
    </row>
    <row r="726" spans="1:8" x14ac:dyDescent="0.35">
      <c r="A726" s="13">
        <v>43418</v>
      </c>
      <c r="B726" s="14">
        <v>5068.8500000000004</v>
      </c>
      <c r="C726" s="2">
        <f t="shared" si="46"/>
        <v>-6.4682419122474855E-3</v>
      </c>
      <c r="D726">
        <f t="shared" si="47"/>
        <v>0</v>
      </c>
      <c r="E726">
        <v>0.30124318602117017</v>
      </c>
      <c r="F726">
        <f t="shared" si="48"/>
        <v>0</v>
      </c>
      <c r="G726" t="b">
        <f t="shared" si="49"/>
        <v>1</v>
      </c>
      <c r="H726">
        <v>0.37794303640704335</v>
      </c>
    </row>
    <row r="727" spans="1:8" x14ac:dyDescent="0.35">
      <c r="A727" s="13">
        <v>43420</v>
      </c>
      <c r="B727" s="14">
        <v>5025.2</v>
      </c>
      <c r="C727" s="2">
        <f t="shared" si="46"/>
        <v>-8.6114207364590412E-3</v>
      </c>
      <c r="D727">
        <f t="shared" si="47"/>
        <v>0</v>
      </c>
      <c r="E727">
        <v>0.293146683291718</v>
      </c>
      <c r="F727">
        <f t="shared" si="48"/>
        <v>0</v>
      </c>
      <c r="G727" t="b">
        <f t="shared" si="49"/>
        <v>1</v>
      </c>
      <c r="H727">
        <v>0.37794301357876792</v>
      </c>
    </row>
    <row r="728" spans="1:8" x14ac:dyDescent="0.35">
      <c r="A728" s="13">
        <v>43423</v>
      </c>
      <c r="B728" s="14">
        <v>4985.45</v>
      </c>
      <c r="C728" s="2">
        <f t="shared" si="46"/>
        <v>-7.9101329300326206E-3</v>
      </c>
      <c r="D728">
        <f t="shared" si="47"/>
        <v>0</v>
      </c>
      <c r="E728">
        <v>0.26334641238181505</v>
      </c>
      <c r="F728">
        <f t="shared" si="48"/>
        <v>0</v>
      </c>
      <c r="G728" t="b">
        <f t="shared" si="49"/>
        <v>1</v>
      </c>
      <c r="H728">
        <v>0.37794298530194503</v>
      </c>
    </row>
    <row r="729" spans="1:8" x14ac:dyDescent="0.35">
      <c r="A729" s="13">
        <v>43424</v>
      </c>
      <c r="B729" s="14">
        <v>4924.8900000000003</v>
      </c>
      <c r="C729" s="2">
        <f t="shared" si="46"/>
        <v>-1.2147348784964151E-2</v>
      </c>
      <c r="D729">
        <f t="shared" si="47"/>
        <v>0</v>
      </c>
      <c r="E729">
        <v>0.22946947466260267</v>
      </c>
      <c r="F729">
        <f t="shared" si="48"/>
        <v>0</v>
      </c>
      <c r="G729" t="b">
        <f t="shared" si="49"/>
        <v>1</v>
      </c>
      <c r="H729">
        <v>0.37794295747825096</v>
      </c>
    </row>
    <row r="730" spans="1:8" x14ac:dyDescent="0.35">
      <c r="A730" s="13">
        <v>43425</v>
      </c>
      <c r="B730" s="14">
        <v>4975.5</v>
      </c>
      <c r="C730" s="2">
        <f t="shared" si="46"/>
        <v>1.0276371655001393E-2</v>
      </c>
      <c r="D730">
        <f t="shared" si="47"/>
        <v>1</v>
      </c>
      <c r="E730">
        <v>0.19963296531600261</v>
      </c>
      <c r="F730">
        <f t="shared" si="48"/>
        <v>0</v>
      </c>
      <c r="G730" t="b">
        <f t="shared" si="49"/>
        <v>0</v>
      </c>
      <c r="H730">
        <v>0.37794298678865135</v>
      </c>
    </row>
    <row r="731" spans="1:8" x14ac:dyDescent="0.35">
      <c r="A731" s="13">
        <v>43426</v>
      </c>
      <c r="B731" s="14">
        <v>4938.1400000000003</v>
      </c>
      <c r="C731" s="2">
        <f t="shared" si="46"/>
        <v>-7.5087930861219565E-3</v>
      </c>
      <c r="D731">
        <f t="shared" si="47"/>
        <v>0</v>
      </c>
      <c r="E731">
        <v>0.23037603739198959</v>
      </c>
      <c r="F731">
        <f t="shared" si="48"/>
        <v>0</v>
      </c>
      <c r="G731" t="b">
        <f t="shared" si="49"/>
        <v>1</v>
      </c>
      <c r="H731">
        <v>0.37794298778481478</v>
      </c>
    </row>
    <row r="732" spans="1:8" x14ac:dyDescent="0.35">
      <c r="A732" s="13">
        <v>43427</v>
      </c>
      <c r="B732" s="14">
        <v>4946.95</v>
      </c>
      <c r="C732" s="2">
        <f t="shared" si="46"/>
        <v>1.7840725455331441E-3</v>
      </c>
      <c r="D732">
        <f t="shared" si="47"/>
        <v>1</v>
      </c>
      <c r="E732">
        <v>0.23119090438642137</v>
      </c>
      <c r="F732">
        <f t="shared" si="48"/>
        <v>0</v>
      </c>
      <c r="G732" t="b">
        <f t="shared" si="49"/>
        <v>0</v>
      </c>
      <c r="H732">
        <v>0.37794303385228611</v>
      </c>
    </row>
    <row r="733" spans="1:8" x14ac:dyDescent="0.35">
      <c r="A733" s="13">
        <v>43430</v>
      </c>
      <c r="B733" s="14">
        <v>4994.9799999999996</v>
      </c>
      <c r="C733" s="2">
        <f t="shared" si="46"/>
        <v>9.7090126239398611E-3</v>
      </c>
      <c r="D733">
        <f t="shared" si="47"/>
        <v>1</v>
      </c>
      <c r="E733">
        <v>0.28716379235095402</v>
      </c>
      <c r="F733">
        <f t="shared" si="48"/>
        <v>0</v>
      </c>
      <c r="G733" t="b">
        <f t="shared" si="49"/>
        <v>0</v>
      </c>
      <c r="H733">
        <v>0.37794310456815527</v>
      </c>
    </row>
    <row r="734" spans="1:8" x14ac:dyDescent="0.35">
      <c r="A734" s="13">
        <v>43431</v>
      </c>
      <c r="B734" s="14">
        <v>4983.1499999999996</v>
      </c>
      <c r="C734" s="2">
        <f t="shared" si="46"/>
        <v>-2.3683778513627907E-3</v>
      </c>
      <c r="D734">
        <f t="shared" si="47"/>
        <v>0</v>
      </c>
      <c r="E734">
        <v>0.38883726967848514</v>
      </c>
      <c r="F734">
        <f t="shared" si="48"/>
        <v>0</v>
      </c>
      <c r="G734" t="b">
        <f t="shared" si="49"/>
        <v>1</v>
      </c>
      <c r="H734">
        <v>0.37794311000355374</v>
      </c>
    </row>
    <row r="735" spans="1:8" x14ac:dyDescent="0.35">
      <c r="A735" s="15">
        <v>43432</v>
      </c>
      <c r="B735" s="16">
        <v>4983.24</v>
      </c>
      <c r="C735" s="2">
        <f t="shared" si="46"/>
        <v>1.8060865115465674E-5</v>
      </c>
      <c r="D735">
        <f t="shared" si="47"/>
        <v>1</v>
      </c>
      <c r="E735">
        <v>0.39638969232493809</v>
      </c>
      <c r="F735">
        <f t="shared" si="48"/>
        <v>0</v>
      </c>
      <c r="G735" t="b">
        <f t="shared" si="49"/>
        <v>0</v>
      </c>
      <c r="H735">
        <v>0.37794315933378664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B66BF-ACD6-42E7-85D1-2654B3A8E08F}">
  <sheetPr codeName="Feuil5"/>
  <dimension ref="A1:L735"/>
  <sheetViews>
    <sheetView workbookViewId="0">
      <selection activeCell="L11" sqref="L11"/>
    </sheetView>
  </sheetViews>
  <sheetFormatPr baseColWidth="10" defaultRowHeight="14.5" x14ac:dyDescent="0.35"/>
  <cols>
    <col min="10" max="10" width="17.08984375" customWidth="1"/>
    <col min="11" max="11" width="12.1796875" customWidth="1"/>
  </cols>
  <sheetData>
    <row r="1" spans="1:12" x14ac:dyDescent="0.35">
      <c r="A1" s="5" t="s">
        <v>0</v>
      </c>
      <c r="B1" s="5" t="s">
        <v>1</v>
      </c>
      <c r="C1" s="5" t="s">
        <v>2</v>
      </c>
      <c r="D1" s="5" t="s">
        <v>31</v>
      </c>
      <c r="E1" s="5" t="s">
        <v>32</v>
      </c>
      <c r="F1" s="5" t="s">
        <v>33</v>
      </c>
      <c r="G1" s="5" t="s">
        <v>34</v>
      </c>
      <c r="H1" s="5" t="s">
        <v>36</v>
      </c>
    </row>
    <row r="2" spans="1:12" x14ac:dyDescent="0.35">
      <c r="A2" s="11">
        <v>42373</v>
      </c>
      <c r="B2" s="12">
        <v>4522.45</v>
      </c>
      <c r="C2" s="8"/>
      <c r="D2" s="8"/>
      <c r="E2" s="8"/>
      <c r="F2" s="8"/>
      <c r="G2" s="8"/>
      <c r="H2" s="8"/>
      <c r="J2" s="24"/>
      <c r="K2" s="24"/>
    </row>
    <row r="3" spans="1:12" x14ac:dyDescent="0.35">
      <c r="A3" s="13">
        <v>42374</v>
      </c>
      <c r="B3" s="14">
        <v>4537.63</v>
      </c>
      <c r="C3" s="2">
        <f>(B3/B2)-1</f>
        <v>3.356587690300783E-3</v>
      </c>
      <c r="D3" s="8"/>
      <c r="E3" s="8"/>
      <c r="F3" s="8"/>
      <c r="G3" s="8"/>
      <c r="H3" s="8"/>
      <c r="J3" s="22"/>
      <c r="K3" s="22"/>
    </row>
    <row r="4" spans="1:12" x14ac:dyDescent="0.35">
      <c r="A4" s="13">
        <v>42375</v>
      </c>
      <c r="B4" s="14">
        <v>4480.47</v>
      </c>
      <c r="C4" s="2">
        <f t="shared" ref="C4:C67" si="0">(B4/B3)-1</f>
        <v>-1.2596884276593667E-2</v>
      </c>
      <c r="D4" s="8"/>
      <c r="E4" s="8"/>
      <c r="F4" s="8"/>
      <c r="G4" s="8"/>
      <c r="H4" s="8"/>
      <c r="J4" s="28"/>
      <c r="K4" s="28"/>
    </row>
    <row r="5" spans="1:12" x14ac:dyDescent="0.35">
      <c r="A5" s="13">
        <v>42376</v>
      </c>
      <c r="B5" s="14">
        <v>4403.58</v>
      </c>
      <c r="C5" s="2">
        <f t="shared" si="0"/>
        <v>-1.7161146040482467E-2</v>
      </c>
      <c r="D5">
        <f>IF(C5&gt;=0,1,0)</f>
        <v>0</v>
      </c>
      <c r="E5" s="24"/>
      <c r="F5">
        <f t="shared" ref="F5:F7" si="1">IF(E5&gt;=0.5,1,0)</f>
        <v>0</v>
      </c>
      <c r="G5" t="b">
        <f t="shared" ref="G5:G7" si="2">IF(D5=F5,TRUE,FALSE)</f>
        <v>1</v>
      </c>
      <c r="H5" s="24"/>
      <c r="J5" s="24"/>
      <c r="K5" s="24"/>
    </row>
    <row r="6" spans="1:12" x14ac:dyDescent="0.35">
      <c r="A6" s="13">
        <v>42377</v>
      </c>
      <c r="B6" s="14">
        <v>4333.76</v>
      </c>
      <c r="C6" s="2">
        <f t="shared" si="0"/>
        <v>-1.58552813846915E-2</v>
      </c>
      <c r="D6">
        <f t="shared" ref="D6:D69" si="3">IF(C6&gt;=0,1,0)</f>
        <v>0</v>
      </c>
      <c r="E6" s="24"/>
      <c r="F6">
        <f t="shared" si="1"/>
        <v>0</v>
      </c>
      <c r="G6" t="b">
        <f t="shared" si="2"/>
        <v>1</v>
      </c>
      <c r="H6" s="24"/>
    </row>
    <row r="7" spans="1:12" x14ac:dyDescent="0.35">
      <c r="A7" s="13">
        <v>42380</v>
      </c>
      <c r="B7" s="14">
        <v>4312.74</v>
      </c>
      <c r="C7" s="2">
        <f t="shared" si="0"/>
        <v>-4.8502916635901894E-3</v>
      </c>
      <c r="D7">
        <f t="shared" si="3"/>
        <v>0</v>
      </c>
      <c r="E7" s="24"/>
      <c r="F7">
        <f t="shared" si="1"/>
        <v>0</v>
      </c>
      <c r="G7" t="b">
        <f t="shared" si="2"/>
        <v>1</v>
      </c>
      <c r="H7" s="24"/>
      <c r="J7" s="21" t="s">
        <v>35</v>
      </c>
    </row>
    <row r="8" spans="1:12" x14ac:dyDescent="0.35">
      <c r="A8" s="13">
        <v>42381</v>
      </c>
      <c r="B8" s="14">
        <v>4378.75</v>
      </c>
      <c r="C8" s="2">
        <f t="shared" si="0"/>
        <v>1.5305814864795986E-2</v>
      </c>
      <c r="D8">
        <f t="shared" si="3"/>
        <v>1</v>
      </c>
      <c r="F8">
        <f>IF(E8&gt;=0.5,1,0)</f>
        <v>0</v>
      </c>
      <c r="G8" t="b">
        <f>IF(D8=F8,TRUE,FALSE)</f>
        <v>0</v>
      </c>
      <c r="J8" s="10">
        <v>0.55439330543933052</v>
      </c>
    </row>
    <row r="9" spans="1:12" x14ac:dyDescent="0.35">
      <c r="A9" s="13">
        <v>42382</v>
      </c>
      <c r="B9" s="14">
        <v>4391.9399999999996</v>
      </c>
      <c r="C9" s="2">
        <f t="shared" si="0"/>
        <v>3.0122751926919822E-3</v>
      </c>
      <c r="D9">
        <f t="shared" si="3"/>
        <v>1</v>
      </c>
      <c r="F9">
        <f t="shared" ref="F9:F72" si="4">IF(E9&gt;=0.5,1,0)</f>
        <v>0</v>
      </c>
      <c r="G9" t="b">
        <f t="shared" ref="G9:G72" si="5">IF(D9=F9,TRUE,FALSE)</f>
        <v>0</v>
      </c>
    </row>
    <row r="10" spans="1:12" x14ac:dyDescent="0.35">
      <c r="A10" s="13">
        <v>42383</v>
      </c>
      <c r="B10" s="14">
        <v>4312.8900000000003</v>
      </c>
      <c r="C10" s="2">
        <f t="shared" si="0"/>
        <v>-1.7998879766116804E-2</v>
      </c>
      <c r="D10">
        <f t="shared" si="3"/>
        <v>0</v>
      </c>
      <c r="F10">
        <f t="shared" si="4"/>
        <v>0</v>
      </c>
      <c r="G10" t="b">
        <f t="shared" si="5"/>
        <v>1</v>
      </c>
      <c r="K10" s="24"/>
      <c r="L10" s="24"/>
    </row>
    <row r="11" spans="1:12" x14ac:dyDescent="0.35">
      <c r="A11" s="13">
        <v>42384</v>
      </c>
      <c r="B11" s="14">
        <v>4210.16</v>
      </c>
      <c r="C11" s="2">
        <f t="shared" si="0"/>
        <v>-2.3819295182580746E-2</v>
      </c>
      <c r="D11">
        <f t="shared" si="3"/>
        <v>0</v>
      </c>
      <c r="F11">
        <f t="shared" si="4"/>
        <v>0</v>
      </c>
      <c r="G11" t="b">
        <f t="shared" si="5"/>
        <v>1</v>
      </c>
      <c r="K11" s="24"/>
      <c r="L11" s="24"/>
    </row>
    <row r="12" spans="1:12" x14ac:dyDescent="0.35">
      <c r="A12" s="13">
        <v>42387</v>
      </c>
      <c r="B12" s="14">
        <v>4189.57</v>
      </c>
      <c r="C12" s="2">
        <f t="shared" si="0"/>
        <v>-4.8905504778916642E-3</v>
      </c>
      <c r="D12">
        <f t="shared" si="3"/>
        <v>0</v>
      </c>
      <c r="E12">
        <v>0.98322124147756962</v>
      </c>
      <c r="F12">
        <f t="shared" si="4"/>
        <v>1</v>
      </c>
      <c r="G12" t="b">
        <f t="shared" si="5"/>
        <v>0</v>
      </c>
      <c r="H12">
        <v>0.49175089914447384</v>
      </c>
      <c r="K12" s="29"/>
      <c r="L12" s="40"/>
    </row>
    <row r="13" spans="1:12" x14ac:dyDescent="0.35">
      <c r="A13" s="13">
        <v>42388</v>
      </c>
      <c r="B13" s="14">
        <v>4272.26</v>
      </c>
      <c r="C13" s="2">
        <f t="shared" si="0"/>
        <v>1.9737109058925117E-2</v>
      </c>
      <c r="D13">
        <f t="shared" si="3"/>
        <v>1</v>
      </c>
      <c r="E13">
        <v>0.98189198176295045</v>
      </c>
      <c r="F13">
        <f>IF(E13&gt;=0.5,1,0)</f>
        <v>1</v>
      </c>
      <c r="G13" t="b">
        <f t="shared" si="5"/>
        <v>1</v>
      </c>
      <c r="H13">
        <v>0.49175090142229549</v>
      </c>
      <c r="K13" s="29"/>
      <c r="L13" s="40"/>
    </row>
    <row r="14" spans="1:12" x14ac:dyDescent="0.35">
      <c r="A14" s="13">
        <v>42389</v>
      </c>
      <c r="B14" s="14">
        <v>4124.95</v>
      </c>
      <c r="C14" s="2">
        <f t="shared" si="0"/>
        <v>-3.4480579365488095E-2</v>
      </c>
      <c r="D14">
        <f t="shared" si="3"/>
        <v>0</v>
      </c>
      <c r="E14">
        <v>0.98191910829697548</v>
      </c>
      <c r="F14">
        <f t="shared" si="4"/>
        <v>1</v>
      </c>
      <c r="G14" t="b">
        <f t="shared" si="5"/>
        <v>0</v>
      </c>
      <c r="H14">
        <v>0.49175083215237592</v>
      </c>
    </row>
    <row r="15" spans="1:12" x14ac:dyDescent="0.35">
      <c r="A15" s="13">
        <v>42390</v>
      </c>
      <c r="B15" s="14">
        <v>4206.3999999999996</v>
      </c>
      <c r="C15" s="2">
        <f t="shared" si="0"/>
        <v>1.974569388719849E-2</v>
      </c>
      <c r="D15">
        <f t="shared" si="3"/>
        <v>1</v>
      </c>
      <c r="E15">
        <v>0.98057336796695271</v>
      </c>
      <c r="F15">
        <f t="shared" si="4"/>
        <v>1</v>
      </c>
      <c r="G15" t="b">
        <f t="shared" si="5"/>
        <v>1</v>
      </c>
      <c r="H15">
        <v>0.49175083406135028</v>
      </c>
    </row>
    <row r="16" spans="1:12" x14ac:dyDescent="0.35">
      <c r="A16" s="13">
        <v>42391</v>
      </c>
      <c r="B16" s="14">
        <v>4336.6899999999996</v>
      </c>
      <c r="C16" s="2">
        <f t="shared" si="0"/>
        <v>3.0974229745150295E-2</v>
      </c>
      <c r="D16">
        <f t="shared" si="3"/>
        <v>1</v>
      </c>
      <c r="E16">
        <v>0.98061004537628316</v>
      </c>
      <c r="F16">
        <f t="shared" si="4"/>
        <v>1</v>
      </c>
      <c r="G16" t="b">
        <f t="shared" si="5"/>
        <v>1</v>
      </c>
      <c r="H16">
        <v>0.49175083558694005</v>
      </c>
    </row>
    <row r="17" spans="1:8" x14ac:dyDescent="0.35">
      <c r="A17" s="13">
        <v>42394</v>
      </c>
      <c r="B17" s="14">
        <v>4311.33</v>
      </c>
      <c r="C17" s="2">
        <f t="shared" si="0"/>
        <v>-5.8477779135699404E-3</v>
      </c>
      <c r="D17">
        <f t="shared" si="3"/>
        <v>0</v>
      </c>
      <c r="E17">
        <v>0.98064050569376882</v>
      </c>
      <c r="F17">
        <f t="shared" si="4"/>
        <v>1</v>
      </c>
      <c r="G17" t="b">
        <f t="shared" si="5"/>
        <v>0</v>
      </c>
      <c r="H17">
        <v>0.49175072177668078</v>
      </c>
    </row>
    <row r="18" spans="1:8" x14ac:dyDescent="0.35">
      <c r="A18" s="13">
        <v>42395</v>
      </c>
      <c r="B18" s="14">
        <v>4356.8100000000004</v>
      </c>
      <c r="C18" s="2">
        <f t="shared" si="0"/>
        <v>1.0548948932232127E-2</v>
      </c>
      <c r="D18">
        <f t="shared" si="3"/>
        <v>1</v>
      </c>
      <c r="E18">
        <v>0.97950314510757175</v>
      </c>
      <c r="F18">
        <f t="shared" si="4"/>
        <v>1</v>
      </c>
      <c r="G18" t="b">
        <f t="shared" si="5"/>
        <v>1</v>
      </c>
      <c r="H18">
        <v>0.49175072440429957</v>
      </c>
    </row>
    <row r="19" spans="1:8" x14ac:dyDescent="0.35">
      <c r="A19" s="13">
        <v>42396</v>
      </c>
      <c r="B19" s="14">
        <v>4380.3599999999997</v>
      </c>
      <c r="C19" s="2">
        <f t="shared" si="0"/>
        <v>5.405330964627586E-3</v>
      </c>
      <c r="D19">
        <f t="shared" si="3"/>
        <v>1</v>
      </c>
      <c r="E19">
        <v>0.97952989115635669</v>
      </c>
      <c r="F19">
        <f t="shared" si="4"/>
        <v>1</v>
      </c>
      <c r="G19" t="b">
        <f t="shared" si="5"/>
        <v>1</v>
      </c>
      <c r="H19">
        <v>0.49175072573516782</v>
      </c>
    </row>
    <row r="20" spans="1:8" x14ac:dyDescent="0.35">
      <c r="A20" s="13">
        <v>42397</v>
      </c>
      <c r="B20" s="14">
        <v>4322.16</v>
      </c>
      <c r="C20" s="2">
        <f t="shared" si="0"/>
        <v>-1.3286579185272429E-2</v>
      </c>
      <c r="D20">
        <f t="shared" si="3"/>
        <v>0</v>
      </c>
      <c r="E20">
        <v>0.9795640457170165</v>
      </c>
      <c r="F20">
        <f t="shared" si="4"/>
        <v>1</v>
      </c>
      <c r="G20" t="b">
        <f t="shared" si="5"/>
        <v>0</v>
      </c>
      <c r="H20">
        <v>0.49175058486388856</v>
      </c>
    </row>
    <row r="21" spans="1:8" x14ac:dyDescent="0.35">
      <c r="A21" s="13">
        <v>42398</v>
      </c>
      <c r="B21" s="14">
        <v>4417.0200000000004</v>
      </c>
      <c r="C21" s="2">
        <f t="shared" si="0"/>
        <v>2.1947359653506693E-2</v>
      </c>
      <c r="D21">
        <f t="shared" si="3"/>
        <v>1</v>
      </c>
      <c r="E21">
        <v>0.97772597325106847</v>
      </c>
      <c r="F21">
        <f t="shared" si="4"/>
        <v>1</v>
      </c>
      <c r="G21" t="b">
        <f t="shared" si="5"/>
        <v>1</v>
      </c>
      <c r="H21">
        <v>0.49175058569694569</v>
      </c>
    </row>
    <row r="22" spans="1:8" x14ac:dyDescent="0.35">
      <c r="A22" s="13">
        <v>42401</v>
      </c>
      <c r="B22" s="14">
        <v>4392.33</v>
      </c>
      <c r="C22" s="2">
        <f t="shared" si="0"/>
        <v>-5.5897414999254158E-3</v>
      </c>
      <c r="D22">
        <f t="shared" si="3"/>
        <v>0</v>
      </c>
      <c r="E22">
        <v>0.97777867860273771</v>
      </c>
      <c r="F22">
        <f t="shared" si="4"/>
        <v>1</v>
      </c>
      <c r="G22" t="b">
        <f t="shared" si="5"/>
        <v>0</v>
      </c>
      <c r="H22">
        <v>0.49175050809246618</v>
      </c>
    </row>
    <row r="23" spans="1:8" x14ac:dyDescent="0.35">
      <c r="A23" s="13">
        <v>42402</v>
      </c>
      <c r="B23" s="14">
        <v>4283.99</v>
      </c>
      <c r="C23" s="2">
        <f t="shared" si="0"/>
        <v>-2.4665724114536047E-2</v>
      </c>
      <c r="D23">
        <f t="shared" si="3"/>
        <v>0</v>
      </c>
      <c r="E23">
        <v>0.97597262607879764</v>
      </c>
      <c r="F23">
        <f t="shared" si="4"/>
        <v>1</v>
      </c>
      <c r="G23" t="b">
        <f t="shared" si="5"/>
        <v>0</v>
      </c>
      <c r="H23">
        <v>0.49175041180588452</v>
      </c>
    </row>
    <row r="24" spans="1:8" x14ac:dyDescent="0.35">
      <c r="A24" s="13">
        <v>42404</v>
      </c>
      <c r="B24" s="14">
        <v>4228.53</v>
      </c>
      <c r="C24" s="2">
        <f t="shared" si="0"/>
        <v>-1.294587522379842E-2</v>
      </c>
      <c r="D24">
        <f t="shared" si="3"/>
        <v>0</v>
      </c>
      <c r="E24">
        <v>0.97333405366685932</v>
      </c>
      <c r="F24">
        <f t="shared" si="4"/>
        <v>1</v>
      </c>
      <c r="G24" t="b">
        <f t="shared" si="5"/>
        <v>0</v>
      </c>
      <c r="H24">
        <v>0.4917502391478486</v>
      </c>
    </row>
    <row r="25" spans="1:8" x14ac:dyDescent="0.35">
      <c r="A25" s="13">
        <v>42405</v>
      </c>
      <c r="B25" s="14">
        <v>4200.67</v>
      </c>
      <c r="C25" s="2">
        <f t="shared" si="0"/>
        <v>-6.5885780637714442E-3</v>
      </c>
      <c r="D25">
        <f t="shared" si="3"/>
        <v>0</v>
      </c>
      <c r="E25">
        <v>0.97022229022517614</v>
      </c>
      <c r="F25">
        <f t="shared" si="4"/>
        <v>1</v>
      </c>
      <c r="G25" t="b">
        <f t="shared" si="5"/>
        <v>0</v>
      </c>
      <c r="H25">
        <v>0.49175003514789956</v>
      </c>
    </row>
    <row r="26" spans="1:8" x14ac:dyDescent="0.35">
      <c r="A26" s="13">
        <v>42408</v>
      </c>
      <c r="B26" s="14">
        <v>4066.31</v>
      </c>
      <c r="C26" s="2">
        <f t="shared" si="0"/>
        <v>-3.1985373761804659E-2</v>
      </c>
      <c r="D26">
        <f t="shared" si="3"/>
        <v>0</v>
      </c>
      <c r="E26">
        <v>0.9674466475654514</v>
      </c>
      <c r="F26">
        <f t="shared" si="4"/>
        <v>1</v>
      </c>
      <c r="G26" t="b">
        <f t="shared" si="5"/>
        <v>0</v>
      </c>
      <c r="H26">
        <v>0.49174992695264608</v>
      </c>
    </row>
    <row r="27" spans="1:8" x14ac:dyDescent="0.35">
      <c r="A27" s="13">
        <v>42409</v>
      </c>
      <c r="B27" s="14">
        <v>3997.54</v>
      </c>
      <c r="C27" s="2">
        <f t="shared" si="0"/>
        <v>-1.6912139015471062E-2</v>
      </c>
      <c r="D27">
        <f t="shared" si="3"/>
        <v>0</v>
      </c>
      <c r="E27">
        <v>0.96328921881399721</v>
      </c>
      <c r="F27">
        <f t="shared" si="4"/>
        <v>1</v>
      </c>
      <c r="G27" t="b">
        <f t="shared" si="5"/>
        <v>0</v>
      </c>
      <c r="H27">
        <v>0.49174967164893968</v>
      </c>
    </row>
    <row r="28" spans="1:8" x14ac:dyDescent="0.35">
      <c r="A28" s="13">
        <v>42410</v>
      </c>
      <c r="B28" s="14">
        <v>4061.2</v>
      </c>
      <c r="C28" s="2">
        <f t="shared" si="0"/>
        <v>1.5924793748155031E-2</v>
      </c>
      <c r="D28">
        <f t="shared" si="3"/>
        <v>1</v>
      </c>
      <c r="E28">
        <v>0.95863972884874826</v>
      </c>
      <c r="F28">
        <f t="shared" si="4"/>
        <v>1</v>
      </c>
      <c r="G28" t="b">
        <f t="shared" si="5"/>
        <v>1</v>
      </c>
      <c r="H28">
        <v>0.49174968321183082</v>
      </c>
    </row>
    <row r="29" spans="1:8" x14ac:dyDescent="0.35">
      <c r="A29" s="13">
        <v>42411</v>
      </c>
      <c r="B29" s="14">
        <v>3896.71</v>
      </c>
      <c r="C29" s="2">
        <f t="shared" si="0"/>
        <v>-4.0502807052102741E-2</v>
      </c>
      <c r="D29">
        <f t="shared" si="3"/>
        <v>0</v>
      </c>
      <c r="E29">
        <v>0.9589191914071975</v>
      </c>
      <c r="F29">
        <f t="shared" si="4"/>
        <v>1</v>
      </c>
      <c r="G29" t="b">
        <f t="shared" si="5"/>
        <v>0</v>
      </c>
      <c r="H29">
        <v>0.49174951885921508</v>
      </c>
    </row>
    <row r="30" spans="1:8" x14ac:dyDescent="0.35">
      <c r="A30" s="13">
        <v>42412</v>
      </c>
      <c r="B30" s="14">
        <v>3995.06</v>
      </c>
      <c r="C30" s="2">
        <f t="shared" si="0"/>
        <v>2.5239240282186826E-2</v>
      </c>
      <c r="D30">
        <f t="shared" si="3"/>
        <v>1</v>
      </c>
      <c r="E30">
        <v>0.95093226503964556</v>
      </c>
      <c r="F30">
        <f t="shared" si="4"/>
        <v>1</v>
      </c>
      <c r="G30" t="b">
        <f t="shared" si="5"/>
        <v>1</v>
      </c>
      <c r="H30">
        <v>0.49174953337887328</v>
      </c>
    </row>
    <row r="31" spans="1:8" x14ac:dyDescent="0.35">
      <c r="A31" s="13">
        <v>42415</v>
      </c>
      <c r="B31" s="14">
        <v>4115.25</v>
      </c>
      <c r="C31" s="2">
        <f t="shared" si="0"/>
        <v>3.0084654548367284E-2</v>
      </c>
      <c r="D31">
        <f t="shared" si="3"/>
        <v>1</v>
      </c>
      <c r="E31">
        <v>0.9512953120541191</v>
      </c>
      <c r="F31">
        <f t="shared" si="4"/>
        <v>1</v>
      </c>
      <c r="G31" t="b">
        <f t="shared" si="5"/>
        <v>1</v>
      </c>
      <c r="H31">
        <v>0.49174953572397156</v>
      </c>
    </row>
    <row r="32" spans="1:8" x14ac:dyDescent="0.35">
      <c r="A32" s="13">
        <v>42416</v>
      </c>
      <c r="B32" s="14">
        <v>4110.66</v>
      </c>
      <c r="C32" s="2">
        <f t="shared" si="0"/>
        <v>-1.1153635866594236E-3</v>
      </c>
      <c r="D32">
        <f t="shared" si="3"/>
        <v>0</v>
      </c>
      <c r="E32">
        <v>0.95188535073029124</v>
      </c>
      <c r="F32">
        <f t="shared" si="4"/>
        <v>1</v>
      </c>
      <c r="G32" t="b">
        <f t="shared" si="5"/>
        <v>0</v>
      </c>
      <c r="H32">
        <v>0.4917493787392771</v>
      </c>
    </row>
    <row r="33" spans="1:8" x14ac:dyDescent="0.35">
      <c r="A33" s="13">
        <v>42417</v>
      </c>
      <c r="B33" s="14">
        <v>4233.47</v>
      </c>
      <c r="C33" s="2">
        <f t="shared" si="0"/>
        <v>2.9875980986021844E-2</v>
      </c>
      <c r="D33">
        <f t="shared" si="3"/>
        <v>1</v>
      </c>
      <c r="E33">
        <v>0.93980022334815216</v>
      </c>
      <c r="F33">
        <f t="shared" si="4"/>
        <v>1</v>
      </c>
      <c r="G33" t="b">
        <f t="shared" si="5"/>
        <v>1</v>
      </c>
      <c r="H33">
        <v>0.4917493968962513</v>
      </c>
    </row>
    <row r="34" spans="1:8" x14ac:dyDescent="0.35">
      <c r="A34" s="13">
        <v>42418</v>
      </c>
      <c r="B34" s="14">
        <v>4239.76</v>
      </c>
      <c r="C34" s="2">
        <f t="shared" si="0"/>
        <v>1.485778805566218E-3</v>
      </c>
      <c r="D34">
        <f t="shared" si="3"/>
        <v>1</v>
      </c>
      <c r="E34">
        <v>0.94095725640358285</v>
      </c>
      <c r="F34">
        <f t="shared" si="4"/>
        <v>1</v>
      </c>
      <c r="G34" t="b">
        <f t="shared" si="5"/>
        <v>1</v>
      </c>
      <c r="H34">
        <v>0.4917494128617137</v>
      </c>
    </row>
    <row r="35" spans="1:8" x14ac:dyDescent="0.35">
      <c r="A35" s="13">
        <v>42419</v>
      </c>
      <c r="B35" s="14">
        <v>4223.04</v>
      </c>
      <c r="C35" s="2">
        <f t="shared" si="0"/>
        <v>-3.9436194501576427E-3</v>
      </c>
      <c r="D35">
        <f t="shared" si="3"/>
        <v>0</v>
      </c>
      <c r="E35">
        <v>0.94183767511033301</v>
      </c>
      <c r="F35">
        <f t="shared" si="4"/>
        <v>1</v>
      </c>
      <c r="G35" t="b">
        <f t="shared" si="5"/>
        <v>0</v>
      </c>
      <c r="H35">
        <v>0.49174905177135059</v>
      </c>
    </row>
    <row r="36" spans="1:8" x14ac:dyDescent="0.35">
      <c r="A36" s="13">
        <v>42422</v>
      </c>
      <c r="B36" s="14">
        <v>4298.7</v>
      </c>
      <c r="C36" s="2">
        <f t="shared" si="0"/>
        <v>1.7916003637190148E-2</v>
      </c>
      <c r="D36">
        <f t="shared" si="3"/>
        <v>1</v>
      </c>
      <c r="E36">
        <v>0.9287040473669036</v>
      </c>
      <c r="F36">
        <f t="shared" si="4"/>
        <v>1</v>
      </c>
      <c r="G36" t="b">
        <f t="shared" si="5"/>
        <v>1</v>
      </c>
      <c r="H36">
        <v>0.49174906337505492</v>
      </c>
    </row>
    <row r="37" spans="1:8" x14ac:dyDescent="0.35">
      <c r="A37" s="13">
        <v>42423</v>
      </c>
      <c r="B37" s="14">
        <v>4238.42</v>
      </c>
      <c r="C37" s="2">
        <f t="shared" si="0"/>
        <v>-1.4022844115662791E-2</v>
      </c>
      <c r="D37">
        <f t="shared" si="3"/>
        <v>0</v>
      </c>
      <c r="E37">
        <v>0.93039922437420197</v>
      </c>
      <c r="F37">
        <f t="shared" si="4"/>
        <v>1</v>
      </c>
      <c r="G37" t="b">
        <f t="shared" si="5"/>
        <v>0</v>
      </c>
      <c r="H37">
        <v>0.49174902613754595</v>
      </c>
    </row>
    <row r="38" spans="1:8" x14ac:dyDescent="0.35">
      <c r="A38" s="13">
        <v>42424</v>
      </c>
      <c r="B38" s="14">
        <v>4155.34</v>
      </c>
      <c r="C38" s="2">
        <f t="shared" si="0"/>
        <v>-1.9601644008852337E-2</v>
      </c>
      <c r="D38">
        <f t="shared" si="3"/>
        <v>0</v>
      </c>
      <c r="E38">
        <v>0.91740242986209297</v>
      </c>
      <c r="F38">
        <f t="shared" si="4"/>
        <v>1</v>
      </c>
      <c r="G38" t="b">
        <f t="shared" si="5"/>
        <v>0</v>
      </c>
      <c r="H38">
        <v>0.49174872926146396</v>
      </c>
    </row>
    <row r="39" spans="1:8" x14ac:dyDescent="0.35">
      <c r="A39" s="13">
        <v>42425</v>
      </c>
      <c r="B39" s="14">
        <v>4248.45</v>
      </c>
      <c r="C39" s="2">
        <f t="shared" si="0"/>
        <v>2.2407312037041383E-2</v>
      </c>
      <c r="D39">
        <f t="shared" si="3"/>
        <v>1</v>
      </c>
      <c r="E39">
        <v>0.882628679436254</v>
      </c>
      <c r="F39">
        <f t="shared" si="4"/>
        <v>1</v>
      </c>
      <c r="G39" t="b">
        <f t="shared" si="5"/>
        <v>1</v>
      </c>
      <c r="H39">
        <v>0.49174882280591542</v>
      </c>
    </row>
    <row r="40" spans="1:8" x14ac:dyDescent="0.35">
      <c r="A40" s="13">
        <v>42426</v>
      </c>
      <c r="B40" s="14">
        <v>4314.57</v>
      </c>
      <c r="C40" s="2">
        <f t="shared" si="0"/>
        <v>1.5563323094304859E-2</v>
      </c>
      <c r="D40">
        <f t="shared" si="3"/>
        <v>1</v>
      </c>
      <c r="E40">
        <v>0.88843611172118486</v>
      </c>
      <c r="F40">
        <f t="shared" si="4"/>
        <v>1</v>
      </c>
      <c r="G40" t="b">
        <f t="shared" si="5"/>
        <v>1</v>
      </c>
      <c r="H40">
        <v>0.49174886732366579</v>
      </c>
    </row>
    <row r="41" spans="1:8" x14ac:dyDescent="0.35">
      <c r="A41" s="13">
        <v>42429</v>
      </c>
      <c r="B41" s="14">
        <v>4353.55</v>
      </c>
      <c r="C41" s="2">
        <f t="shared" si="0"/>
        <v>9.0345040177817193E-3</v>
      </c>
      <c r="D41">
        <f t="shared" si="3"/>
        <v>1</v>
      </c>
      <c r="E41">
        <v>0.89283011779792332</v>
      </c>
      <c r="F41">
        <f t="shared" si="4"/>
        <v>1</v>
      </c>
      <c r="G41" t="b">
        <f t="shared" si="5"/>
        <v>1</v>
      </c>
      <c r="H41">
        <v>0.49174886944566781</v>
      </c>
    </row>
    <row r="42" spans="1:8" x14ac:dyDescent="0.35">
      <c r="A42" s="13">
        <v>42430</v>
      </c>
      <c r="B42" s="14">
        <v>4406.84</v>
      </c>
      <c r="C42" s="2">
        <f t="shared" si="0"/>
        <v>1.2240585269492676E-2</v>
      </c>
      <c r="D42">
        <f t="shared" si="3"/>
        <v>1</v>
      </c>
      <c r="E42">
        <v>0.89633536674476588</v>
      </c>
      <c r="F42">
        <f t="shared" si="4"/>
        <v>1</v>
      </c>
      <c r="G42" t="b">
        <f t="shared" si="5"/>
        <v>1</v>
      </c>
      <c r="H42">
        <v>0.49174892676350679</v>
      </c>
    </row>
    <row r="43" spans="1:8" x14ac:dyDescent="0.35">
      <c r="A43" s="13">
        <v>42431</v>
      </c>
      <c r="B43" s="14">
        <v>4424.8900000000003</v>
      </c>
      <c r="C43" s="2">
        <f t="shared" si="0"/>
        <v>4.0959054560638641E-3</v>
      </c>
      <c r="D43">
        <f t="shared" si="3"/>
        <v>1</v>
      </c>
      <c r="E43">
        <v>0.89923021953708016</v>
      </c>
      <c r="F43">
        <f t="shared" si="4"/>
        <v>1</v>
      </c>
      <c r="G43" t="b">
        <f t="shared" si="5"/>
        <v>1</v>
      </c>
      <c r="H43">
        <v>0.49174893455652058</v>
      </c>
    </row>
    <row r="44" spans="1:8" x14ac:dyDescent="0.35">
      <c r="A44" s="13">
        <v>42432</v>
      </c>
      <c r="B44" s="14">
        <v>4416.08</v>
      </c>
      <c r="C44" s="2">
        <f t="shared" si="0"/>
        <v>-1.9910099460100916E-3</v>
      </c>
      <c r="D44">
        <f t="shared" si="3"/>
        <v>0</v>
      </c>
      <c r="E44">
        <v>0.90248140357919837</v>
      </c>
      <c r="F44">
        <f t="shared" si="4"/>
        <v>1</v>
      </c>
      <c r="G44" t="b">
        <f t="shared" si="5"/>
        <v>0</v>
      </c>
      <c r="H44">
        <v>0.49174858474503197</v>
      </c>
    </row>
    <row r="45" spans="1:8" x14ac:dyDescent="0.35">
      <c r="A45" s="13">
        <v>42433</v>
      </c>
      <c r="B45" s="14">
        <v>4456.62</v>
      </c>
      <c r="C45" s="2">
        <f t="shared" si="0"/>
        <v>9.1800873172587227E-3</v>
      </c>
      <c r="D45">
        <f t="shared" si="3"/>
        <v>1</v>
      </c>
      <c r="E45">
        <v>0.85509382062223604</v>
      </c>
      <c r="F45">
        <f t="shared" si="4"/>
        <v>1</v>
      </c>
      <c r="G45" t="b">
        <f t="shared" si="5"/>
        <v>1</v>
      </c>
      <c r="H45">
        <v>0.491748670113688</v>
      </c>
    </row>
    <row r="46" spans="1:8" x14ac:dyDescent="0.35">
      <c r="A46" s="13">
        <v>42436</v>
      </c>
      <c r="B46" s="14">
        <v>4442.29</v>
      </c>
      <c r="C46" s="2">
        <f t="shared" si="0"/>
        <v>-3.2154412985625491E-3</v>
      </c>
      <c r="D46">
        <f t="shared" si="3"/>
        <v>0</v>
      </c>
      <c r="E46">
        <v>0.86328857653826763</v>
      </c>
      <c r="F46">
        <f t="shared" si="4"/>
        <v>1</v>
      </c>
      <c r="G46" t="b">
        <f t="shared" si="5"/>
        <v>0</v>
      </c>
      <c r="H46">
        <v>0.49174841655657647</v>
      </c>
    </row>
    <row r="47" spans="1:8" x14ac:dyDescent="0.35">
      <c r="A47" s="13">
        <v>42437</v>
      </c>
      <c r="B47" s="14">
        <v>4404.0200000000004</v>
      </c>
      <c r="C47" s="2">
        <f t="shared" si="0"/>
        <v>-8.6149260854198051E-3</v>
      </c>
      <c r="D47">
        <f t="shared" si="3"/>
        <v>0</v>
      </c>
      <c r="E47">
        <v>0.82162522456149034</v>
      </c>
      <c r="F47">
        <f t="shared" si="4"/>
        <v>1</v>
      </c>
      <c r="G47" t="b">
        <f t="shared" si="5"/>
        <v>0</v>
      </c>
      <c r="H47">
        <v>0.49174782937334938</v>
      </c>
    </row>
    <row r="48" spans="1:8" x14ac:dyDescent="0.35">
      <c r="A48" s="13">
        <v>42438</v>
      </c>
      <c r="B48" s="14">
        <v>4425.6499999999996</v>
      </c>
      <c r="C48" s="2">
        <f t="shared" si="0"/>
        <v>4.9114218373211838E-3</v>
      </c>
      <c r="D48">
        <f t="shared" si="3"/>
        <v>1</v>
      </c>
      <c r="E48">
        <v>0.76151546044686536</v>
      </c>
      <c r="F48">
        <f t="shared" si="4"/>
        <v>1</v>
      </c>
      <c r="G48" t="b">
        <f t="shared" si="5"/>
        <v>1</v>
      </c>
      <c r="H48">
        <v>0.49174804132825128</v>
      </c>
    </row>
    <row r="49" spans="1:8" x14ac:dyDescent="0.35">
      <c r="A49" s="13">
        <v>42439</v>
      </c>
      <c r="B49" s="14">
        <v>4350.3500000000004</v>
      </c>
      <c r="C49" s="2">
        <f t="shared" si="0"/>
        <v>-1.7014449854823477E-2</v>
      </c>
      <c r="D49">
        <f t="shared" si="3"/>
        <v>0</v>
      </c>
      <c r="E49">
        <v>0.79408683911461331</v>
      </c>
      <c r="F49">
        <f t="shared" si="4"/>
        <v>1</v>
      </c>
      <c r="G49" t="b">
        <f t="shared" si="5"/>
        <v>0</v>
      </c>
      <c r="H49">
        <v>0.49174723859009051</v>
      </c>
    </row>
    <row r="50" spans="1:8" x14ac:dyDescent="0.35">
      <c r="A50" s="13">
        <v>42440</v>
      </c>
      <c r="B50" s="14">
        <v>4492.79</v>
      </c>
      <c r="C50" s="2">
        <f t="shared" si="0"/>
        <v>3.2742193156872323E-2</v>
      </c>
      <c r="D50">
        <f t="shared" si="3"/>
        <v>1</v>
      </c>
      <c r="E50">
        <v>0.68911450520210249</v>
      </c>
      <c r="F50">
        <f t="shared" si="4"/>
        <v>1</v>
      </c>
      <c r="G50" t="b">
        <f t="shared" si="5"/>
        <v>1</v>
      </c>
      <c r="H50">
        <v>0.49174773482440942</v>
      </c>
    </row>
    <row r="51" spans="1:8" x14ac:dyDescent="0.35">
      <c r="A51" s="13">
        <v>42443</v>
      </c>
      <c r="B51" s="14">
        <v>4506.59</v>
      </c>
      <c r="C51" s="2">
        <f t="shared" si="0"/>
        <v>3.0715880332712331E-3</v>
      </c>
      <c r="D51">
        <f t="shared" si="3"/>
        <v>1</v>
      </c>
      <c r="E51">
        <v>0.74824206326705778</v>
      </c>
      <c r="F51">
        <f t="shared" si="4"/>
        <v>1</v>
      </c>
      <c r="G51" t="b">
        <f t="shared" si="5"/>
        <v>1</v>
      </c>
      <c r="H51">
        <v>0.4917478714769955</v>
      </c>
    </row>
    <row r="52" spans="1:8" x14ac:dyDescent="0.35">
      <c r="A52" s="13">
        <v>42444</v>
      </c>
      <c r="B52" s="14">
        <v>4472.63</v>
      </c>
      <c r="C52" s="2">
        <f t="shared" si="0"/>
        <v>-7.5356311534885423E-3</v>
      </c>
      <c r="D52">
        <f t="shared" si="3"/>
        <v>0</v>
      </c>
      <c r="E52">
        <v>0.77558760485062173</v>
      </c>
      <c r="F52">
        <f t="shared" si="4"/>
        <v>1</v>
      </c>
      <c r="G52" t="b">
        <f t="shared" si="5"/>
        <v>0</v>
      </c>
      <c r="H52">
        <v>0.49174762514417236</v>
      </c>
    </row>
    <row r="53" spans="1:8" x14ac:dyDescent="0.35">
      <c r="A53" s="13">
        <v>42445</v>
      </c>
      <c r="B53" s="14">
        <v>4463</v>
      </c>
      <c r="C53" s="2">
        <f t="shared" si="0"/>
        <v>-2.1530956059410133E-3</v>
      </c>
      <c r="D53">
        <f t="shared" si="3"/>
        <v>0</v>
      </c>
      <c r="E53">
        <v>0.58938190101275023</v>
      </c>
      <c r="F53">
        <f t="shared" si="4"/>
        <v>1</v>
      </c>
      <c r="G53" t="b">
        <f t="shared" si="5"/>
        <v>0</v>
      </c>
      <c r="H53">
        <v>0.49174715596787694</v>
      </c>
    </row>
    <row r="54" spans="1:8" x14ac:dyDescent="0.35">
      <c r="A54" s="13">
        <v>42446</v>
      </c>
      <c r="B54" s="14">
        <v>4442.8900000000003</v>
      </c>
      <c r="C54" s="2">
        <f t="shared" si="0"/>
        <v>-4.5059377100604703E-3</v>
      </c>
      <c r="D54">
        <f t="shared" si="3"/>
        <v>0</v>
      </c>
      <c r="E54">
        <v>0.45342278052550067</v>
      </c>
      <c r="F54">
        <f t="shared" si="4"/>
        <v>0</v>
      </c>
      <c r="G54" t="b">
        <f t="shared" si="5"/>
        <v>1</v>
      </c>
      <c r="H54">
        <v>0.49174636085303064</v>
      </c>
    </row>
    <row r="55" spans="1:8" x14ac:dyDescent="0.35">
      <c r="A55" s="13">
        <v>42447</v>
      </c>
      <c r="B55" s="14">
        <v>4462.51</v>
      </c>
      <c r="C55" s="2">
        <f t="shared" si="0"/>
        <v>4.4160445115679625E-3</v>
      </c>
      <c r="D55">
        <f t="shared" si="3"/>
        <v>1</v>
      </c>
      <c r="E55">
        <v>0.36545932159966293</v>
      </c>
      <c r="F55">
        <f t="shared" si="4"/>
        <v>0</v>
      </c>
      <c r="G55" t="b">
        <f t="shared" si="5"/>
        <v>0</v>
      </c>
      <c r="H55">
        <v>0.49174725984279272</v>
      </c>
    </row>
    <row r="56" spans="1:8" x14ac:dyDescent="0.35">
      <c r="A56" s="13">
        <v>42450</v>
      </c>
      <c r="B56" s="14">
        <v>4427.8</v>
      </c>
      <c r="C56" s="2">
        <f t="shared" si="0"/>
        <v>-7.7781338305124015E-3</v>
      </c>
      <c r="D56">
        <f t="shared" si="3"/>
        <v>0</v>
      </c>
      <c r="E56">
        <v>0.47075761606943961</v>
      </c>
      <c r="F56">
        <f t="shared" si="4"/>
        <v>0</v>
      </c>
      <c r="G56" t="b">
        <f t="shared" si="5"/>
        <v>1</v>
      </c>
      <c r="H56">
        <v>0.49174709658848781</v>
      </c>
    </row>
    <row r="57" spans="1:8" x14ac:dyDescent="0.35">
      <c r="A57" s="13">
        <v>42451</v>
      </c>
      <c r="B57" s="14">
        <v>4431.97</v>
      </c>
      <c r="C57" s="2">
        <f t="shared" si="0"/>
        <v>9.4177695469532807E-4</v>
      </c>
      <c r="D57">
        <f t="shared" si="3"/>
        <v>1</v>
      </c>
      <c r="E57">
        <v>0.38046485173931843</v>
      </c>
      <c r="F57">
        <f t="shared" si="4"/>
        <v>0</v>
      </c>
      <c r="G57" t="b">
        <f t="shared" si="5"/>
        <v>0</v>
      </c>
      <c r="H57">
        <v>0.49174723447319379</v>
      </c>
    </row>
    <row r="58" spans="1:8" x14ac:dyDescent="0.35">
      <c r="A58" s="13">
        <v>42452</v>
      </c>
      <c r="B58" s="14">
        <v>4423.9799999999996</v>
      </c>
      <c r="C58" s="2">
        <f t="shared" si="0"/>
        <v>-1.8028100370717226E-3</v>
      </c>
      <c r="D58">
        <f t="shared" si="3"/>
        <v>0</v>
      </c>
      <c r="E58">
        <v>0.51693585110854523</v>
      </c>
      <c r="F58">
        <f t="shared" si="4"/>
        <v>1</v>
      </c>
      <c r="G58" t="b">
        <f t="shared" si="5"/>
        <v>0</v>
      </c>
      <c r="H58">
        <v>0.49174720461390237</v>
      </c>
    </row>
    <row r="59" spans="1:8" x14ac:dyDescent="0.35">
      <c r="A59" s="13">
        <v>42453</v>
      </c>
      <c r="B59" s="14">
        <v>4329.68</v>
      </c>
      <c r="C59" s="2">
        <f t="shared" si="0"/>
        <v>-2.1315647900758905E-2</v>
      </c>
      <c r="D59">
        <f t="shared" si="3"/>
        <v>0</v>
      </c>
      <c r="E59">
        <v>0.37088225776325184</v>
      </c>
      <c r="F59">
        <f t="shared" si="4"/>
        <v>0</v>
      </c>
      <c r="G59" t="b">
        <f t="shared" si="5"/>
        <v>1</v>
      </c>
      <c r="H59">
        <v>0.49174656323077109</v>
      </c>
    </row>
    <row r="60" spans="1:8" x14ac:dyDescent="0.35">
      <c r="A60" s="13">
        <v>42458</v>
      </c>
      <c r="B60" s="14">
        <v>4366.67</v>
      </c>
      <c r="C60" s="2">
        <f t="shared" si="0"/>
        <v>8.5433565529091648E-3</v>
      </c>
      <c r="D60">
        <f t="shared" si="3"/>
        <v>1</v>
      </c>
      <c r="E60">
        <v>0.27140933495153258</v>
      </c>
      <c r="F60">
        <f t="shared" si="4"/>
        <v>0</v>
      </c>
      <c r="G60" t="b">
        <f t="shared" si="5"/>
        <v>0</v>
      </c>
      <c r="H60">
        <v>0.49174748010728497</v>
      </c>
    </row>
    <row r="61" spans="1:8" x14ac:dyDescent="0.35">
      <c r="A61" s="13">
        <v>42459</v>
      </c>
      <c r="B61" s="14">
        <v>4444.42</v>
      </c>
      <c r="C61" s="2">
        <f t="shared" si="0"/>
        <v>1.7805329919595492E-2</v>
      </c>
      <c r="D61">
        <f t="shared" si="3"/>
        <v>1</v>
      </c>
      <c r="E61">
        <v>0.39795406000192163</v>
      </c>
      <c r="F61">
        <f t="shared" si="4"/>
        <v>0</v>
      </c>
      <c r="G61" t="b">
        <f t="shared" si="5"/>
        <v>0</v>
      </c>
      <c r="H61">
        <v>0.49174836108831732</v>
      </c>
    </row>
    <row r="62" spans="1:8" x14ac:dyDescent="0.35">
      <c r="A62" s="13">
        <v>42460</v>
      </c>
      <c r="B62" s="14">
        <v>4385.0600000000004</v>
      </c>
      <c r="C62" s="2">
        <f t="shared" si="0"/>
        <v>-1.335607345840395E-2</v>
      </c>
      <c r="D62">
        <f t="shared" si="3"/>
        <v>0</v>
      </c>
      <c r="E62">
        <v>0.51953289973828187</v>
      </c>
      <c r="F62">
        <f t="shared" si="4"/>
        <v>1</v>
      </c>
      <c r="G62" t="b">
        <f t="shared" si="5"/>
        <v>0</v>
      </c>
      <c r="H62">
        <v>0.49174774135826388</v>
      </c>
    </row>
    <row r="63" spans="1:8" x14ac:dyDescent="0.35">
      <c r="A63" s="13">
        <v>42461</v>
      </c>
      <c r="B63" s="14">
        <v>4322.24</v>
      </c>
      <c r="C63" s="2">
        <f t="shared" si="0"/>
        <v>-1.432591572293207E-2</v>
      </c>
      <c r="D63">
        <f t="shared" si="3"/>
        <v>0</v>
      </c>
      <c r="E63">
        <v>0.42885770955709207</v>
      </c>
      <c r="F63">
        <f t="shared" si="4"/>
        <v>0</v>
      </c>
      <c r="G63" t="b">
        <f t="shared" si="5"/>
        <v>1</v>
      </c>
      <c r="H63">
        <v>0.49174772732590455</v>
      </c>
    </row>
    <row r="64" spans="1:8" x14ac:dyDescent="0.35">
      <c r="A64" s="13">
        <v>42464</v>
      </c>
      <c r="B64" s="14">
        <v>4345.22</v>
      </c>
      <c r="C64" s="2">
        <f t="shared" si="0"/>
        <v>5.3166876434442845E-3</v>
      </c>
      <c r="D64">
        <f t="shared" si="3"/>
        <v>1</v>
      </c>
      <c r="E64">
        <v>0.32318357261632202</v>
      </c>
      <c r="F64">
        <f t="shared" si="4"/>
        <v>0</v>
      </c>
      <c r="G64" t="b">
        <f t="shared" si="5"/>
        <v>0</v>
      </c>
      <c r="H64">
        <v>0.49174773241405018</v>
      </c>
    </row>
    <row r="65" spans="1:8" x14ac:dyDescent="0.35">
      <c r="A65" s="13">
        <v>42466</v>
      </c>
      <c r="B65" s="14">
        <v>4284.6400000000003</v>
      </c>
      <c r="C65" s="2">
        <f t="shared" si="0"/>
        <v>-1.3941756688959361E-2</v>
      </c>
      <c r="D65">
        <f t="shared" si="3"/>
        <v>0</v>
      </c>
      <c r="E65">
        <v>0.50546575805335026</v>
      </c>
      <c r="F65">
        <f t="shared" si="4"/>
        <v>1</v>
      </c>
      <c r="G65" t="b">
        <f t="shared" si="5"/>
        <v>0</v>
      </c>
      <c r="H65">
        <v>0.49174684083692777</v>
      </c>
    </row>
    <row r="66" spans="1:8" x14ac:dyDescent="0.35">
      <c r="A66" s="13">
        <v>42467</v>
      </c>
      <c r="B66" s="14">
        <v>4245.91</v>
      </c>
      <c r="C66" s="2">
        <f t="shared" si="0"/>
        <v>-9.0392658426380335E-3</v>
      </c>
      <c r="D66">
        <f t="shared" si="3"/>
        <v>0</v>
      </c>
      <c r="E66">
        <v>0.3639790752707493</v>
      </c>
      <c r="F66">
        <f t="shared" si="4"/>
        <v>0</v>
      </c>
      <c r="G66" t="b">
        <f t="shared" si="5"/>
        <v>1</v>
      </c>
      <c r="H66">
        <v>0.49174653807700514</v>
      </c>
    </row>
    <row r="67" spans="1:8" x14ac:dyDescent="0.35">
      <c r="A67" s="13">
        <v>42468</v>
      </c>
      <c r="B67" s="14">
        <v>4303.12</v>
      </c>
      <c r="C67" s="2">
        <f t="shared" si="0"/>
        <v>1.3474143352072865E-2</v>
      </c>
      <c r="D67">
        <f t="shared" si="3"/>
        <v>1</v>
      </c>
      <c r="E67">
        <v>0.30552628708355101</v>
      </c>
      <c r="F67">
        <f t="shared" si="4"/>
        <v>0</v>
      </c>
      <c r="G67" t="b">
        <f t="shared" si="5"/>
        <v>0</v>
      </c>
      <c r="H67">
        <v>0.49174658593615805</v>
      </c>
    </row>
    <row r="68" spans="1:8" x14ac:dyDescent="0.35">
      <c r="A68" s="13">
        <v>42471</v>
      </c>
      <c r="B68" s="14">
        <v>4312.63</v>
      </c>
      <c r="C68" s="2">
        <f t="shared" ref="C68:C131" si="6">(B68/B67)-1</f>
        <v>2.2100243544218579E-3</v>
      </c>
      <c r="D68">
        <f t="shared" si="3"/>
        <v>1</v>
      </c>
      <c r="E68">
        <v>0.4001196373516045</v>
      </c>
      <c r="F68">
        <f t="shared" si="4"/>
        <v>0</v>
      </c>
      <c r="G68" t="b">
        <f t="shared" si="5"/>
        <v>0</v>
      </c>
      <c r="H68">
        <v>0.4917467037923311</v>
      </c>
    </row>
    <row r="69" spans="1:8" x14ac:dyDescent="0.35">
      <c r="A69" s="13">
        <v>42472</v>
      </c>
      <c r="B69" s="14">
        <v>4345.91</v>
      </c>
      <c r="C69" s="2">
        <f t="shared" si="6"/>
        <v>7.7168688248236972E-3</v>
      </c>
      <c r="D69">
        <f t="shared" si="3"/>
        <v>1</v>
      </c>
      <c r="E69">
        <v>0.55127501031664983</v>
      </c>
      <c r="F69">
        <f t="shared" si="4"/>
        <v>1</v>
      </c>
      <c r="G69" t="b">
        <f t="shared" si="5"/>
        <v>1</v>
      </c>
      <c r="H69">
        <v>0.49174691622347494</v>
      </c>
    </row>
    <row r="70" spans="1:8" x14ac:dyDescent="0.35">
      <c r="A70" s="13">
        <v>42473</v>
      </c>
      <c r="B70" s="14">
        <v>4490.3100000000004</v>
      </c>
      <c r="C70" s="2">
        <f t="shared" si="6"/>
        <v>3.3226642981562193E-2</v>
      </c>
      <c r="D70">
        <f t="shared" ref="D70:D133" si="7">IF(C70&gt;=0,1,0)</f>
        <v>1</v>
      </c>
      <c r="E70">
        <v>0.64635121583210642</v>
      </c>
      <c r="F70">
        <f t="shared" si="4"/>
        <v>1</v>
      </c>
      <c r="G70" t="b">
        <f t="shared" si="5"/>
        <v>1</v>
      </c>
      <c r="H70">
        <v>0.49174712411619731</v>
      </c>
    </row>
    <row r="71" spans="1:8" x14ac:dyDescent="0.35">
      <c r="A71" s="13">
        <v>42474</v>
      </c>
      <c r="B71" s="14">
        <v>4511.51</v>
      </c>
      <c r="C71" s="2">
        <f t="shared" si="6"/>
        <v>4.7212775955334241E-3</v>
      </c>
      <c r="D71">
        <f t="shared" si="7"/>
        <v>1</v>
      </c>
      <c r="E71">
        <v>0.69939555597105041</v>
      </c>
      <c r="F71">
        <f t="shared" si="4"/>
        <v>1</v>
      </c>
      <c r="G71" t="b">
        <f t="shared" si="5"/>
        <v>1</v>
      </c>
      <c r="H71">
        <v>0.49174732382473474</v>
      </c>
    </row>
    <row r="72" spans="1:8" x14ac:dyDescent="0.35">
      <c r="A72" s="13">
        <v>42475</v>
      </c>
      <c r="B72" s="14">
        <v>4495.17</v>
      </c>
      <c r="C72" s="2">
        <f t="shared" si="6"/>
        <v>-3.621847230749875E-3</v>
      </c>
      <c r="D72">
        <f t="shared" si="7"/>
        <v>0</v>
      </c>
      <c r="E72">
        <v>0.73773841391127704</v>
      </c>
      <c r="F72">
        <f t="shared" si="4"/>
        <v>1</v>
      </c>
      <c r="G72" t="b">
        <f t="shared" si="5"/>
        <v>0</v>
      </c>
      <c r="H72">
        <v>0.49174697805550305</v>
      </c>
    </row>
    <row r="73" spans="1:8" x14ac:dyDescent="0.35">
      <c r="A73" s="13">
        <v>42478</v>
      </c>
      <c r="B73" s="14">
        <v>4506.84</v>
      </c>
      <c r="C73" s="2">
        <f t="shared" si="6"/>
        <v>2.5961198352899562E-3</v>
      </c>
      <c r="D73">
        <f t="shared" si="7"/>
        <v>1</v>
      </c>
      <c r="E73">
        <v>0.58773699207422625</v>
      </c>
      <c r="F73">
        <f t="shared" ref="F73:F136" si="8">IF(E73&gt;=0.5,1,0)</f>
        <v>1</v>
      </c>
      <c r="G73" t="b">
        <f t="shared" ref="G73:G136" si="9">IF(D73=F73,TRUE,FALSE)</f>
        <v>1</v>
      </c>
      <c r="H73">
        <v>0.49174711042295638</v>
      </c>
    </row>
    <row r="74" spans="1:8" x14ac:dyDescent="0.35">
      <c r="A74" s="13">
        <v>42479</v>
      </c>
      <c r="B74" s="14">
        <v>4566.4799999999996</v>
      </c>
      <c r="C74" s="2">
        <f t="shared" si="6"/>
        <v>1.3233218840695393E-2</v>
      </c>
      <c r="D74">
        <f t="shared" si="7"/>
        <v>1</v>
      </c>
      <c r="E74">
        <v>0.66919716249087036</v>
      </c>
      <c r="F74">
        <f t="shared" si="8"/>
        <v>1</v>
      </c>
      <c r="G74" t="b">
        <f t="shared" si="9"/>
        <v>1</v>
      </c>
      <c r="H74">
        <v>0.4917472653112907</v>
      </c>
    </row>
    <row r="75" spans="1:8" x14ac:dyDescent="0.35">
      <c r="A75" s="13">
        <v>42480</v>
      </c>
      <c r="B75" s="14">
        <v>4591.92</v>
      </c>
      <c r="C75" s="2">
        <f t="shared" si="6"/>
        <v>5.5710306406686616E-3</v>
      </c>
      <c r="D75">
        <f t="shared" si="7"/>
        <v>1</v>
      </c>
      <c r="E75">
        <v>0.72778527231952472</v>
      </c>
      <c r="F75">
        <f t="shared" si="8"/>
        <v>1</v>
      </c>
      <c r="G75" t="b">
        <f t="shared" si="9"/>
        <v>1</v>
      </c>
      <c r="H75">
        <v>0.49174759968977538</v>
      </c>
    </row>
    <row r="76" spans="1:8" x14ac:dyDescent="0.35">
      <c r="A76" s="13">
        <v>42481</v>
      </c>
      <c r="B76" s="14">
        <v>4582.83</v>
      </c>
      <c r="C76" s="2">
        <f t="shared" si="6"/>
        <v>-1.9795641039043188E-3</v>
      </c>
      <c r="D76">
        <f t="shared" si="7"/>
        <v>0</v>
      </c>
      <c r="E76">
        <v>0.77458351288139382</v>
      </c>
      <c r="F76">
        <f t="shared" si="8"/>
        <v>1</v>
      </c>
      <c r="G76" t="b">
        <f t="shared" si="9"/>
        <v>0</v>
      </c>
      <c r="H76">
        <v>0.4917473062270189</v>
      </c>
    </row>
    <row r="77" spans="1:8" x14ac:dyDescent="0.35">
      <c r="A77" s="13">
        <v>42482</v>
      </c>
      <c r="B77" s="14">
        <v>4569.66</v>
      </c>
      <c r="C77" s="2">
        <f t="shared" si="6"/>
        <v>-2.8737701376660985E-3</v>
      </c>
      <c r="D77">
        <f t="shared" si="7"/>
        <v>0</v>
      </c>
      <c r="E77">
        <v>0.65388684942933684</v>
      </c>
      <c r="F77">
        <f t="shared" si="8"/>
        <v>1</v>
      </c>
      <c r="G77" t="b">
        <f t="shared" si="9"/>
        <v>0</v>
      </c>
      <c r="H77">
        <v>0.49174704902128158</v>
      </c>
    </row>
    <row r="78" spans="1:8" x14ac:dyDescent="0.35">
      <c r="A78" s="13">
        <v>42485</v>
      </c>
      <c r="B78" s="14">
        <v>4546.12</v>
      </c>
      <c r="C78" s="2">
        <f t="shared" si="6"/>
        <v>-5.1513679354699971E-3</v>
      </c>
      <c r="D78">
        <f t="shared" si="7"/>
        <v>0</v>
      </c>
      <c r="E78">
        <v>0.484478086342918</v>
      </c>
      <c r="F78">
        <f t="shared" si="8"/>
        <v>0</v>
      </c>
      <c r="G78" t="b">
        <f t="shared" si="9"/>
        <v>1</v>
      </c>
      <c r="H78">
        <v>0.49174647857590587</v>
      </c>
    </row>
    <row r="79" spans="1:8" x14ac:dyDescent="0.35">
      <c r="A79" s="13">
        <v>42486</v>
      </c>
      <c r="B79" s="14">
        <v>4533.18</v>
      </c>
      <c r="C79" s="2">
        <f t="shared" si="6"/>
        <v>-2.8463832894862762E-3</v>
      </c>
      <c r="D79">
        <f t="shared" si="7"/>
        <v>0</v>
      </c>
      <c r="E79">
        <v>0.32224478058889927</v>
      </c>
      <c r="F79">
        <f t="shared" si="8"/>
        <v>0</v>
      </c>
      <c r="G79" t="b">
        <f t="shared" si="9"/>
        <v>1</v>
      </c>
      <c r="H79">
        <v>0.49174618830895966</v>
      </c>
    </row>
    <row r="80" spans="1:8" x14ac:dyDescent="0.35">
      <c r="A80" s="13">
        <v>42487</v>
      </c>
      <c r="B80" s="14">
        <v>4559.3999999999996</v>
      </c>
      <c r="C80" s="2">
        <f t="shared" si="6"/>
        <v>5.7840191653539819E-3</v>
      </c>
      <c r="D80">
        <f t="shared" si="7"/>
        <v>1</v>
      </c>
      <c r="E80">
        <v>0.25116444212163114</v>
      </c>
      <c r="F80">
        <f t="shared" si="8"/>
        <v>0</v>
      </c>
      <c r="G80" t="b">
        <f t="shared" si="9"/>
        <v>0</v>
      </c>
      <c r="H80">
        <v>0.49174690244890162</v>
      </c>
    </row>
    <row r="81" spans="1:8" x14ac:dyDescent="0.35">
      <c r="A81" s="13">
        <v>42488</v>
      </c>
      <c r="B81" s="14">
        <v>4557.3599999999997</v>
      </c>
      <c r="C81" s="2">
        <f t="shared" si="6"/>
        <v>-4.4742729306490592E-4</v>
      </c>
      <c r="D81">
        <f t="shared" si="7"/>
        <v>0</v>
      </c>
      <c r="E81">
        <v>0.40578634030346394</v>
      </c>
      <c r="F81">
        <f t="shared" si="8"/>
        <v>0</v>
      </c>
      <c r="G81" t="b">
        <f t="shared" si="9"/>
        <v>1</v>
      </c>
      <c r="H81">
        <v>0.49174641728527596</v>
      </c>
    </row>
    <row r="82" spans="1:8" x14ac:dyDescent="0.35">
      <c r="A82" s="13">
        <v>42489</v>
      </c>
      <c r="B82" s="14">
        <v>4428.96</v>
      </c>
      <c r="C82" s="2">
        <f t="shared" si="6"/>
        <v>-2.817420611933219E-2</v>
      </c>
      <c r="D82">
        <f t="shared" si="7"/>
        <v>0</v>
      </c>
      <c r="E82">
        <v>0.27872323451231451</v>
      </c>
      <c r="F82">
        <f t="shared" si="8"/>
        <v>0</v>
      </c>
      <c r="G82" t="b">
        <f t="shared" si="9"/>
        <v>1</v>
      </c>
      <c r="H82">
        <v>0.49174624854188054</v>
      </c>
    </row>
    <row r="83" spans="1:8" x14ac:dyDescent="0.35">
      <c r="A83" s="13">
        <v>42492</v>
      </c>
      <c r="B83" s="14">
        <v>4442.75</v>
      </c>
      <c r="C83" s="2">
        <f t="shared" si="6"/>
        <v>3.1135977746468146E-3</v>
      </c>
      <c r="D83">
        <f t="shared" si="7"/>
        <v>1</v>
      </c>
      <c r="E83">
        <v>0.24417633793114185</v>
      </c>
      <c r="F83">
        <f t="shared" si="8"/>
        <v>0</v>
      </c>
      <c r="G83" t="b">
        <f t="shared" si="9"/>
        <v>0</v>
      </c>
      <c r="H83">
        <v>0.49174653415131719</v>
      </c>
    </row>
    <row r="84" spans="1:8" x14ac:dyDescent="0.35">
      <c r="A84" s="13">
        <v>42493</v>
      </c>
      <c r="B84" s="14">
        <v>4371.9799999999996</v>
      </c>
      <c r="C84" s="2">
        <f t="shared" si="6"/>
        <v>-1.5929323054414635E-2</v>
      </c>
      <c r="D84">
        <f t="shared" si="7"/>
        <v>0</v>
      </c>
      <c r="E84">
        <v>0.37031558780633372</v>
      </c>
      <c r="F84">
        <f t="shared" si="8"/>
        <v>0</v>
      </c>
      <c r="G84" t="b">
        <f t="shared" si="9"/>
        <v>1</v>
      </c>
      <c r="H84">
        <v>0.49174596856189257</v>
      </c>
    </row>
    <row r="85" spans="1:8" x14ac:dyDescent="0.35">
      <c r="A85" s="13">
        <v>42494</v>
      </c>
      <c r="B85" s="14">
        <v>4324.2299999999996</v>
      </c>
      <c r="C85" s="2">
        <f t="shared" si="6"/>
        <v>-1.0921824893983967E-2</v>
      </c>
      <c r="D85">
        <f t="shared" si="7"/>
        <v>0</v>
      </c>
      <c r="E85">
        <v>0.29007159593550835</v>
      </c>
      <c r="F85">
        <f t="shared" si="8"/>
        <v>0</v>
      </c>
      <c r="G85" t="b">
        <f t="shared" si="9"/>
        <v>1</v>
      </c>
      <c r="H85">
        <v>0.49174543178700553</v>
      </c>
    </row>
    <row r="86" spans="1:8" x14ac:dyDescent="0.35">
      <c r="A86" s="13">
        <v>42495</v>
      </c>
      <c r="B86" s="14">
        <v>4319.46</v>
      </c>
      <c r="C86" s="2">
        <f t="shared" si="6"/>
        <v>-1.1030865610754947E-3</v>
      </c>
      <c r="D86">
        <f t="shared" si="7"/>
        <v>0</v>
      </c>
      <c r="E86">
        <v>0.23918446256277859</v>
      </c>
      <c r="F86">
        <f t="shared" si="8"/>
        <v>0</v>
      </c>
      <c r="G86" t="b">
        <f t="shared" si="9"/>
        <v>1</v>
      </c>
      <c r="H86">
        <v>0.49174533137266896</v>
      </c>
    </row>
    <row r="87" spans="1:8" x14ac:dyDescent="0.35">
      <c r="A87" s="13">
        <v>42496</v>
      </c>
      <c r="B87" s="14">
        <v>4301.24</v>
      </c>
      <c r="C87" s="2">
        <f t="shared" si="6"/>
        <v>-4.2181198575748091E-3</v>
      </c>
      <c r="D87">
        <f t="shared" si="7"/>
        <v>0</v>
      </c>
      <c r="E87">
        <v>0.21103775842567396</v>
      </c>
      <c r="F87">
        <f t="shared" si="8"/>
        <v>0</v>
      </c>
      <c r="G87" t="b">
        <f t="shared" si="9"/>
        <v>1</v>
      </c>
      <c r="H87">
        <v>0.49174523210074206</v>
      </c>
    </row>
    <row r="88" spans="1:8" x14ac:dyDescent="0.35">
      <c r="A88" s="13">
        <v>42499</v>
      </c>
      <c r="B88" s="14">
        <v>4322.8100000000004</v>
      </c>
      <c r="C88" s="2">
        <f t="shared" si="6"/>
        <v>5.0148329318988605E-3</v>
      </c>
      <c r="D88">
        <f t="shared" si="7"/>
        <v>1</v>
      </c>
      <c r="E88">
        <v>0.18391098839964007</v>
      </c>
      <c r="F88">
        <f t="shared" si="8"/>
        <v>0</v>
      </c>
      <c r="G88" t="b">
        <f t="shared" si="9"/>
        <v>0</v>
      </c>
      <c r="H88">
        <v>0.49174566918396889</v>
      </c>
    </row>
    <row r="89" spans="1:8" x14ac:dyDescent="0.35">
      <c r="A89" s="13">
        <v>42500</v>
      </c>
      <c r="B89" s="14">
        <v>4338.21</v>
      </c>
      <c r="C89" s="2">
        <f t="shared" si="6"/>
        <v>3.5624975421080229E-3</v>
      </c>
      <c r="D89">
        <f t="shared" si="7"/>
        <v>1</v>
      </c>
      <c r="E89">
        <v>0.26194921524076697</v>
      </c>
      <c r="F89">
        <f t="shared" si="8"/>
        <v>0</v>
      </c>
      <c r="G89" t="b">
        <f t="shared" si="9"/>
        <v>0</v>
      </c>
      <c r="H89">
        <v>0.49174631827758469</v>
      </c>
    </row>
    <row r="90" spans="1:8" x14ac:dyDescent="0.35">
      <c r="A90" s="13">
        <v>42501</v>
      </c>
      <c r="B90" s="14">
        <v>4316.67</v>
      </c>
      <c r="C90" s="2">
        <f t="shared" si="6"/>
        <v>-4.9651814919056125E-3</v>
      </c>
      <c r="D90">
        <f t="shared" si="7"/>
        <v>0</v>
      </c>
      <c r="E90">
        <v>0.38122033291666241</v>
      </c>
      <c r="F90">
        <f t="shared" si="8"/>
        <v>0</v>
      </c>
      <c r="G90" t="b">
        <f t="shared" si="9"/>
        <v>1</v>
      </c>
      <c r="H90">
        <v>0.49174610432678106</v>
      </c>
    </row>
    <row r="91" spans="1:8" x14ac:dyDescent="0.35">
      <c r="A91" s="13">
        <v>42502</v>
      </c>
      <c r="B91" s="14">
        <v>4293.2700000000004</v>
      </c>
      <c r="C91" s="2">
        <f t="shared" si="6"/>
        <v>-5.42084523486841E-3</v>
      </c>
      <c r="D91">
        <f t="shared" si="7"/>
        <v>0</v>
      </c>
      <c r="E91">
        <v>0.30370897765813509</v>
      </c>
      <c r="F91">
        <f t="shared" si="8"/>
        <v>0</v>
      </c>
      <c r="G91" t="b">
        <f t="shared" si="9"/>
        <v>1</v>
      </c>
      <c r="H91">
        <v>0.49174585030621742</v>
      </c>
    </row>
    <row r="92" spans="1:8" x14ac:dyDescent="0.35">
      <c r="A92" s="13">
        <v>42503</v>
      </c>
      <c r="B92" s="14">
        <v>4319.99</v>
      </c>
      <c r="C92" s="2">
        <f t="shared" si="6"/>
        <v>6.2236942936269024E-3</v>
      </c>
      <c r="D92">
        <f t="shared" si="7"/>
        <v>1</v>
      </c>
      <c r="E92">
        <v>0.24474604703888825</v>
      </c>
      <c r="F92">
        <f t="shared" si="8"/>
        <v>0</v>
      </c>
      <c r="G92" t="b">
        <f t="shared" si="9"/>
        <v>0</v>
      </c>
      <c r="H92">
        <v>0.49174663850058048</v>
      </c>
    </row>
    <row r="93" spans="1:8" x14ac:dyDescent="0.35">
      <c r="A93" s="13">
        <v>42506</v>
      </c>
      <c r="B93" s="14">
        <v>4312.28</v>
      </c>
      <c r="C93" s="2">
        <f t="shared" si="6"/>
        <v>-1.784726353533217E-3</v>
      </c>
      <c r="D93">
        <f t="shared" si="7"/>
        <v>0</v>
      </c>
      <c r="E93">
        <v>0.3794192786186219</v>
      </c>
      <c r="F93">
        <f t="shared" si="8"/>
        <v>0</v>
      </c>
      <c r="G93" t="b">
        <f t="shared" si="9"/>
        <v>1</v>
      </c>
      <c r="H93">
        <v>0.49174602403621298</v>
      </c>
    </row>
    <row r="94" spans="1:8" x14ac:dyDescent="0.35">
      <c r="A94" s="13">
        <v>42507</v>
      </c>
      <c r="B94" s="14">
        <v>4297.57</v>
      </c>
      <c r="C94" s="2">
        <f t="shared" si="6"/>
        <v>-3.4111885128053077E-3</v>
      </c>
      <c r="D94">
        <f t="shared" si="7"/>
        <v>0</v>
      </c>
      <c r="E94">
        <v>0.2686164722776323</v>
      </c>
      <c r="F94">
        <f t="shared" si="8"/>
        <v>0</v>
      </c>
      <c r="G94" t="b">
        <f t="shared" si="9"/>
        <v>1</v>
      </c>
      <c r="H94">
        <v>0.49174564554737066</v>
      </c>
    </row>
    <row r="95" spans="1:8" x14ac:dyDescent="0.35">
      <c r="A95" s="13">
        <v>42508</v>
      </c>
      <c r="B95" s="14">
        <v>4319.3</v>
      </c>
      <c r="C95" s="2">
        <f t="shared" si="6"/>
        <v>5.0563457954146962E-3</v>
      </c>
      <c r="D95">
        <f t="shared" si="7"/>
        <v>1</v>
      </c>
      <c r="E95">
        <v>0.21771327773240121</v>
      </c>
      <c r="F95">
        <f t="shared" si="8"/>
        <v>0</v>
      </c>
      <c r="G95" t="b">
        <f t="shared" si="9"/>
        <v>0</v>
      </c>
      <c r="H95">
        <v>0.49174670197105036</v>
      </c>
    </row>
    <row r="96" spans="1:8" x14ac:dyDescent="0.35">
      <c r="A96" s="13">
        <v>42509</v>
      </c>
      <c r="B96" s="14">
        <v>4282.54</v>
      </c>
      <c r="C96" s="2">
        <f t="shared" si="6"/>
        <v>-8.5106382978723527E-3</v>
      </c>
      <c r="D96">
        <f t="shared" si="7"/>
        <v>0</v>
      </c>
      <c r="E96">
        <v>0.36670410854696939</v>
      </c>
      <c r="F96">
        <f t="shared" si="8"/>
        <v>0</v>
      </c>
      <c r="G96" t="b">
        <f t="shared" si="9"/>
        <v>1</v>
      </c>
      <c r="H96">
        <v>0.4917465157018609</v>
      </c>
    </row>
    <row r="97" spans="1:8" x14ac:dyDescent="0.35">
      <c r="A97" s="13">
        <v>42510</v>
      </c>
      <c r="B97" s="14">
        <v>4353.8999999999996</v>
      </c>
      <c r="C97" s="2">
        <f t="shared" si="6"/>
        <v>1.666300840155599E-2</v>
      </c>
      <c r="D97">
        <f t="shared" si="7"/>
        <v>1</v>
      </c>
      <c r="E97">
        <v>0.26802854434180928</v>
      </c>
      <c r="F97">
        <f t="shared" si="8"/>
        <v>0</v>
      </c>
      <c r="G97" t="b">
        <f t="shared" si="9"/>
        <v>0</v>
      </c>
      <c r="H97">
        <v>0.49174703399978298</v>
      </c>
    </row>
    <row r="98" spans="1:8" x14ac:dyDescent="0.35">
      <c r="A98" s="13">
        <v>42513</v>
      </c>
      <c r="B98" s="14">
        <v>4325.1000000000004</v>
      </c>
      <c r="C98" s="2">
        <f t="shared" si="6"/>
        <v>-6.6147591814234019E-3</v>
      </c>
      <c r="D98">
        <f t="shared" si="7"/>
        <v>0</v>
      </c>
      <c r="E98">
        <v>0.36183852505193564</v>
      </c>
      <c r="F98">
        <f t="shared" si="8"/>
        <v>0</v>
      </c>
      <c r="G98" t="b">
        <f t="shared" si="9"/>
        <v>1</v>
      </c>
      <c r="H98">
        <v>0.49174674625007231</v>
      </c>
    </row>
    <row r="99" spans="1:8" x14ac:dyDescent="0.35">
      <c r="A99" s="13">
        <v>42514</v>
      </c>
      <c r="B99" s="14">
        <v>4431.5200000000004</v>
      </c>
      <c r="C99" s="2">
        <f t="shared" si="6"/>
        <v>2.4605211440198005E-2</v>
      </c>
      <c r="D99">
        <f t="shared" si="7"/>
        <v>1</v>
      </c>
      <c r="E99">
        <v>0.26819213598888214</v>
      </c>
      <c r="F99">
        <f t="shared" si="8"/>
        <v>0</v>
      </c>
      <c r="G99" t="b">
        <f t="shared" si="9"/>
        <v>0</v>
      </c>
      <c r="H99">
        <v>0.49174792267155321</v>
      </c>
    </row>
    <row r="100" spans="1:8" x14ac:dyDescent="0.35">
      <c r="A100" s="13">
        <v>42515</v>
      </c>
      <c r="B100" s="14">
        <v>4481.6400000000003</v>
      </c>
      <c r="C100" s="2">
        <f t="shared" si="6"/>
        <v>1.1309889157670394E-2</v>
      </c>
      <c r="D100">
        <f t="shared" si="7"/>
        <v>1</v>
      </c>
      <c r="E100">
        <v>0.3926044820135387</v>
      </c>
      <c r="F100">
        <f t="shared" si="8"/>
        <v>0</v>
      </c>
      <c r="G100" t="b">
        <f t="shared" si="9"/>
        <v>0</v>
      </c>
      <c r="H100">
        <v>0.49174833986078348</v>
      </c>
    </row>
    <row r="101" spans="1:8" x14ac:dyDescent="0.35">
      <c r="A101" s="13">
        <v>42516</v>
      </c>
      <c r="B101" s="14">
        <v>4512.6400000000003</v>
      </c>
      <c r="C101" s="2">
        <f t="shared" si="6"/>
        <v>6.9171107005470134E-3</v>
      </c>
      <c r="D101">
        <f t="shared" si="7"/>
        <v>1</v>
      </c>
      <c r="E101">
        <v>0.55253752357079888</v>
      </c>
      <c r="F101">
        <f t="shared" si="8"/>
        <v>1</v>
      </c>
      <c r="G101" t="b">
        <f t="shared" si="9"/>
        <v>1</v>
      </c>
      <c r="H101">
        <v>0.49174837009346178</v>
      </c>
    </row>
    <row r="102" spans="1:8" x14ac:dyDescent="0.35">
      <c r="A102" s="13">
        <v>42517</v>
      </c>
      <c r="B102" s="14">
        <v>4514.74</v>
      </c>
      <c r="C102" s="2">
        <f t="shared" si="6"/>
        <v>4.6535952347181997E-4</v>
      </c>
      <c r="D102">
        <f t="shared" si="7"/>
        <v>1</v>
      </c>
      <c r="E102">
        <v>0.66201596234999227</v>
      </c>
      <c r="F102">
        <f t="shared" si="8"/>
        <v>1</v>
      </c>
      <c r="G102" t="b">
        <f t="shared" si="9"/>
        <v>1</v>
      </c>
      <c r="H102">
        <v>0.49174854497003107</v>
      </c>
    </row>
    <row r="103" spans="1:8" x14ac:dyDescent="0.35">
      <c r="A103" s="13">
        <v>42520</v>
      </c>
      <c r="B103" s="14">
        <v>4529.3999999999996</v>
      </c>
      <c r="C103" s="2">
        <f t="shared" si="6"/>
        <v>3.2471415851189622E-3</v>
      </c>
      <c r="D103">
        <f t="shared" si="7"/>
        <v>1</v>
      </c>
      <c r="E103">
        <v>0.74817613243282854</v>
      </c>
      <c r="F103">
        <f t="shared" si="8"/>
        <v>1</v>
      </c>
      <c r="G103" t="b">
        <f t="shared" si="9"/>
        <v>1</v>
      </c>
      <c r="H103">
        <v>0.49174892872661857</v>
      </c>
    </row>
    <row r="104" spans="1:8" x14ac:dyDescent="0.35">
      <c r="A104" s="13">
        <v>42521</v>
      </c>
      <c r="B104" s="14">
        <v>4505.62</v>
      </c>
      <c r="C104" s="2">
        <f t="shared" si="6"/>
        <v>-5.2501435068661451E-3</v>
      </c>
      <c r="D104">
        <f t="shared" si="7"/>
        <v>0</v>
      </c>
      <c r="E104">
        <v>0.77583027056276566</v>
      </c>
      <c r="F104">
        <f t="shared" si="8"/>
        <v>1</v>
      </c>
      <c r="G104" t="b">
        <f t="shared" si="9"/>
        <v>0</v>
      </c>
      <c r="H104">
        <v>0.49174863937679369</v>
      </c>
    </row>
    <row r="105" spans="1:8" x14ac:dyDescent="0.35">
      <c r="A105" s="13">
        <v>42522</v>
      </c>
      <c r="B105" s="14">
        <v>4475.3900000000003</v>
      </c>
      <c r="C105" s="2">
        <f t="shared" si="6"/>
        <v>-6.7093984845592036E-3</v>
      </c>
      <c r="D105">
        <f t="shared" si="7"/>
        <v>0</v>
      </c>
      <c r="E105">
        <v>0.68202771804641227</v>
      </c>
      <c r="F105">
        <f t="shared" si="8"/>
        <v>1</v>
      </c>
      <c r="G105" t="b">
        <f t="shared" si="9"/>
        <v>0</v>
      </c>
      <c r="H105">
        <v>0.49174766028280792</v>
      </c>
    </row>
    <row r="106" spans="1:8" x14ac:dyDescent="0.35">
      <c r="A106" s="13">
        <v>42523</v>
      </c>
      <c r="B106" s="14">
        <v>4466</v>
      </c>
      <c r="C106" s="2">
        <f t="shared" si="6"/>
        <v>-2.0981411675854433E-3</v>
      </c>
      <c r="D106">
        <f t="shared" si="7"/>
        <v>0</v>
      </c>
      <c r="E106">
        <v>0.54950083494399204</v>
      </c>
      <c r="F106">
        <f t="shared" si="8"/>
        <v>1</v>
      </c>
      <c r="G106" t="b">
        <f t="shared" si="9"/>
        <v>0</v>
      </c>
      <c r="H106">
        <v>0.4917470617575691</v>
      </c>
    </row>
    <row r="107" spans="1:8" x14ac:dyDescent="0.35">
      <c r="A107" s="13">
        <v>42524</v>
      </c>
      <c r="B107" s="14">
        <v>4421.78</v>
      </c>
      <c r="C107" s="2">
        <f t="shared" si="6"/>
        <v>-9.9014778325123842E-3</v>
      </c>
      <c r="D107">
        <f t="shared" si="7"/>
        <v>0</v>
      </c>
      <c r="E107">
        <v>0.42215418196760857</v>
      </c>
      <c r="F107">
        <f t="shared" si="8"/>
        <v>0</v>
      </c>
      <c r="G107" t="b">
        <f t="shared" si="9"/>
        <v>1</v>
      </c>
      <c r="H107">
        <v>0.49174670910062457</v>
      </c>
    </row>
    <row r="108" spans="1:8" x14ac:dyDescent="0.35">
      <c r="A108" s="13">
        <v>42527</v>
      </c>
      <c r="B108" s="14">
        <v>4423.38</v>
      </c>
      <c r="C108" s="2">
        <f t="shared" si="6"/>
        <v>3.6184522974913591E-4</v>
      </c>
      <c r="D108">
        <f t="shared" si="7"/>
        <v>1</v>
      </c>
      <c r="E108">
        <v>0.30817963978883806</v>
      </c>
      <c r="F108">
        <f t="shared" si="8"/>
        <v>0</v>
      </c>
      <c r="G108" t="b">
        <f t="shared" si="9"/>
        <v>0</v>
      </c>
      <c r="H108">
        <v>0.49174771466094214</v>
      </c>
    </row>
    <row r="109" spans="1:8" x14ac:dyDescent="0.35">
      <c r="A109" s="13">
        <v>42528</v>
      </c>
      <c r="B109" s="14">
        <v>4475.8599999999997</v>
      </c>
      <c r="C109" s="2">
        <f t="shared" si="6"/>
        <v>1.1864230520552077E-2</v>
      </c>
      <c r="D109">
        <f t="shared" si="7"/>
        <v>1</v>
      </c>
      <c r="E109">
        <v>0.47005275251116374</v>
      </c>
      <c r="F109">
        <f t="shared" si="8"/>
        <v>0</v>
      </c>
      <c r="G109" t="b">
        <f t="shared" si="9"/>
        <v>0</v>
      </c>
      <c r="H109">
        <v>0.49174780206773844</v>
      </c>
    </row>
    <row r="110" spans="1:8" x14ac:dyDescent="0.35">
      <c r="A110" s="13">
        <v>42529</v>
      </c>
      <c r="B110" s="14">
        <v>4448.7299999999996</v>
      </c>
      <c r="C110" s="2">
        <f t="shared" si="6"/>
        <v>-6.0614049590470565E-3</v>
      </c>
      <c r="D110">
        <f t="shared" si="7"/>
        <v>0</v>
      </c>
      <c r="E110">
        <v>0.56962936674704123</v>
      </c>
      <c r="F110">
        <f t="shared" si="8"/>
        <v>1</v>
      </c>
      <c r="G110" t="b">
        <f t="shared" si="9"/>
        <v>0</v>
      </c>
      <c r="H110">
        <v>0.49174659268667043</v>
      </c>
    </row>
    <row r="111" spans="1:8" x14ac:dyDescent="0.35">
      <c r="A111" s="13">
        <v>42530</v>
      </c>
      <c r="B111" s="14">
        <v>4405.6099999999997</v>
      </c>
      <c r="C111" s="2">
        <f t="shared" si="6"/>
        <v>-9.6926538585169197E-3</v>
      </c>
      <c r="D111">
        <f t="shared" si="7"/>
        <v>0</v>
      </c>
      <c r="E111">
        <v>0.45513144862200239</v>
      </c>
      <c r="F111">
        <f t="shared" si="8"/>
        <v>0</v>
      </c>
      <c r="G111" t="b">
        <f t="shared" si="9"/>
        <v>1</v>
      </c>
      <c r="H111">
        <v>0.4917465713495659</v>
      </c>
    </row>
    <row r="112" spans="1:8" x14ac:dyDescent="0.35">
      <c r="A112" s="13">
        <v>42531</v>
      </c>
      <c r="B112" s="14">
        <v>4306.72</v>
      </c>
      <c r="C112" s="2">
        <f t="shared" si="6"/>
        <v>-2.2446380864397764E-2</v>
      </c>
      <c r="D112">
        <f t="shared" si="7"/>
        <v>0</v>
      </c>
      <c r="E112">
        <v>0.32036698827499116</v>
      </c>
      <c r="F112">
        <f t="shared" si="8"/>
        <v>0</v>
      </c>
      <c r="G112" t="b">
        <f t="shared" si="9"/>
        <v>1</v>
      </c>
      <c r="H112">
        <v>0.49174622953460684</v>
      </c>
    </row>
    <row r="113" spans="1:8" x14ac:dyDescent="0.35">
      <c r="A113" s="13">
        <v>42534</v>
      </c>
      <c r="B113" s="14">
        <v>4227.0200000000004</v>
      </c>
      <c r="C113" s="2">
        <f t="shared" si="6"/>
        <v>-1.8505962774454709E-2</v>
      </c>
      <c r="D113">
        <f t="shared" si="7"/>
        <v>0</v>
      </c>
      <c r="E113">
        <v>0.25718869638191794</v>
      </c>
      <c r="F113">
        <f t="shared" si="8"/>
        <v>0</v>
      </c>
      <c r="G113" t="b">
        <f t="shared" si="9"/>
        <v>1</v>
      </c>
      <c r="H113">
        <v>0.49174605618261175</v>
      </c>
    </row>
    <row r="114" spans="1:8" x14ac:dyDescent="0.35">
      <c r="A114" s="13">
        <v>42535</v>
      </c>
      <c r="B114" s="14">
        <v>4130.33</v>
      </c>
      <c r="C114" s="2">
        <f t="shared" si="6"/>
        <v>-2.287427076285431E-2</v>
      </c>
      <c r="D114">
        <f t="shared" si="7"/>
        <v>0</v>
      </c>
      <c r="E114">
        <v>0.22349070202880497</v>
      </c>
      <c r="F114">
        <f t="shared" si="8"/>
        <v>0</v>
      </c>
      <c r="G114" t="b">
        <f t="shared" si="9"/>
        <v>1</v>
      </c>
      <c r="H114">
        <v>0.49174574404405486</v>
      </c>
    </row>
    <row r="115" spans="1:8" x14ac:dyDescent="0.35">
      <c r="A115" s="13">
        <v>42536</v>
      </c>
      <c r="B115" s="14">
        <v>4171.58</v>
      </c>
      <c r="C115" s="2">
        <f t="shared" si="6"/>
        <v>9.987095462105966E-3</v>
      </c>
      <c r="D115">
        <f t="shared" si="7"/>
        <v>1</v>
      </c>
      <c r="E115">
        <v>0.20208291060417305</v>
      </c>
      <c r="F115">
        <f t="shared" si="8"/>
        <v>0</v>
      </c>
      <c r="G115" t="b">
        <f t="shared" si="9"/>
        <v>0</v>
      </c>
      <c r="H115">
        <v>0.49174578910470573</v>
      </c>
    </row>
    <row r="116" spans="1:8" x14ac:dyDescent="0.35">
      <c r="A116" s="13">
        <v>42537</v>
      </c>
      <c r="B116" s="14">
        <v>4153.01</v>
      </c>
      <c r="C116" s="2">
        <f t="shared" si="6"/>
        <v>-4.4515507313774849E-3</v>
      </c>
      <c r="D116">
        <f t="shared" si="7"/>
        <v>0</v>
      </c>
      <c r="E116">
        <v>0.30961131591547886</v>
      </c>
      <c r="F116">
        <f t="shared" si="8"/>
        <v>0</v>
      </c>
      <c r="G116" t="b">
        <f t="shared" si="9"/>
        <v>1</v>
      </c>
      <c r="H116">
        <v>0.49174522487586053</v>
      </c>
    </row>
    <row r="117" spans="1:8" x14ac:dyDescent="0.35">
      <c r="A117" s="13">
        <v>42538</v>
      </c>
      <c r="B117" s="14">
        <v>4193.83</v>
      </c>
      <c r="C117" s="2">
        <f t="shared" si="6"/>
        <v>9.8290155814697577E-3</v>
      </c>
      <c r="D117">
        <f t="shared" si="7"/>
        <v>1</v>
      </c>
      <c r="E117">
        <v>0.24656968969157819</v>
      </c>
      <c r="F117">
        <f t="shared" si="8"/>
        <v>0</v>
      </c>
      <c r="G117" t="b">
        <f t="shared" si="9"/>
        <v>0</v>
      </c>
      <c r="H117">
        <v>0.49174632219519815</v>
      </c>
    </row>
    <row r="118" spans="1:8" x14ac:dyDescent="0.35">
      <c r="A118" s="13">
        <v>42541</v>
      </c>
      <c r="B118" s="14">
        <v>4340.76</v>
      </c>
      <c r="C118" s="2">
        <f t="shared" si="6"/>
        <v>3.5034801124509185E-2</v>
      </c>
      <c r="D118">
        <f t="shared" si="7"/>
        <v>1</v>
      </c>
      <c r="E118">
        <v>0.34201718937696485</v>
      </c>
      <c r="F118">
        <f t="shared" si="8"/>
        <v>0</v>
      </c>
      <c r="G118" t="b">
        <f t="shared" si="9"/>
        <v>0</v>
      </c>
      <c r="H118">
        <v>0.49174732426035028</v>
      </c>
    </row>
    <row r="119" spans="1:8" x14ac:dyDescent="0.35">
      <c r="A119" s="13">
        <v>42542</v>
      </c>
      <c r="B119" s="14">
        <v>4367.24</v>
      </c>
      <c r="C119" s="2">
        <f t="shared" si="6"/>
        <v>6.1003142306876867E-3</v>
      </c>
      <c r="D119">
        <f t="shared" si="7"/>
        <v>1</v>
      </c>
      <c r="E119">
        <v>0.48450102120582594</v>
      </c>
      <c r="F119">
        <f t="shared" si="8"/>
        <v>0</v>
      </c>
      <c r="G119" t="b">
        <f t="shared" si="9"/>
        <v>0</v>
      </c>
      <c r="H119">
        <v>0.49174774533336568</v>
      </c>
    </row>
    <row r="120" spans="1:8" x14ac:dyDescent="0.35">
      <c r="A120" s="13">
        <v>42543</v>
      </c>
      <c r="B120" s="14">
        <v>4380.03</v>
      </c>
      <c r="C120" s="2">
        <f t="shared" si="6"/>
        <v>2.9286231120799755E-3</v>
      </c>
      <c r="D120">
        <f t="shared" si="7"/>
        <v>1</v>
      </c>
      <c r="E120">
        <v>0.63627037241393702</v>
      </c>
      <c r="F120">
        <f t="shared" si="8"/>
        <v>1</v>
      </c>
      <c r="G120" t="b">
        <f t="shared" si="9"/>
        <v>1</v>
      </c>
      <c r="H120">
        <v>0.49174781436470683</v>
      </c>
    </row>
    <row r="121" spans="1:8" x14ac:dyDescent="0.35">
      <c r="A121" s="13">
        <v>42544</v>
      </c>
      <c r="B121" s="14">
        <v>4465.8999999999996</v>
      </c>
      <c r="C121" s="2">
        <f t="shared" si="6"/>
        <v>1.9604888550991628E-2</v>
      </c>
      <c r="D121">
        <f t="shared" si="7"/>
        <v>1</v>
      </c>
      <c r="E121">
        <v>0.72448208795089897</v>
      </c>
      <c r="F121">
        <f t="shared" si="8"/>
        <v>1</v>
      </c>
      <c r="G121" t="b">
        <f t="shared" si="9"/>
        <v>1</v>
      </c>
      <c r="H121">
        <v>0.49174817981968127</v>
      </c>
    </row>
    <row r="122" spans="1:8" x14ac:dyDescent="0.35">
      <c r="A122" s="13">
        <v>42545</v>
      </c>
      <c r="B122" s="14">
        <v>4106.7299999999996</v>
      </c>
      <c r="C122" s="2">
        <f t="shared" si="6"/>
        <v>-8.0424998320607344E-2</v>
      </c>
      <c r="D122">
        <f t="shared" si="7"/>
        <v>0</v>
      </c>
      <c r="E122">
        <v>0.76412170017279013</v>
      </c>
      <c r="F122">
        <f t="shared" si="8"/>
        <v>1</v>
      </c>
      <c r="G122" t="b">
        <f t="shared" si="9"/>
        <v>0</v>
      </c>
      <c r="H122">
        <v>0.49174736255774704</v>
      </c>
    </row>
    <row r="123" spans="1:8" x14ac:dyDescent="0.35">
      <c r="A123" s="13">
        <v>42548</v>
      </c>
      <c r="B123" s="14">
        <v>3984.72</v>
      </c>
      <c r="C123" s="2">
        <f t="shared" si="6"/>
        <v>-2.9709769086353366E-2</v>
      </c>
      <c r="D123">
        <f t="shared" si="7"/>
        <v>0</v>
      </c>
      <c r="E123">
        <v>0.64957968885783013</v>
      </c>
      <c r="F123">
        <f t="shared" si="8"/>
        <v>1</v>
      </c>
      <c r="G123" t="b">
        <f t="shared" si="9"/>
        <v>0</v>
      </c>
      <c r="H123">
        <v>0.49174634840094028</v>
      </c>
    </row>
    <row r="124" spans="1:8" x14ac:dyDescent="0.35">
      <c r="A124" s="13">
        <v>42549</v>
      </c>
      <c r="B124" s="14">
        <v>4088.85</v>
      </c>
      <c r="C124" s="2">
        <f t="shared" si="6"/>
        <v>2.6132325483346319E-2</v>
      </c>
      <c r="D124">
        <f t="shared" si="7"/>
        <v>1</v>
      </c>
      <c r="E124">
        <v>0.47728426353274661</v>
      </c>
      <c r="F124">
        <f t="shared" si="8"/>
        <v>0</v>
      </c>
      <c r="G124" t="b">
        <f t="shared" si="9"/>
        <v>0</v>
      </c>
      <c r="H124">
        <v>0.49174673536494662</v>
      </c>
    </row>
    <row r="125" spans="1:8" x14ac:dyDescent="0.35">
      <c r="A125" s="13">
        <v>42550</v>
      </c>
      <c r="B125" s="14">
        <v>4195.32</v>
      </c>
      <c r="C125" s="2">
        <f t="shared" si="6"/>
        <v>2.6039106350196128E-2</v>
      </c>
      <c r="D125">
        <f t="shared" si="7"/>
        <v>1</v>
      </c>
      <c r="E125">
        <v>0.62968057582830783</v>
      </c>
      <c r="F125">
        <f t="shared" si="8"/>
        <v>1</v>
      </c>
      <c r="G125" t="b">
        <f t="shared" si="9"/>
        <v>1</v>
      </c>
      <c r="H125">
        <v>0.49174734233687356</v>
      </c>
    </row>
    <row r="126" spans="1:8" x14ac:dyDescent="0.35">
      <c r="A126" s="13">
        <v>42551</v>
      </c>
      <c r="B126" s="14">
        <v>4237.4799999999996</v>
      </c>
      <c r="C126" s="2">
        <f t="shared" si="6"/>
        <v>1.0049293021747951E-2</v>
      </c>
      <c r="D126">
        <f t="shared" si="7"/>
        <v>1</v>
      </c>
      <c r="E126">
        <v>0.71268039675035844</v>
      </c>
      <c r="F126">
        <f t="shared" si="8"/>
        <v>1</v>
      </c>
      <c r="G126" t="b">
        <f t="shared" si="9"/>
        <v>1</v>
      </c>
      <c r="H126">
        <v>0.4917474607036042</v>
      </c>
    </row>
    <row r="127" spans="1:8" x14ac:dyDescent="0.35">
      <c r="A127" s="13">
        <v>42552</v>
      </c>
      <c r="B127" s="14">
        <v>4273.96</v>
      </c>
      <c r="C127" s="2">
        <f t="shared" si="6"/>
        <v>8.6088901894523229E-3</v>
      </c>
      <c r="D127">
        <f t="shared" si="7"/>
        <v>1</v>
      </c>
      <c r="E127">
        <v>0.76558185183911276</v>
      </c>
      <c r="F127">
        <f t="shared" si="8"/>
        <v>1</v>
      </c>
      <c r="G127" t="b">
        <f t="shared" si="9"/>
        <v>1</v>
      </c>
      <c r="H127">
        <v>0.49174762644524661</v>
      </c>
    </row>
    <row r="128" spans="1:8" x14ac:dyDescent="0.35">
      <c r="A128" s="13">
        <v>42555</v>
      </c>
      <c r="B128" s="14">
        <v>4234.8599999999997</v>
      </c>
      <c r="C128" s="2">
        <f t="shared" si="6"/>
        <v>-9.1484244120207947E-3</v>
      </c>
      <c r="D128">
        <f t="shared" si="7"/>
        <v>0</v>
      </c>
      <c r="E128">
        <v>0.78455127891429399</v>
      </c>
      <c r="F128">
        <f t="shared" si="8"/>
        <v>1</v>
      </c>
      <c r="G128" t="b">
        <f t="shared" si="9"/>
        <v>0</v>
      </c>
      <c r="H128">
        <v>0.49174661439831896</v>
      </c>
    </row>
    <row r="129" spans="1:8" x14ac:dyDescent="0.35">
      <c r="A129" s="13">
        <v>42556</v>
      </c>
      <c r="B129" s="14">
        <v>4163.42</v>
      </c>
      <c r="C129" s="2">
        <f t="shared" si="6"/>
        <v>-1.686950690223521E-2</v>
      </c>
      <c r="D129">
        <f t="shared" si="7"/>
        <v>0</v>
      </c>
      <c r="E129">
        <v>0.66668054693510537</v>
      </c>
      <c r="F129">
        <f t="shared" si="8"/>
        <v>1</v>
      </c>
      <c r="G129" t="b">
        <f t="shared" si="9"/>
        <v>0</v>
      </c>
      <c r="H129">
        <v>0.49174538806193452</v>
      </c>
    </row>
    <row r="130" spans="1:8" x14ac:dyDescent="0.35">
      <c r="A130" s="13">
        <v>42557</v>
      </c>
      <c r="B130" s="14">
        <v>4085.3</v>
      </c>
      <c r="C130" s="2">
        <f t="shared" si="6"/>
        <v>-1.8763420457220237E-2</v>
      </c>
      <c r="D130">
        <f t="shared" si="7"/>
        <v>0</v>
      </c>
      <c r="E130">
        <v>0.55388867863319324</v>
      </c>
      <c r="F130">
        <f t="shared" si="8"/>
        <v>1</v>
      </c>
      <c r="G130" t="b">
        <f t="shared" si="9"/>
        <v>0</v>
      </c>
      <c r="H130">
        <v>0.4917452860949697</v>
      </c>
    </row>
    <row r="131" spans="1:8" x14ac:dyDescent="0.35">
      <c r="A131" s="13">
        <v>42558</v>
      </c>
      <c r="B131" s="14">
        <v>4117.8500000000004</v>
      </c>
      <c r="C131" s="2">
        <f t="shared" si="6"/>
        <v>7.9675911193792803E-3</v>
      </c>
      <c r="D131">
        <f t="shared" si="7"/>
        <v>1</v>
      </c>
      <c r="E131">
        <v>0.46166340664632721</v>
      </c>
      <c r="F131">
        <f t="shared" si="8"/>
        <v>0</v>
      </c>
      <c r="G131" t="b">
        <f t="shared" si="9"/>
        <v>0</v>
      </c>
      <c r="H131">
        <v>0.49174649468530146</v>
      </c>
    </row>
    <row r="132" spans="1:8" x14ac:dyDescent="0.35">
      <c r="A132" s="13">
        <v>42559</v>
      </c>
      <c r="B132" s="14">
        <v>4190.68</v>
      </c>
      <c r="C132" s="2">
        <f t="shared" ref="C132:C195" si="10">(B132/B131)-1</f>
        <v>1.7686414026737207E-2</v>
      </c>
      <c r="D132">
        <f t="shared" si="7"/>
        <v>1</v>
      </c>
      <c r="E132">
        <v>0.57193667485246713</v>
      </c>
      <c r="F132">
        <f t="shared" si="8"/>
        <v>1</v>
      </c>
      <c r="G132" t="b">
        <f t="shared" si="9"/>
        <v>1</v>
      </c>
      <c r="H132">
        <v>0.49174720010875983</v>
      </c>
    </row>
    <row r="133" spans="1:8" x14ac:dyDescent="0.35">
      <c r="A133" s="13">
        <v>42562</v>
      </c>
      <c r="B133" s="14">
        <v>4264.53</v>
      </c>
      <c r="C133" s="2">
        <f t="shared" si="10"/>
        <v>1.7622438363224857E-2</v>
      </c>
      <c r="D133">
        <f t="shared" si="7"/>
        <v>1</v>
      </c>
      <c r="E133">
        <v>0.65858763977521917</v>
      </c>
      <c r="F133">
        <f t="shared" si="8"/>
        <v>1</v>
      </c>
      <c r="G133" t="b">
        <f t="shared" si="9"/>
        <v>1</v>
      </c>
      <c r="H133">
        <v>0.49174778580776352</v>
      </c>
    </row>
    <row r="134" spans="1:8" x14ac:dyDescent="0.35">
      <c r="A134" s="13">
        <v>42563</v>
      </c>
      <c r="B134" s="14">
        <v>4331.38</v>
      </c>
      <c r="C134" s="2">
        <f t="shared" si="10"/>
        <v>1.5675818906186745E-2</v>
      </c>
      <c r="D134">
        <f t="shared" ref="D134:D197" si="11">IF(C134&gt;=0,1,0)</f>
        <v>1</v>
      </c>
      <c r="E134">
        <v>0.73112153938501234</v>
      </c>
      <c r="F134">
        <f t="shared" si="8"/>
        <v>1</v>
      </c>
      <c r="G134" t="b">
        <f t="shared" si="9"/>
        <v>1</v>
      </c>
      <c r="H134">
        <v>0.49174810650075429</v>
      </c>
    </row>
    <row r="135" spans="1:8" x14ac:dyDescent="0.35">
      <c r="A135" s="13">
        <v>42564</v>
      </c>
      <c r="B135" s="14">
        <v>4335.26</v>
      </c>
      <c r="C135" s="2">
        <f t="shared" si="10"/>
        <v>8.9578840923687508E-4</v>
      </c>
      <c r="D135">
        <f t="shared" si="11"/>
        <v>1</v>
      </c>
      <c r="E135">
        <v>0.77916830005048821</v>
      </c>
      <c r="F135">
        <f t="shared" si="8"/>
        <v>1</v>
      </c>
      <c r="G135" t="b">
        <f t="shared" si="9"/>
        <v>1</v>
      </c>
      <c r="H135">
        <v>0.49174835900664365</v>
      </c>
    </row>
    <row r="136" spans="1:8" x14ac:dyDescent="0.35">
      <c r="A136" s="13">
        <v>42565</v>
      </c>
      <c r="B136" s="14">
        <v>4385.5200000000004</v>
      </c>
      <c r="C136" s="2">
        <f t="shared" si="10"/>
        <v>1.1593306975821616E-2</v>
      </c>
      <c r="D136">
        <f t="shared" si="11"/>
        <v>1</v>
      </c>
      <c r="E136">
        <v>0.80729556812524361</v>
      </c>
      <c r="F136">
        <f t="shared" si="8"/>
        <v>1</v>
      </c>
      <c r="G136" t="b">
        <f t="shared" si="9"/>
        <v>1</v>
      </c>
      <c r="H136">
        <v>0.49174854866311568</v>
      </c>
    </row>
    <row r="137" spans="1:8" x14ac:dyDescent="0.35">
      <c r="A137" s="13">
        <v>42566</v>
      </c>
      <c r="B137" s="14">
        <v>4372.51</v>
      </c>
      <c r="C137" s="2">
        <f t="shared" si="10"/>
        <v>-2.9665809299695978E-3</v>
      </c>
      <c r="D137">
        <f t="shared" si="11"/>
        <v>0</v>
      </c>
      <c r="E137">
        <v>0.82402876527150559</v>
      </c>
      <c r="F137">
        <f t="shared" ref="F137:F200" si="12">IF(E137&gt;=0.5,1,0)</f>
        <v>1</v>
      </c>
      <c r="G137" t="b">
        <f t="shared" ref="G137:G200" si="13">IF(D137=F137,TRUE,FALSE)</f>
        <v>0</v>
      </c>
      <c r="H137">
        <v>0.4917479097213911</v>
      </c>
    </row>
    <row r="138" spans="1:8" x14ac:dyDescent="0.35">
      <c r="A138" s="13">
        <v>42569</v>
      </c>
      <c r="B138" s="14">
        <v>4357.74</v>
      </c>
      <c r="C138" s="2">
        <f t="shared" si="10"/>
        <v>-3.377922520474641E-3</v>
      </c>
      <c r="D138">
        <f t="shared" si="11"/>
        <v>0</v>
      </c>
      <c r="E138">
        <v>0.74608549310650896</v>
      </c>
      <c r="F138">
        <f t="shared" si="12"/>
        <v>1</v>
      </c>
      <c r="G138" t="b">
        <f t="shared" si="13"/>
        <v>0</v>
      </c>
      <c r="H138">
        <v>0.49174675694028963</v>
      </c>
    </row>
    <row r="139" spans="1:8" x14ac:dyDescent="0.35">
      <c r="A139" s="13">
        <v>42570</v>
      </c>
      <c r="B139" s="14">
        <v>4330.13</v>
      </c>
      <c r="C139" s="2">
        <f t="shared" si="10"/>
        <v>-6.3358529880166436E-3</v>
      </c>
      <c r="D139">
        <f t="shared" si="11"/>
        <v>0</v>
      </c>
      <c r="E139">
        <v>0.59637319363559238</v>
      </c>
      <c r="F139">
        <f t="shared" si="12"/>
        <v>1</v>
      </c>
      <c r="G139" t="b">
        <f t="shared" si="13"/>
        <v>0</v>
      </c>
      <c r="H139">
        <v>0.49174652516668083</v>
      </c>
    </row>
    <row r="140" spans="1:8" x14ac:dyDescent="0.35">
      <c r="A140" s="13">
        <v>42571</v>
      </c>
      <c r="B140" s="14">
        <v>4379.76</v>
      </c>
      <c r="C140" s="2">
        <f t="shared" si="10"/>
        <v>1.1461549653243752E-2</v>
      </c>
      <c r="D140">
        <f t="shared" si="11"/>
        <v>1</v>
      </c>
      <c r="E140">
        <v>0.42274616309427482</v>
      </c>
      <c r="F140">
        <f t="shared" si="12"/>
        <v>0</v>
      </c>
      <c r="G140" t="b">
        <f t="shared" si="13"/>
        <v>0</v>
      </c>
      <c r="H140">
        <v>0.49174677147046103</v>
      </c>
    </row>
    <row r="141" spans="1:8" x14ac:dyDescent="0.35">
      <c r="A141" s="13">
        <v>42572</v>
      </c>
      <c r="B141" s="14">
        <v>4376.25</v>
      </c>
      <c r="C141" s="2">
        <f t="shared" si="10"/>
        <v>-8.0141377609732611E-4</v>
      </c>
      <c r="D141">
        <f t="shared" si="11"/>
        <v>0</v>
      </c>
      <c r="E141">
        <v>0.59046280993929001</v>
      </c>
      <c r="F141">
        <f t="shared" si="12"/>
        <v>1</v>
      </c>
      <c r="G141" t="b">
        <f t="shared" si="13"/>
        <v>0</v>
      </c>
      <c r="H141">
        <v>0.49174566608592046</v>
      </c>
    </row>
    <row r="142" spans="1:8" x14ac:dyDescent="0.35">
      <c r="A142" s="13">
        <v>42573</v>
      </c>
      <c r="B142" s="14">
        <v>4381.1000000000004</v>
      </c>
      <c r="C142" s="2">
        <f t="shared" si="10"/>
        <v>1.1082547843475066E-3</v>
      </c>
      <c r="D142">
        <f t="shared" si="11"/>
        <v>1</v>
      </c>
      <c r="E142">
        <v>0.51342473197699701</v>
      </c>
      <c r="F142">
        <f t="shared" si="12"/>
        <v>1</v>
      </c>
      <c r="G142" t="b">
        <f t="shared" si="13"/>
        <v>1</v>
      </c>
      <c r="H142">
        <v>0.49174637181651365</v>
      </c>
    </row>
    <row r="143" spans="1:8" x14ac:dyDescent="0.35">
      <c r="A143" s="13">
        <v>42576</v>
      </c>
      <c r="B143" s="14">
        <v>4388</v>
      </c>
      <c r="C143" s="2">
        <f t="shared" si="10"/>
        <v>1.5749469311359121E-3</v>
      </c>
      <c r="D143">
        <f t="shared" si="11"/>
        <v>1</v>
      </c>
      <c r="E143">
        <v>0.65571246793814453</v>
      </c>
      <c r="F143">
        <f t="shared" si="12"/>
        <v>1</v>
      </c>
      <c r="G143" t="b">
        <f t="shared" si="13"/>
        <v>1</v>
      </c>
      <c r="H143">
        <v>0.49174643289015996</v>
      </c>
    </row>
    <row r="144" spans="1:8" x14ac:dyDescent="0.35">
      <c r="A144" s="13">
        <v>42577</v>
      </c>
      <c r="B144" s="14">
        <v>4394.7700000000004</v>
      </c>
      <c r="C144" s="2">
        <f t="shared" si="10"/>
        <v>1.542844120328235E-3</v>
      </c>
      <c r="D144">
        <f t="shared" si="11"/>
        <v>1</v>
      </c>
      <c r="E144">
        <v>0.74049121510293969</v>
      </c>
      <c r="F144">
        <f t="shared" si="12"/>
        <v>1</v>
      </c>
      <c r="G144" t="b">
        <f t="shared" si="13"/>
        <v>1</v>
      </c>
      <c r="H144">
        <v>0.4917468459177583</v>
      </c>
    </row>
    <row r="145" spans="1:8" x14ac:dyDescent="0.35">
      <c r="A145" s="13">
        <v>42578</v>
      </c>
      <c r="B145" s="14">
        <v>4446.96</v>
      </c>
      <c r="C145" s="2">
        <f t="shared" si="10"/>
        <v>1.1875479262851041E-2</v>
      </c>
      <c r="D145">
        <f t="shared" si="11"/>
        <v>1</v>
      </c>
      <c r="E145">
        <v>0.77461026173365366</v>
      </c>
      <c r="F145">
        <f t="shared" si="12"/>
        <v>1</v>
      </c>
      <c r="G145" t="b">
        <f t="shared" si="13"/>
        <v>1</v>
      </c>
      <c r="H145">
        <v>0.49174693107290929</v>
      </c>
    </row>
    <row r="146" spans="1:8" x14ac:dyDescent="0.35">
      <c r="A146" s="13">
        <v>42579</v>
      </c>
      <c r="B146" s="14">
        <v>4420.58</v>
      </c>
      <c r="C146" s="2">
        <f t="shared" si="10"/>
        <v>-5.9321424073974782E-3</v>
      </c>
      <c r="D146">
        <f t="shared" si="11"/>
        <v>0</v>
      </c>
      <c r="E146">
        <v>0.81008265629231679</v>
      </c>
      <c r="F146">
        <f t="shared" si="12"/>
        <v>1</v>
      </c>
      <c r="G146" t="b">
        <f t="shared" si="13"/>
        <v>0</v>
      </c>
      <c r="H146">
        <v>0.4917463571008015</v>
      </c>
    </row>
    <row r="147" spans="1:8" x14ac:dyDescent="0.35">
      <c r="A147" s="13">
        <v>42580</v>
      </c>
      <c r="B147" s="14">
        <v>4439.8100000000004</v>
      </c>
      <c r="C147" s="2">
        <f t="shared" si="10"/>
        <v>4.3501079043928303E-3</v>
      </c>
      <c r="D147">
        <f t="shared" si="11"/>
        <v>1</v>
      </c>
      <c r="E147">
        <v>0.70302516186106345</v>
      </c>
      <c r="F147">
        <f t="shared" si="12"/>
        <v>1</v>
      </c>
      <c r="G147" t="b">
        <f t="shared" si="13"/>
        <v>1</v>
      </c>
      <c r="H147">
        <v>0.4917465640125962</v>
      </c>
    </row>
    <row r="148" spans="1:8" x14ac:dyDescent="0.35">
      <c r="A148" s="13">
        <v>42583</v>
      </c>
      <c r="B148" s="14">
        <v>4409.17</v>
      </c>
      <c r="C148" s="2">
        <f t="shared" si="10"/>
        <v>-6.9011962223609613E-3</v>
      </c>
      <c r="D148">
        <f t="shared" si="11"/>
        <v>0</v>
      </c>
      <c r="E148">
        <v>0.76481090959470865</v>
      </c>
      <c r="F148">
        <f t="shared" si="12"/>
        <v>1</v>
      </c>
      <c r="G148" t="b">
        <f t="shared" si="13"/>
        <v>0</v>
      </c>
      <c r="H148">
        <v>0.49174641770295113</v>
      </c>
    </row>
    <row r="149" spans="1:8" x14ac:dyDescent="0.35">
      <c r="A149" s="13">
        <v>42584</v>
      </c>
      <c r="B149" s="14">
        <v>4327.99</v>
      </c>
      <c r="C149" s="2">
        <f t="shared" si="10"/>
        <v>-1.8411628492437382E-2</v>
      </c>
      <c r="D149">
        <f t="shared" si="11"/>
        <v>0</v>
      </c>
      <c r="E149">
        <v>0.63695666469495704</v>
      </c>
      <c r="F149">
        <f t="shared" si="12"/>
        <v>1</v>
      </c>
      <c r="G149" t="b">
        <f t="shared" si="13"/>
        <v>0</v>
      </c>
      <c r="H149">
        <v>0.49174526715007066</v>
      </c>
    </row>
    <row r="150" spans="1:8" x14ac:dyDescent="0.35">
      <c r="A150" s="13">
        <v>42585</v>
      </c>
      <c r="B150" s="14">
        <v>4321.08</v>
      </c>
      <c r="C150" s="2">
        <f t="shared" si="10"/>
        <v>-1.5965840956193578E-3</v>
      </c>
      <c r="D150">
        <f t="shared" si="11"/>
        <v>0</v>
      </c>
      <c r="E150">
        <v>0.47489175351970758</v>
      </c>
      <c r="F150">
        <f t="shared" si="12"/>
        <v>0</v>
      </c>
      <c r="G150" t="b">
        <f t="shared" si="13"/>
        <v>1</v>
      </c>
      <c r="H150">
        <v>0.49174506039773164</v>
      </c>
    </row>
    <row r="151" spans="1:8" x14ac:dyDescent="0.35">
      <c r="A151" s="13">
        <v>42586</v>
      </c>
      <c r="B151" s="14">
        <v>4345.63</v>
      </c>
      <c r="C151" s="2">
        <f t="shared" si="10"/>
        <v>5.6814500078683494E-3</v>
      </c>
      <c r="D151">
        <f t="shared" si="11"/>
        <v>1</v>
      </c>
      <c r="E151">
        <v>0.32442859432648913</v>
      </c>
      <c r="F151">
        <f t="shared" si="12"/>
        <v>0</v>
      </c>
      <c r="G151" t="b">
        <f t="shared" si="13"/>
        <v>0</v>
      </c>
      <c r="H151">
        <v>0.49174601885317026</v>
      </c>
    </row>
    <row r="152" spans="1:8" x14ac:dyDescent="0.35">
      <c r="A152" s="13">
        <v>42587</v>
      </c>
      <c r="B152" s="14">
        <v>4410.55</v>
      </c>
      <c r="C152" s="2">
        <f t="shared" si="10"/>
        <v>1.4939145762524753E-2</v>
      </c>
      <c r="D152">
        <f t="shared" si="11"/>
        <v>1</v>
      </c>
      <c r="E152">
        <v>0.48092841062303388</v>
      </c>
      <c r="F152">
        <f t="shared" si="12"/>
        <v>0</v>
      </c>
      <c r="G152" t="b">
        <f t="shared" si="13"/>
        <v>0</v>
      </c>
      <c r="H152">
        <v>0.49174693583940465</v>
      </c>
    </row>
    <row r="153" spans="1:8" x14ac:dyDescent="0.35">
      <c r="A153" s="13">
        <v>42590</v>
      </c>
      <c r="B153" s="14">
        <v>4415.46</v>
      </c>
      <c r="C153" s="2">
        <f t="shared" si="10"/>
        <v>1.113239845370817E-3</v>
      </c>
      <c r="D153">
        <f t="shared" si="11"/>
        <v>1</v>
      </c>
      <c r="E153">
        <v>0.60388774368632692</v>
      </c>
      <c r="F153">
        <f t="shared" si="12"/>
        <v>1</v>
      </c>
      <c r="G153" t="b">
        <f t="shared" si="13"/>
        <v>1</v>
      </c>
      <c r="H153">
        <v>0.49174764201495708</v>
      </c>
    </row>
    <row r="154" spans="1:8" x14ac:dyDescent="0.35">
      <c r="A154" s="13">
        <v>42591</v>
      </c>
      <c r="B154" s="14">
        <v>4468.07</v>
      </c>
      <c r="C154" s="2">
        <f t="shared" si="10"/>
        <v>1.1914953368391989E-2</v>
      </c>
      <c r="D154">
        <f t="shared" si="11"/>
        <v>1</v>
      </c>
      <c r="E154">
        <v>0.67816087931208047</v>
      </c>
      <c r="F154">
        <f t="shared" si="12"/>
        <v>1</v>
      </c>
      <c r="G154" t="b">
        <f t="shared" si="13"/>
        <v>1</v>
      </c>
      <c r="H154">
        <v>0.49174800688091158</v>
      </c>
    </row>
    <row r="155" spans="1:8" x14ac:dyDescent="0.35">
      <c r="A155" s="13">
        <v>42592</v>
      </c>
      <c r="B155" s="14">
        <v>4452.01</v>
      </c>
      <c r="C155" s="2">
        <f t="shared" si="10"/>
        <v>-3.5943931048527666E-3</v>
      </c>
      <c r="D155">
        <f t="shared" si="11"/>
        <v>0</v>
      </c>
      <c r="E155">
        <v>0.74316023253250896</v>
      </c>
      <c r="F155">
        <f t="shared" si="12"/>
        <v>1</v>
      </c>
      <c r="G155" t="b">
        <f t="shared" si="13"/>
        <v>0</v>
      </c>
      <c r="H155">
        <v>0.49174795820476197</v>
      </c>
    </row>
    <row r="156" spans="1:8" x14ac:dyDescent="0.35">
      <c r="A156" s="13">
        <v>42593</v>
      </c>
      <c r="B156" s="14">
        <v>4503.95</v>
      </c>
      <c r="C156" s="2">
        <f t="shared" si="10"/>
        <v>1.1666640461274635E-2</v>
      </c>
      <c r="D156">
        <f t="shared" si="11"/>
        <v>1</v>
      </c>
      <c r="E156">
        <v>0.59711899525717482</v>
      </c>
      <c r="F156">
        <f t="shared" si="12"/>
        <v>1</v>
      </c>
      <c r="G156" t="b">
        <f t="shared" si="13"/>
        <v>1</v>
      </c>
      <c r="H156">
        <v>0.49174816255705278</v>
      </c>
    </row>
    <row r="157" spans="1:8" x14ac:dyDescent="0.35">
      <c r="A157" s="13">
        <v>42594</v>
      </c>
      <c r="B157" s="14">
        <v>4500.1899999999996</v>
      </c>
      <c r="C157" s="2">
        <f t="shared" si="10"/>
        <v>-8.3482276668267463E-4</v>
      </c>
      <c r="D157">
        <f t="shared" si="11"/>
        <v>0</v>
      </c>
      <c r="E157">
        <v>0.67953111675735167</v>
      </c>
      <c r="F157">
        <f t="shared" si="12"/>
        <v>1</v>
      </c>
      <c r="G157" t="b">
        <f t="shared" si="13"/>
        <v>0</v>
      </c>
      <c r="H157">
        <v>0.49174794511876618</v>
      </c>
    </row>
    <row r="158" spans="1:8" x14ac:dyDescent="0.35">
      <c r="A158" s="13">
        <v>42597</v>
      </c>
      <c r="B158" s="14">
        <v>4497.8599999999997</v>
      </c>
      <c r="C158" s="2">
        <f t="shared" si="10"/>
        <v>-5.1775591697234002E-4</v>
      </c>
      <c r="D158">
        <f t="shared" si="11"/>
        <v>0</v>
      </c>
      <c r="E158">
        <v>0.52606915600004112</v>
      </c>
      <c r="F158">
        <f t="shared" si="12"/>
        <v>1</v>
      </c>
      <c r="G158" t="b">
        <f t="shared" si="13"/>
        <v>0</v>
      </c>
      <c r="H158">
        <v>0.49174777852945623</v>
      </c>
    </row>
    <row r="159" spans="1:8" x14ac:dyDescent="0.35">
      <c r="A159" s="13">
        <v>42598</v>
      </c>
      <c r="B159" s="14">
        <v>4460.4399999999996</v>
      </c>
      <c r="C159" s="2">
        <f t="shared" si="10"/>
        <v>-8.3195119456808131E-3</v>
      </c>
      <c r="D159">
        <f t="shared" si="11"/>
        <v>0</v>
      </c>
      <c r="E159">
        <v>0.41244314767343293</v>
      </c>
      <c r="F159">
        <f t="shared" si="12"/>
        <v>0</v>
      </c>
      <c r="G159" t="b">
        <f t="shared" si="13"/>
        <v>1</v>
      </c>
      <c r="H159">
        <v>0.49174702518305324</v>
      </c>
    </row>
    <row r="160" spans="1:8" x14ac:dyDescent="0.35">
      <c r="A160" s="13">
        <v>42599</v>
      </c>
      <c r="B160" s="14">
        <v>4417.68</v>
      </c>
      <c r="C160" s="2">
        <f t="shared" si="10"/>
        <v>-9.5864981930032789E-3</v>
      </c>
      <c r="D160">
        <f t="shared" si="11"/>
        <v>0</v>
      </c>
      <c r="E160">
        <v>0.34919461907896282</v>
      </c>
      <c r="F160">
        <f t="shared" si="12"/>
        <v>0</v>
      </c>
      <c r="G160" t="b">
        <f t="shared" si="13"/>
        <v>1</v>
      </c>
      <c r="H160">
        <v>0.49174637785487957</v>
      </c>
    </row>
    <row r="161" spans="1:8" x14ac:dyDescent="0.35">
      <c r="A161" s="13">
        <v>42600</v>
      </c>
      <c r="B161" s="14">
        <v>4437.0600000000004</v>
      </c>
      <c r="C161" s="2">
        <f t="shared" si="10"/>
        <v>4.386918020318431E-3</v>
      </c>
      <c r="D161">
        <f t="shared" si="11"/>
        <v>1</v>
      </c>
      <c r="E161">
        <v>0.2785419624010767</v>
      </c>
      <c r="F161">
        <f t="shared" si="12"/>
        <v>0</v>
      </c>
      <c r="G161" t="b">
        <f t="shared" si="13"/>
        <v>0</v>
      </c>
      <c r="H161">
        <v>0.49174675807432139</v>
      </c>
    </row>
    <row r="162" spans="1:8" x14ac:dyDescent="0.35">
      <c r="A162" s="13">
        <v>42601</v>
      </c>
      <c r="B162" s="14">
        <v>4400.5200000000004</v>
      </c>
      <c r="C162" s="2">
        <f t="shared" si="10"/>
        <v>-8.2351827561493174E-3</v>
      </c>
      <c r="D162">
        <f t="shared" si="11"/>
        <v>0</v>
      </c>
      <c r="E162">
        <v>0.38443524758238906</v>
      </c>
      <c r="F162">
        <f t="shared" si="12"/>
        <v>0</v>
      </c>
      <c r="G162" t="b">
        <f t="shared" si="13"/>
        <v>1</v>
      </c>
      <c r="H162">
        <v>0.4917467408907184</v>
      </c>
    </row>
    <row r="163" spans="1:8" x14ac:dyDescent="0.35">
      <c r="A163" s="13">
        <v>42604</v>
      </c>
      <c r="B163" s="14">
        <v>4389.9399999999996</v>
      </c>
      <c r="C163" s="2">
        <f t="shared" si="10"/>
        <v>-2.4042613145720537E-3</v>
      </c>
      <c r="D163">
        <f t="shared" si="11"/>
        <v>0</v>
      </c>
      <c r="E163">
        <v>0.30864794030809251</v>
      </c>
      <c r="F163">
        <f t="shared" si="12"/>
        <v>0</v>
      </c>
      <c r="G163" t="b">
        <f t="shared" si="13"/>
        <v>1</v>
      </c>
      <c r="H163">
        <v>0.49174625428330376</v>
      </c>
    </row>
    <row r="164" spans="1:8" x14ac:dyDescent="0.35">
      <c r="A164" s="13">
        <v>42605</v>
      </c>
      <c r="B164" s="14">
        <v>4421.45</v>
      </c>
      <c r="C164" s="2">
        <f t="shared" si="10"/>
        <v>7.1777746392889252E-3</v>
      </c>
      <c r="D164">
        <f t="shared" si="11"/>
        <v>1</v>
      </c>
      <c r="E164">
        <v>0.25387553844458399</v>
      </c>
      <c r="F164">
        <f t="shared" si="12"/>
        <v>0</v>
      </c>
      <c r="G164" t="b">
        <f t="shared" si="13"/>
        <v>0</v>
      </c>
      <c r="H164">
        <v>0.49174724484760535</v>
      </c>
    </row>
    <row r="165" spans="1:8" x14ac:dyDescent="0.35">
      <c r="A165" s="13">
        <v>42606</v>
      </c>
      <c r="B165" s="14">
        <v>4435.47</v>
      </c>
      <c r="C165" s="2">
        <f t="shared" si="10"/>
        <v>3.1709054721869023E-3</v>
      </c>
      <c r="D165">
        <f t="shared" si="11"/>
        <v>1</v>
      </c>
      <c r="E165">
        <v>0.41282275058079554</v>
      </c>
      <c r="F165">
        <f t="shared" si="12"/>
        <v>0</v>
      </c>
      <c r="G165" t="b">
        <f t="shared" si="13"/>
        <v>0</v>
      </c>
      <c r="H165">
        <v>0.49174754480778615</v>
      </c>
    </row>
    <row r="166" spans="1:8" x14ac:dyDescent="0.35">
      <c r="A166" s="13">
        <v>42607</v>
      </c>
      <c r="B166" s="14">
        <v>4406.6099999999997</v>
      </c>
      <c r="C166" s="2">
        <f t="shared" si="10"/>
        <v>-6.5066385298515605E-3</v>
      </c>
      <c r="D166">
        <f t="shared" si="11"/>
        <v>0</v>
      </c>
      <c r="E166">
        <v>0.50387217660840866</v>
      </c>
      <c r="F166">
        <f t="shared" si="12"/>
        <v>1</v>
      </c>
      <c r="G166" t="b">
        <f t="shared" si="13"/>
        <v>0</v>
      </c>
      <c r="H166">
        <v>0.49174648959477707</v>
      </c>
    </row>
    <row r="167" spans="1:8" x14ac:dyDescent="0.35">
      <c r="A167" s="13">
        <v>42608</v>
      </c>
      <c r="B167" s="14">
        <v>4441.87</v>
      </c>
      <c r="C167" s="2">
        <f t="shared" si="10"/>
        <v>8.0016157545141908E-3</v>
      </c>
      <c r="D167">
        <f t="shared" si="11"/>
        <v>1</v>
      </c>
      <c r="E167">
        <v>0.36255755767824782</v>
      </c>
      <c r="F167">
        <f t="shared" si="12"/>
        <v>0</v>
      </c>
      <c r="G167" t="b">
        <f t="shared" si="13"/>
        <v>0</v>
      </c>
      <c r="H167">
        <v>0.49174763353608586</v>
      </c>
    </row>
    <row r="168" spans="1:8" x14ac:dyDescent="0.35">
      <c r="A168" s="13">
        <v>42611</v>
      </c>
      <c r="B168" s="14">
        <v>4424.25</v>
      </c>
      <c r="C168" s="2">
        <f t="shared" si="10"/>
        <v>-3.9667977676068888E-3</v>
      </c>
      <c r="D168">
        <f t="shared" si="11"/>
        <v>0</v>
      </c>
      <c r="E168">
        <v>0.53036640282984526</v>
      </c>
      <c r="F168">
        <f t="shared" si="12"/>
        <v>1</v>
      </c>
      <c r="G168" t="b">
        <f t="shared" si="13"/>
        <v>0</v>
      </c>
      <c r="H168">
        <v>0.49174654379878058</v>
      </c>
    </row>
    <row r="169" spans="1:8" x14ac:dyDescent="0.35">
      <c r="A169" s="13">
        <v>42612</v>
      </c>
      <c r="B169" s="14">
        <v>4457.49</v>
      </c>
      <c r="C169" s="2">
        <f t="shared" si="10"/>
        <v>7.5131378199695398E-3</v>
      </c>
      <c r="D169">
        <f t="shared" si="11"/>
        <v>1</v>
      </c>
      <c r="E169">
        <v>0.38207309007831841</v>
      </c>
      <c r="F169">
        <f t="shared" si="12"/>
        <v>0</v>
      </c>
      <c r="G169" t="b">
        <f t="shared" si="13"/>
        <v>0</v>
      </c>
      <c r="H169">
        <v>0.49174771625100988</v>
      </c>
    </row>
    <row r="170" spans="1:8" x14ac:dyDescent="0.35">
      <c r="A170" s="13">
        <v>42613</v>
      </c>
      <c r="B170" s="14">
        <v>4438.22</v>
      </c>
      <c r="C170" s="2">
        <f t="shared" si="10"/>
        <v>-4.3230607359746598E-3</v>
      </c>
      <c r="D170">
        <f t="shared" si="11"/>
        <v>0</v>
      </c>
      <c r="E170">
        <v>0.52780776351639425</v>
      </c>
      <c r="F170">
        <f t="shared" si="12"/>
        <v>1</v>
      </c>
      <c r="G170" t="b">
        <f t="shared" si="13"/>
        <v>0</v>
      </c>
      <c r="H170">
        <v>0.4917473047199008</v>
      </c>
    </row>
    <row r="171" spans="1:8" x14ac:dyDescent="0.35">
      <c r="A171" s="13">
        <v>42614</v>
      </c>
      <c r="B171" s="14">
        <v>4439.67</v>
      </c>
      <c r="C171" s="2">
        <f t="shared" si="10"/>
        <v>3.2670755392927298E-4</v>
      </c>
      <c r="D171">
        <f t="shared" si="11"/>
        <v>1</v>
      </c>
      <c r="E171">
        <v>0.40856141261835355</v>
      </c>
      <c r="F171">
        <f t="shared" si="12"/>
        <v>0</v>
      </c>
      <c r="G171" t="b">
        <f t="shared" si="13"/>
        <v>0</v>
      </c>
      <c r="H171">
        <v>0.49174796076790916</v>
      </c>
    </row>
    <row r="172" spans="1:8" x14ac:dyDescent="0.35">
      <c r="A172" s="13">
        <v>42615</v>
      </c>
      <c r="B172" s="14">
        <v>4542.17</v>
      </c>
      <c r="C172" s="2">
        <f t="shared" si="10"/>
        <v>2.3087301533672555E-2</v>
      </c>
      <c r="D172">
        <f t="shared" si="11"/>
        <v>1</v>
      </c>
      <c r="E172">
        <v>0.55585102210851289</v>
      </c>
      <c r="F172">
        <f t="shared" si="12"/>
        <v>1</v>
      </c>
      <c r="G172" t="b">
        <f t="shared" si="13"/>
        <v>1</v>
      </c>
      <c r="H172">
        <v>0.49174834983392429</v>
      </c>
    </row>
    <row r="173" spans="1:8" x14ac:dyDescent="0.35">
      <c r="A173" s="13">
        <v>42618</v>
      </c>
      <c r="B173" s="14">
        <v>4541.08</v>
      </c>
      <c r="C173" s="2">
        <f t="shared" si="10"/>
        <v>-2.3997340478232321E-4</v>
      </c>
      <c r="D173">
        <f t="shared" si="11"/>
        <v>0</v>
      </c>
      <c r="E173">
        <v>0.69677849288651272</v>
      </c>
      <c r="F173">
        <f t="shared" si="12"/>
        <v>1</v>
      </c>
      <c r="G173" t="b">
        <f t="shared" si="13"/>
        <v>0</v>
      </c>
      <c r="H173">
        <v>0.4917480692197822</v>
      </c>
    </row>
    <row r="174" spans="1:8" x14ac:dyDescent="0.35">
      <c r="A174" s="13">
        <v>42619</v>
      </c>
      <c r="B174" s="14">
        <v>4529.96</v>
      </c>
      <c r="C174" s="2">
        <f t="shared" si="10"/>
        <v>-2.4487566834321406E-3</v>
      </c>
      <c r="D174">
        <f t="shared" si="11"/>
        <v>0</v>
      </c>
      <c r="E174">
        <v>0.56892278681956898</v>
      </c>
      <c r="F174">
        <f t="shared" si="12"/>
        <v>1</v>
      </c>
      <c r="G174" t="b">
        <f t="shared" si="13"/>
        <v>0</v>
      </c>
      <c r="H174">
        <v>0.49174696148905722</v>
      </c>
    </row>
    <row r="175" spans="1:8" x14ac:dyDescent="0.35">
      <c r="A175" s="13">
        <v>42620</v>
      </c>
      <c r="B175" s="14">
        <v>4557.66</v>
      </c>
      <c r="C175" s="2">
        <f t="shared" si="10"/>
        <v>6.114844281185583E-3</v>
      </c>
      <c r="D175">
        <f t="shared" si="11"/>
        <v>1</v>
      </c>
      <c r="E175">
        <v>0.45115204193165431</v>
      </c>
      <c r="F175">
        <f t="shared" si="12"/>
        <v>0</v>
      </c>
      <c r="G175" t="b">
        <f t="shared" si="13"/>
        <v>0</v>
      </c>
      <c r="H175">
        <v>0.491747173617681</v>
      </c>
    </row>
    <row r="176" spans="1:8" x14ac:dyDescent="0.35">
      <c r="A176" s="13">
        <v>42621</v>
      </c>
      <c r="B176" s="14">
        <v>4542.2</v>
      </c>
      <c r="C176" s="2">
        <f t="shared" si="10"/>
        <v>-3.392091555754484E-3</v>
      </c>
      <c r="D176">
        <f t="shared" si="11"/>
        <v>0</v>
      </c>
      <c r="E176">
        <v>0.57827258726083419</v>
      </c>
      <c r="F176">
        <f t="shared" si="12"/>
        <v>1</v>
      </c>
      <c r="G176" t="b">
        <f t="shared" si="13"/>
        <v>0</v>
      </c>
      <c r="H176">
        <v>0.4917468789839064</v>
      </c>
    </row>
    <row r="177" spans="1:8" x14ac:dyDescent="0.35">
      <c r="A177" s="13">
        <v>42622</v>
      </c>
      <c r="B177" s="14">
        <v>4491.3999999999996</v>
      </c>
      <c r="C177" s="2">
        <f t="shared" si="10"/>
        <v>-1.1184007749548752E-2</v>
      </c>
      <c r="D177">
        <f t="shared" si="11"/>
        <v>0</v>
      </c>
      <c r="E177">
        <v>0.42361967918276827</v>
      </c>
      <c r="F177">
        <f t="shared" si="12"/>
        <v>0</v>
      </c>
      <c r="G177" t="b">
        <f t="shared" si="13"/>
        <v>1</v>
      </c>
      <c r="H177">
        <v>0.49174680268877669</v>
      </c>
    </row>
    <row r="178" spans="1:8" x14ac:dyDescent="0.35">
      <c r="A178" s="13">
        <v>42625</v>
      </c>
      <c r="B178" s="14">
        <v>4439.8</v>
      </c>
      <c r="C178" s="2">
        <f t="shared" si="10"/>
        <v>-1.1488622701162132E-2</v>
      </c>
      <c r="D178">
        <f t="shared" si="11"/>
        <v>0</v>
      </c>
      <c r="E178">
        <v>0.32609255291604805</v>
      </c>
      <c r="F178">
        <f t="shared" si="12"/>
        <v>0</v>
      </c>
      <c r="G178" t="b">
        <f t="shared" si="13"/>
        <v>1</v>
      </c>
      <c r="H178">
        <v>0.49174631046051537</v>
      </c>
    </row>
    <row r="179" spans="1:8" x14ac:dyDescent="0.35">
      <c r="A179" s="13">
        <v>42626</v>
      </c>
      <c r="B179" s="14">
        <v>4387.18</v>
      </c>
      <c r="C179" s="2">
        <f t="shared" si="10"/>
        <v>-1.1851885220054981E-2</v>
      </c>
      <c r="D179">
        <f t="shared" si="11"/>
        <v>0</v>
      </c>
      <c r="E179">
        <v>0.25850450991772317</v>
      </c>
      <c r="F179">
        <f t="shared" si="12"/>
        <v>0</v>
      </c>
      <c r="G179" t="b">
        <f t="shared" si="13"/>
        <v>1</v>
      </c>
      <c r="H179">
        <v>0.4917458610685127</v>
      </c>
    </row>
    <row r="180" spans="1:8" x14ac:dyDescent="0.35">
      <c r="A180" s="13">
        <v>42627</v>
      </c>
      <c r="B180" s="14">
        <v>4370.26</v>
      </c>
      <c r="C180" s="2">
        <f t="shared" si="10"/>
        <v>-3.8566915421751613E-3</v>
      </c>
      <c r="D180">
        <f t="shared" si="11"/>
        <v>0</v>
      </c>
      <c r="E180">
        <v>0.21918711589637718</v>
      </c>
      <c r="F180">
        <f t="shared" si="12"/>
        <v>0</v>
      </c>
      <c r="G180" t="b">
        <f t="shared" si="13"/>
        <v>1</v>
      </c>
      <c r="H180">
        <v>0.49174555503026302</v>
      </c>
    </row>
    <row r="181" spans="1:8" x14ac:dyDescent="0.35">
      <c r="A181" s="13">
        <v>42628</v>
      </c>
      <c r="B181" s="14">
        <v>4373.22</v>
      </c>
      <c r="C181" s="2">
        <f t="shared" si="10"/>
        <v>6.7730524042053375E-4</v>
      </c>
      <c r="D181">
        <f t="shared" si="11"/>
        <v>1</v>
      </c>
      <c r="E181">
        <v>0.18723344001641551</v>
      </c>
      <c r="F181">
        <f t="shared" si="12"/>
        <v>0</v>
      </c>
      <c r="G181" t="b">
        <f t="shared" si="13"/>
        <v>0</v>
      </c>
      <c r="H181">
        <v>0.49174626460394139</v>
      </c>
    </row>
    <row r="182" spans="1:8" x14ac:dyDescent="0.35">
      <c r="A182" s="13">
        <v>42629</v>
      </c>
      <c r="B182" s="14">
        <v>4332.45</v>
      </c>
      <c r="C182" s="2">
        <f t="shared" si="10"/>
        <v>-9.3226501296528319E-3</v>
      </c>
      <c r="D182">
        <f t="shared" si="11"/>
        <v>0</v>
      </c>
      <c r="E182">
        <v>0.29867029288748814</v>
      </c>
      <c r="F182">
        <f t="shared" si="12"/>
        <v>0</v>
      </c>
      <c r="G182" t="b">
        <f t="shared" si="13"/>
        <v>1</v>
      </c>
      <c r="H182">
        <v>0.49174608295023609</v>
      </c>
    </row>
    <row r="183" spans="1:8" x14ac:dyDescent="0.35">
      <c r="A183" s="13">
        <v>42632</v>
      </c>
      <c r="B183" s="14">
        <v>4394.1899999999996</v>
      </c>
      <c r="C183" s="2">
        <f t="shared" si="10"/>
        <v>1.4250597237128959E-2</v>
      </c>
      <c r="D183">
        <f t="shared" si="11"/>
        <v>1</v>
      </c>
      <c r="E183">
        <v>0.25435387279435878</v>
      </c>
      <c r="F183">
        <f t="shared" si="12"/>
        <v>0</v>
      </c>
      <c r="G183" t="b">
        <f t="shared" si="13"/>
        <v>0</v>
      </c>
      <c r="H183">
        <v>0.49174669926713693</v>
      </c>
    </row>
    <row r="184" spans="1:8" x14ac:dyDescent="0.35">
      <c r="A184" s="13">
        <v>42633</v>
      </c>
      <c r="B184" s="14">
        <v>4388.6000000000004</v>
      </c>
      <c r="C184" s="2">
        <f t="shared" si="10"/>
        <v>-1.2721343410274644E-3</v>
      </c>
      <c r="D184">
        <f t="shared" si="11"/>
        <v>0</v>
      </c>
      <c r="E184">
        <v>0.40759970786584682</v>
      </c>
      <c r="F184">
        <f t="shared" si="12"/>
        <v>0</v>
      </c>
      <c r="G184" t="b">
        <f t="shared" si="13"/>
        <v>1</v>
      </c>
      <c r="H184">
        <v>0.49174653396458701</v>
      </c>
    </row>
    <row r="185" spans="1:8" x14ac:dyDescent="0.35">
      <c r="A185" s="13">
        <v>42634</v>
      </c>
      <c r="B185" s="14">
        <v>4409.55</v>
      </c>
      <c r="C185" s="2">
        <f t="shared" si="10"/>
        <v>4.7737319418492685E-3</v>
      </c>
      <c r="D185">
        <f t="shared" si="11"/>
        <v>1</v>
      </c>
      <c r="E185">
        <v>0.32250721731550092</v>
      </c>
      <c r="F185">
        <f t="shared" si="12"/>
        <v>0</v>
      </c>
      <c r="G185" t="b">
        <f t="shared" si="13"/>
        <v>0</v>
      </c>
      <c r="H185">
        <v>0.49174710083903855</v>
      </c>
    </row>
    <row r="186" spans="1:8" x14ac:dyDescent="0.35">
      <c r="A186" s="13">
        <v>42635</v>
      </c>
      <c r="B186" s="14">
        <v>4509.82</v>
      </c>
      <c r="C186" s="2">
        <f t="shared" si="10"/>
        <v>2.2739281786123167E-2</v>
      </c>
      <c r="D186">
        <f t="shared" si="11"/>
        <v>1</v>
      </c>
      <c r="E186">
        <v>0.47597576125758417</v>
      </c>
      <c r="F186">
        <f t="shared" si="12"/>
        <v>0</v>
      </c>
      <c r="G186" t="b">
        <f t="shared" si="13"/>
        <v>0</v>
      </c>
      <c r="H186">
        <v>0.49174713671354831</v>
      </c>
    </row>
    <row r="187" spans="1:8" x14ac:dyDescent="0.35">
      <c r="A187" s="13">
        <v>42636</v>
      </c>
      <c r="B187" s="14">
        <v>4488.6899999999996</v>
      </c>
      <c r="C187" s="2">
        <f t="shared" si="10"/>
        <v>-4.685331121862979E-3</v>
      </c>
      <c r="D187">
        <f t="shared" si="11"/>
        <v>0</v>
      </c>
      <c r="E187">
        <v>0.58105223919465232</v>
      </c>
      <c r="F187">
        <f t="shared" si="12"/>
        <v>1</v>
      </c>
      <c r="G187" t="b">
        <f t="shared" si="13"/>
        <v>0</v>
      </c>
      <c r="H187">
        <v>0.49174670499311335</v>
      </c>
    </row>
    <row r="188" spans="1:8" x14ac:dyDescent="0.35">
      <c r="A188" s="13">
        <v>42639</v>
      </c>
      <c r="B188" s="14">
        <v>4407.8500000000004</v>
      </c>
      <c r="C188" s="2">
        <f t="shared" si="10"/>
        <v>-1.8009708846010608E-2</v>
      </c>
      <c r="D188">
        <f t="shared" si="11"/>
        <v>0</v>
      </c>
      <c r="E188">
        <v>0.43376351110600553</v>
      </c>
      <c r="F188">
        <f t="shared" si="12"/>
        <v>0</v>
      </c>
      <c r="G188" t="b">
        <f t="shared" si="13"/>
        <v>1</v>
      </c>
      <c r="H188">
        <v>0.49174602261278411</v>
      </c>
    </row>
    <row r="189" spans="1:8" x14ac:dyDescent="0.35">
      <c r="A189" s="13">
        <v>42640</v>
      </c>
      <c r="B189" s="14">
        <v>4398.68</v>
      </c>
      <c r="C189" s="2">
        <f t="shared" si="10"/>
        <v>-2.08037932325289E-3</v>
      </c>
      <c r="D189">
        <f t="shared" si="11"/>
        <v>0</v>
      </c>
      <c r="E189">
        <v>0.32436042183711572</v>
      </c>
      <c r="F189">
        <f t="shared" si="12"/>
        <v>0</v>
      </c>
      <c r="G189" t="b">
        <f t="shared" si="13"/>
        <v>1</v>
      </c>
      <c r="H189">
        <v>0.49174556371299805</v>
      </c>
    </row>
    <row r="190" spans="1:8" x14ac:dyDescent="0.35">
      <c r="A190" s="13">
        <v>42641</v>
      </c>
      <c r="B190" s="14">
        <v>4432.45</v>
      </c>
      <c r="C190" s="2">
        <f t="shared" si="10"/>
        <v>7.6773031909571632E-3</v>
      </c>
      <c r="D190">
        <f t="shared" si="11"/>
        <v>1</v>
      </c>
      <c r="E190">
        <v>0.26565681154737736</v>
      </c>
      <c r="F190">
        <f t="shared" si="12"/>
        <v>0</v>
      </c>
      <c r="G190" t="b">
        <f t="shared" si="13"/>
        <v>0</v>
      </c>
      <c r="H190">
        <v>0.49174632549768088</v>
      </c>
    </row>
    <row r="191" spans="1:8" x14ac:dyDescent="0.35">
      <c r="A191" s="13">
        <v>42642</v>
      </c>
      <c r="B191" s="14">
        <v>4443.84</v>
      </c>
      <c r="C191" s="2">
        <f t="shared" si="10"/>
        <v>2.5696849372243147E-3</v>
      </c>
      <c r="D191">
        <f t="shared" si="11"/>
        <v>1</v>
      </c>
      <c r="E191">
        <v>0.43930778100053369</v>
      </c>
      <c r="F191">
        <f t="shared" si="12"/>
        <v>0</v>
      </c>
      <c r="G191" t="b">
        <f t="shared" si="13"/>
        <v>0</v>
      </c>
      <c r="H191">
        <v>0.49174696807228613</v>
      </c>
    </row>
    <row r="192" spans="1:8" x14ac:dyDescent="0.35">
      <c r="A192" s="13">
        <v>42643</v>
      </c>
      <c r="B192" s="14">
        <v>4448.26</v>
      </c>
      <c r="C192" s="2">
        <f t="shared" si="10"/>
        <v>9.9463527039689303E-4</v>
      </c>
      <c r="D192">
        <f t="shared" si="11"/>
        <v>1</v>
      </c>
      <c r="E192">
        <v>0.54978185459703199</v>
      </c>
      <c r="F192">
        <f t="shared" si="12"/>
        <v>1</v>
      </c>
      <c r="G192" t="b">
        <f t="shared" si="13"/>
        <v>1</v>
      </c>
      <c r="H192">
        <v>0.49174746472877395</v>
      </c>
    </row>
    <row r="193" spans="1:8" x14ac:dyDescent="0.35">
      <c r="A193" s="13">
        <v>42646</v>
      </c>
      <c r="B193" s="14">
        <v>4453.5600000000004</v>
      </c>
      <c r="C193" s="2">
        <f t="shared" si="10"/>
        <v>1.1914771168952676E-3</v>
      </c>
      <c r="D193">
        <f t="shared" si="11"/>
        <v>1</v>
      </c>
      <c r="E193">
        <v>0.67903470601047</v>
      </c>
      <c r="F193">
        <f t="shared" si="12"/>
        <v>1</v>
      </c>
      <c r="G193" t="b">
        <f t="shared" si="13"/>
        <v>1</v>
      </c>
      <c r="H193">
        <v>0.49174764770245682</v>
      </c>
    </row>
    <row r="194" spans="1:8" x14ac:dyDescent="0.35">
      <c r="A194" s="13">
        <v>42647</v>
      </c>
      <c r="B194" s="14">
        <v>4503.09</v>
      </c>
      <c r="C194" s="2">
        <f t="shared" si="10"/>
        <v>1.112143992671033E-2</v>
      </c>
      <c r="D194">
        <f t="shared" si="11"/>
        <v>1</v>
      </c>
      <c r="E194">
        <v>0.72436549539865303</v>
      </c>
      <c r="F194">
        <f t="shared" si="12"/>
        <v>1</v>
      </c>
      <c r="G194" t="b">
        <f t="shared" si="13"/>
        <v>1</v>
      </c>
      <c r="H194">
        <v>0.49174772376847103</v>
      </c>
    </row>
    <row r="195" spans="1:8" x14ac:dyDescent="0.35">
      <c r="A195" s="13">
        <v>42648</v>
      </c>
      <c r="B195" s="14">
        <v>4489.95</v>
      </c>
      <c r="C195" s="2">
        <f t="shared" si="10"/>
        <v>-2.9179963092010874E-3</v>
      </c>
      <c r="D195">
        <f t="shared" si="11"/>
        <v>0</v>
      </c>
      <c r="E195">
        <v>0.7637026178399885</v>
      </c>
      <c r="F195">
        <f t="shared" si="12"/>
        <v>1</v>
      </c>
      <c r="G195" t="b">
        <f t="shared" si="13"/>
        <v>0</v>
      </c>
      <c r="H195">
        <v>0.49174673947962372</v>
      </c>
    </row>
    <row r="196" spans="1:8" x14ac:dyDescent="0.35">
      <c r="A196" s="13">
        <v>42649</v>
      </c>
      <c r="B196" s="14">
        <v>4480.1000000000004</v>
      </c>
      <c r="C196" s="2">
        <f t="shared" ref="C196:C259" si="14">(B196/B195)-1</f>
        <v>-2.1937883495360966E-3</v>
      </c>
      <c r="D196">
        <f t="shared" si="11"/>
        <v>0</v>
      </c>
      <c r="E196">
        <v>0.57862901084473262</v>
      </c>
      <c r="F196">
        <f t="shared" si="12"/>
        <v>1</v>
      </c>
      <c r="G196" t="b">
        <f t="shared" si="13"/>
        <v>0</v>
      </c>
      <c r="H196">
        <v>0.49174624739422351</v>
      </c>
    </row>
    <row r="197" spans="1:8" x14ac:dyDescent="0.35">
      <c r="A197" s="13">
        <v>42650</v>
      </c>
      <c r="B197" s="14">
        <v>4449.91</v>
      </c>
      <c r="C197" s="2">
        <f t="shared" si="14"/>
        <v>-6.7386888685521118E-3</v>
      </c>
      <c r="D197">
        <f t="shared" si="11"/>
        <v>0</v>
      </c>
      <c r="E197">
        <v>0.51316516860506711</v>
      </c>
      <c r="F197">
        <f t="shared" si="12"/>
        <v>1</v>
      </c>
      <c r="G197" t="b">
        <f t="shared" si="13"/>
        <v>0</v>
      </c>
      <c r="H197">
        <v>0.49174621488471515</v>
      </c>
    </row>
    <row r="198" spans="1:8" x14ac:dyDescent="0.35">
      <c r="A198" s="13">
        <v>42653</v>
      </c>
      <c r="B198" s="14">
        <v>4497.26</v>
      </c>
      <c r="C198" s="2">
        <f t="shared" si="14"/>
        <v>1.0640664642655784E-2</v>
      </c>
      <c r="D198">
        <f t="shared" ref="D198:D261" si="15">IF(C198&gt;=0,1,0)</f>
        <v>1</v>
      </c>
      <c r="E198">
        <v>0.36491564959439882</v>
      </c>
      <c r="F198">
        <f t="shared" si="12"/>
        <v>0</v>
      </c>
      <c r="G198" t="b">
        <f t="shared" si="13"/>
        <v>0</v>
      </c>
      <c r="H198">
        <v>0.49174667589843102</v>
      </c>
    </row>
    <row r="199" spans="1:8" x14ac:dyDescent="0.35">
      <c r="A199" s="13">
        <v>42654</v>
      </c>
      <c r="B199" s="14">
        <v>4471.74</v>
      </c>
      <c r="C199" s="2">
        <f t="shared" si="14"/>
        <v>-5.6745662914753359E-3</v>
      </c>
      <c r="D199">
        <f t="shared" si="15"/>
        <v>0</v>
      </c>
      <c r="E199">
        <v>0.54124544605033065</v>
      </c>
      <c r="F199">
        <f t="shared" si="12"/>
        <v>1</v>
      </c>
      <c r="G199" t="b">
        <f t="shared" si="13"/>
        <v>0</v>
      </c>
      <c r="H199">
        <v>0.49174586793623898</v>
      </c>
    </row>
    <row r="200" spans="1:8" x14ac:dyDescent="0.35">
      <c r="A200" s="13">
        <v>42655</v>
      </c>
      <c r="B200" s="14">
        <v>4452.24</v>
      </c>
      <c r="C200" s="2">
        <f t="shared" si="14"/>
        <v>-4.3607186464329484E-3</v>
      </c>
      <c r="D200">
        <f t="shared" si="15"/>
        <v>0</v>
      </c>
      <c r="E200">
        <v>0.3969947671351971</v>
      </c>
      <c r="F200">
        <f t="shared" si="12"/>
        <v>0</v>
      </c>
      <c r="G200" t="b">
        <f t="shared" si="13"/>
        <v>1</v>
      </c>
      <c r="H200">
        <v>0.49174575979891894</v>
      </c>
    </row>
    <row r="201" spans="1:8" x14ac:dyDescent="0.35">
      <c r="A201" s="13">
        <v>42656</v>
      </c>
      <c r="B201" s="14">
        <v>4405.17</v>
      </c>
      <c r="C201" s="2">
        <f t="shared" si="14"/>
        <v>-1.0572206350061952E-2</v>
      </c>
      <c r="D201">
        <f t="shared" si="15"/>
        <v>0</v>
      </c>
      <c r="E201">
        <v>0.30940701880348981</v>
      </c>
      <c r="F201">
        <f t="shared" ref="F201:F264" si="16">IF(E201&gt;=0.5,1,0)</f>
        <v>0</v>
      </c>
      <c r="G201" t="b">
        <f t="shared" ref="G201:G264" si="17">IF(D201=F201,TRUE,FALSE)</f>
        <v>1</v>
      </c>
      <c r="H201">
        <v>0.49174527890901387</v>
      </c>
    </row>
    <row r="202" spans="1:8" x14ac:dyDescent="0.35">
      <c r="A202" s="13">
        <v>42657</v>
      </c>
      <c r="B202" s="14">
        <v>4470.92</v>
      </c>
      <c r="C202" s="2">
        <f t="shared" si="14"/>
        <v>1.4925644186262854E-2</v>
      </c>
      <c r="D202">
        <f t="shared" si="15"/>
        <v>1</v>
      </c>
      <c r="E202">
        <v>0.2519920407833221</v>
      </c>
      <c r="F202">
        <f t="shared" si="16"/>
        <v>0</v>
      </c>
      <c r="G202" t="b">
        <f t="shared" si="17"/>
        <v>0</v>
      </c>
      <c r="H202">
        <v>0.49174602160053721</v>
      </c>
    </row>
    <row r="203" spans="1:8" x14ac:dyDescent="0.35">
      <c r="A203" s="13">
        <v>42660</v>
      </c>
      <c r="B203" s="14">
        <v>4450.2299999999996</v>
      </c>
      <c r="C203" s="2">
        <f t="shared" si="14"/>
        <v>-4.6276828930065239E-3</v>
      </c>
      <c r="D203">
        <f t="shared" si="15"/>
        <v>0</v>
      </c>
      <c r="E203">
        <v>0.42865392784826595</v>
      </c>
      <c r="F203">
        <f t="shared" si="16"/>
        <v>0</v>
      </c>
      <c r="G203" t="b">
        <f t="shared" si="17"/>
        <v>1</v>
      </c>
      <c r="H203">
        <v>0.49174569984670208</v>
      </c>
    </row>
    <row r="204" spans="1:8" x14ac:dyDescent="0.35">
      <c r="A204" s="13">
        <v>42661</v>
      </c>
      <c r="B204" s="14">
        <v>4508.91</v>
      </c>
      <c r="C204" s="2">
        <f t="shared" si="14"/>
        <v>1.3185835338847651E-2</v>
      </c>
      <c r="D204">
        <f t="shared" si="15"/>
        <v>1</v>
      </c>
      <c r="E204">
        <v>0.32882224260111936</v>
      </c>
      <c r="F204">
        <f t="shared" si="16"/>
        <v>0</v>
      </c>
      <c r="G204" t="b">
        <f t="shared" si="17"/>
        <v>0</v>
      </c>
      <c r="H204">
        <v>0.49174687753255913</v>
      </c>
    </row>
    <row r="205" spans="1:8" x14ac:dyDescent="0.35">
      <c r="A205" s="13">
        <v>42662</v>
      </c>
      <c r="B205" s="14">
        <v>4520.3</v>
      </c>
      <c r="C205" s="2">
        <f t="shared" si="14"/>
        <v>2.5261094144706231E-3</v>
      </c>
      <c r="D205">
        <f t="shared" si="15"/>
        <v>1</v>
      </c>
      <c r="E205">
        <v>0.43770724415399281</v>
      </c>
      <c r="F205">
        <f t="shared" si="16"/>
        <v>0</v>
      </c>
      <c r="G205" t="b">
        <f t="shared" si="17"/>
        <v>0</v>
      </c>
      <c r="H205">
        <v>0.49174783083657908</v>
      </c>
    </row>
    <row r="206" spans="1:8" x14ac:dyDescent="0.35">
      <c r="A206" s="13">
        <v>42663</v>
      </c>
      <c r="B206" s="14">
        <v>4540.12</v>
      </c>
      <c r="C206" s="2">
        <f t="shared" si="14"/>
        <v>4.3846647346414969E-3</v>
      </c>
      <c r="D206">
        <f t="shared" si="15"/>
        <v>1</v>
      </c>
      <c r="E206">
        <v>0.56676113681904117</v>
      </c>
      <c r="F206">
        <f t="shared" si="16"/>
        <v>1</v>
      </c>
      <c r="G206" t="b">
        <f t="shared" si="17"/>
        <v>1</v>
      </c>
      <c r="H206">
        <v>0.49174787492287847</v>
      </c>
    </row>
    <row r="207" spans="1:8" x14ac:dyDescent="0.35">
      <c r="A207" s="13">
        <v>42664</v>
      </c>
      <c r="B207" s="14">
        <v>4536.07</v>
      </c>
      <c r="C207" s="2">
        <f t="shared" si="14"/>
        <v>-8.92046906249222E-4</v>
      </c>
      <c r="D207">
        <f t="shared" si="15"/>
        <v>0</v>
      </c>
      <c r="E207">
        <v>0.64221098304949498</v>
      </c>
      <c r="F207">
        <f t="shared" si="16"/>
        <v>1</v>
      </c>
      <c r="G207" t="b">
        <f t="shared" si="17"/>
        <v>0</v>
      </c>
      <c r="H207">
        <v>0.49174755832680705</v>
      </c>
    </row>
    <row r="208" spans="1:8" x14ac:dyDescent="0.35">
      <c r="A208" s="13">
        <v>42667</v>
      </c>
      <c r="B208" s="14">
        <v>4552.58</v>
      </c>
      <c r="C208" s="2">
        <f t="shared" si="14"/>
        <v>3.6397145546696041E-3</v>
      </c>
      <c r="D208">
        <f t="shared" si="15"/>
        <v>1</v>
      </c>
      <c r="E208">
        <v>0.4859662639226503</v>
      </c>
      <c r="F208">
        <f t="shared" si="16"/>
        <v>0</v>
      </c>
      <c r="G208" t="b">
        <f t="shared" si="17"/>
        <v>0</v>
      </c>
      <c r="H208">
        <v>0.49174826652741477</v>
      </c>
    </row>
    <row r="209" spans="1:8" x14ac:dyDescent="0.35">
      <c r="A209" s="13">
        <v>42668</v>
      </c>
      <c r="B209" s="14">
        <v>4540.84</v>
      </c>
      <c r="C209" s="2">
        <f t="shared" si="14"/>
        <v>-2.5787575396807316E-3</v>
      </c>
      <c r="D209">
        <f t="shared" si="15"/>
        <v>0</v>
      </c>
      <c r="E209">
        <v>0.62353184064593925</v>
      </c>
      <c r="F209">
        <f t="shared" si="16"/>
        <v>1</v>
      </c>
      <c r="G209" t="b">
        <f t="shared" si="17"/>
        <v>0</v>
      </c>
      <c r="H209">
        <v>0.49174774240875491</v>
      </c>
    </row>
    <row r="210" spans="1:8" x14ac:dyDescent="0.35">
      <c r="A210" s="13">
        <v>42669</v>
      </c>
      <c r="B210" s="14">
        <v>4534.59</v>
      </c>
      <c r="C210" s="2">
        <f t="shared" si="14"/>
        <v>-1.3763973185577649E-3</v>
      </c>
      <c r="D210">
        <f t="shared" si="15"/>
        <v>0</v>
      </c>
      <c r="E210">
        <v>0.51396954770832937</v>
      </c>
      <c r="F210">
        <f t="shared" si="16"/>
        <v>1</v>
      </c>
      <c r="G210" t="b">
        <f t="shared" si="17"/>
        <v>0</v>
      </c>
      <c r="H210">
        <v>0.49174754536201526</v>
      </c>
    </row>
    <row r="211" spans="1:8" x14ac:dyDescent="0.35">
      <c r="A211" s="13">
        <v>42670</v>
      </c>
      <c r="B211" s="14">
        <v>4533.57</v>
      </c>
      <c r="C211" s="2">
        <f t="shared" si="14"/>
        <v>-2.2493764596143162E-4</v>
      </c>
      <c r="D211">
        <f t="shared" si="15"/>
        <v>0</v>
      </c>
      <c r="E211">
        <v>0.3833609559628044</v>
      </c>
      <c r="F211">
        <f t="shared" si="16"/>
        <v>0</v>
      </c>
      <c r="G211" t="b">
        <f t="shared" si="17"/>
        <v>1</v>
      </c>
      <c r="H211">
        <v>0.49174732466021914</v>
      </c>
    </row>
    <row r="212" spans="1:8" x14ac:dyDescent="0.35">
      <c r="A212" s="13">
        <v>42671</v>
      </c>
      <c r="B212" s="14">
        <v>4548.58</v>
      </c>
      <c r="C212" s="2">
        <f t="shared" si="14"/>
        <v>3.3108565655763922E-3</v>
      </c>
      <c r="D212">
        <f t="shared" si="15"/>
        <v>1</v>
      </c>
      <c r="E212">
        <v>0.281839567262265</v>
      </c>
      <c r="F212">
        <f t="shared" si="16"/>
        <v>0</v>
      </c>
      <c r="G212" t="b">
        <f t="shared" si="17"/>
        <v>0</v>
      </c>
      <c r="H212">
        <v>0.4917479838457201</v>
      </c>
    </row>
    <row r="213" spans="1:8" x14ac:dyDescent="0.35">
      <c r="A213" s="13">
        <v>42674</v>
      </c>
      <c r="B213" s="14">
        <v>4509.26</v>
      </c>
      <c r="C213" s="2">
        <f t="shared" si="14"/>
        <v>-8.6444560720048136E-3</v>
      </c>
      <c r="D213">
        <f t="shared" si="15"/>
        <v>0</v>
      </c>
      <c r="E213">
        <v>0.41578573513786965</v>
      </c>
      <c r="F213">
        <f t="shared" si="16"/>
        <v>0</v>
      </c>
      <c r="G213" t="b">
        <f t="shared" si="17"/>
        <v>1</v>
      </c>
      <c r="H213">
        <v>0.49174798313054474</v>
      </c>
    </row>
    <row r="214" spans="1:8" x14ac:dyDescent="0.35">
      <c r="A214" s="13">
        <v>42675</v>
      </c>
      <c r="B214" s="14">
        <v>4470.28</v>
      </c>
      <c r="C214" s="2">
        <f t="shared" si="14"/>
        <v>-8.6444338982450963E-3</v>
      </c>
      <c r="D214">
        <f t="shared" si="15"/>
        <v>0</v>
      </c>
      <c r="E214">
        <v>0.30618123255347413</v>
      </c>
      <c r="F214">
        <f t="shared" si="16"/>
        <v>0</v>
      </c>
      <c r="G214" t="b">
        <f t="shared" si="17"/>
        <v>1</v>
      </c>
      <c r="H214">
        <v>0.49174798205656012</v>
      </c>
    </row>
    <row r="215" spans="1:8" x14ac:dyDescent="0.35">
      <c r="A215" s="13">
        <v>42676</v>
      </c>
      <c r="B215" s="14">
        <v>4414.67</v>
      </c>
      <c r="C215" s="2">
        <f t="shared" si="14"/>
        <v>-1.2439936648263594E-2</v>
      </c>
      <c r="D215">
        <f t="shared" si="15"/>
        <v>0</v>
      </c>
      <c r="E215">
        <v>0.27098870810665121</v>
      </c>
      <c r="F215">
        <f t="shared" si="16"/>
        <v>0</v>
      </c>
      <c r="G215" t="b">
        <f t="shared" si="17"/>
        <v>1</v>
      </c>
      <c r="H215">
        <v>0.49174770236755044</v>
      </c>
    </row>
    <row r="216" spans="1:8" x14ac:dyDescent="0.35">
      <c r="A216" s="13">
        <v>42677</v>
      </c>
      <c r="B216" s="14">
        <v>4411.68</v>
      </c>
      <c r="C216" s="2">
        <f t="shared" si="14"/>
        <v>-6.7728731705873901E-4</v>
      </c>
      <c r="D216">
        <f t="shared" si="15"/>
        <v>0</v>
      </c>
      <c r="E216">
        <v>0.22143331005692654</v>
      </c>
      <c r="F216">
        <f t="shared" si="16"/>
        <v>0</v>
      </c>
      <c r="G216" t="b">
        <f t="shared" si="17"/>
        <v>1</v>
      </c>
      <c r="H216">
        <v>0.49174744429867456</v>
      </c>
    </row>
    <row r="217" spans="1:8" x14ac:dyDescent="0.35">
      <c r="A217" s="13">
        <v>42678</v>
      </c>
      <c r="B217" s="14">
        <v>4377.46</v>
      </c>
      <c r="C217" s="2">
        <f t="shared" si="14"/>
        <v>-7.7566822616328412E-3</v>
      </c>
      <c r="D217">
        <f t="shared" si="15"/>
        <v>0</v>
      </c>
      <c r="E217">
        <v>0.194688724094468</v>
      </c>
      <c r="F217">
        <f t="shared" si="16"/>
        <v>0</v>
      </c>
      <c r="G217" t="b">
        <f t="shared" si="17"/>
        <v>1</v>
      </c>
      <c r="H217">
        <v>0.49174713702948936</v>
      </c>
    </row>
    <row r="218" spans="1:8" x14ac:dyDescent="0.35">
      <c r="A218" s="13">
        <v>42681</v>
      </c>
      <c r="B218" s="14">
        <v>4461.21</v>
      </c>
      <c r="C218" s="2">
        <f t="shared" si="14"/>
        <v>1.9132099436659722E-2</v>
      </c>
      <c r="D218">
        <f t="shared" si="15"/>
        <v>1</v>
      </c>
      <c r="E218">
        <v>0.18654623634553072</v>
      </c>
      <c r="F218">
        <f t="shared" si="16"/>
        <v>0</v>
      </c>
      <c r="G218" t="b">
        <f t="shared" si="17"/>
        <v>0</v>
      </c>
      <c r="H218">
        <v>0.49174740668033062</v>
      </c>
    </row>
    <row r="219" spans="1:8" x14ac:dyDescent="0.35">
      <c r="A219" s="13">
        <v>42682</v>
      </c>
      <c r="B219" s="14">
        <v>4476.8900000000003</v>
      </c>
      <c r="C219" s="2">
        <f t="shared" si="14"/>
        <v>3.5147415163152562E-3</v>
      </c>
      <c r="D219">
        <f t="shared" si="15"/>
        <v>1</v>
      </c>
      <c r="E219">
        <v>0.25597670656984611</v>
      </c>
      <c r="F219">
        <f t="shared" si="16"/>
        <v>0</v>
      </c>
      <c r="G219" t="b">
        <f t="shared" si="17"/>
        <v>0</v>
      </c>
      <c r="H219">
        <v>0.49174767132134306</v>
      </c>
    </row>
    <row r="220" spans="1:8" x14ac:dyDescent="0.35">
      <c r="A220" s="13">
        <v>42683</v>
      </c>
      <c r="B220" s="14">
        <v>4543.4799999999996</v>
      </c>
      <c r="C220" s="2">
        <f t="shared" si="14"/>
        <v>1.4874164877850315E-2</v>
      </c>
      <c r="D220">
        <f t="shared" si="15"/>
        <v>1</v>
      </c>
      <c r="E220">
        <v>0.37503463917030883</v>
      </c>
      <c r="F220">
        <f t="shared" si="16"/>
        <v>0</v>
      </c>
      <c r="G220" t="b">
        <f t="shared" si="17"/>
        <v>0</v>
      </c>
      <c r="H220">
        <v>0.49174785685946054</v>
      </c>
    </row>
    <row r="221" spans="1:8" x14ac:dyDescent="0.35">
      <c r="A221" s="13">
        <v>42684</v>
      </c>
      <c r="B221" s="14">
        <v>4530.95</v>
      </c>
      <c r="C221" s="2">
        <f t="shared" si="14"/>
        <v>-2.757797987445687E-3</v>
      </c>
      <c r="D221">
        <f t="shared" si="15"/>
        <v>0</v>
      </c>
      <c r="E221">
        <v>0.51724417647381438</v>
      </c>
      <c r="F221">
        <f t="shared" si="16"/>
        <v>1</v>
      </c>
      <c r="G221" t="b">
        <f t="shared" si="17"/>
        <v>0</v>
      </c>
      <c r="H221">
        <v>0.4917466162762324</v>
      </c>
    </row>
    <row r="222" spans="1:8" x14ac:dyDescent="0.35">
      <c r="A222" s="13">
        <v>42685</v>
      </c>
      <c r="B222" s="14">
        <v>4489.2700000000004</v>
      </c>
      <c r="C222" s="2">
        <f t="shared" si="14"/>
        <v>-9.1989538617728295E-3</v>
      </c>
      <c r="D222">
        <f t="shared" si="15"/>
        <v>0</v>
      </c>
      <c r="E222">
        <v>0.40136971880189809</v>
      </c>
      <c r="F222">
        <f t="shared" si="16"/>
        <v>0</v>
      </c>
      <c r="G222" t="b">
        <f t="shared" si="17"/>
        <v>1</v>
      </c>
      <c r="H222">
        <v>0.49174639589045344</v>
      </c>
    </row>
    <row r="223" spans="1:8" x14ac:dyDescent="0.35">
      <c r="A223" s="13">
        <v>42688</v>
      </c>
      <c r="B223" s="14">
        <v>4508.55</v>
      </c>
      <c r="C223" s="2">
        <f t="shared" si="14"/>
        <v>4.294684881951838E-3</v>
      </c>
      <c r="D223">
        <f t="shared" si="15"/>
        <v>1</v>
      </c>
      <c r="E223">
        <v>0.31585376655675101</v>
      </c>
      <c r="F223">
        <f t="shared" si="16"/>
        <v>0</v>
      </c>
      <c r="G223" t="b">
        <f t="shared" si="17"/>
        <v>0</v>
      </c>
      <c r="H223">
        <v>0.49174756762302047</v>
      </c>
    </row>
    <row r="224" spans="1:8" x14ac:dyDescent="0.35">
      <c r="A224" s="13">
        <v>42689</v>
      </c>
      <c r="B224" s="14">
        <v>4536.53</v>
      </c>
      <c r="C224" s="2">
        <f t="shared" si="14"/>
        <v>6.2059864036108081E-3</v>
      </c>
      <c r="D224">
        <f t="shared" si="15"/>
        <v>1</v>
      </c>
      <c r="E224">
        <v>0.40964620909270283</v>
      </c>
      <c r="F224">
        <f t="shared" si="16"/>
        <v>0</v>
      </c>
      <c r="G224" t="b">
        <f t="shared" si="17"/>
        <v>0</v>
      </c>
      <c r="H224">
        <v>0.49174784533717519</v>
      </c>
    </row>
    <row r="225" spans="1:8" x14ac:dyDescent="0.35">
      <c r="A225" s="13">
        <v>42690</v>
      </c>
      <c r="B225" s="14">
        <v>4501.1400000000003</v>
      </c>
      <c r="C225" s="2">
        <f t="shared" si="14"/>
        <v>-7.8011167125533465E-3</v>
      </c>
      <c r="D225">
        <f t="shared" si="15"/>
        <v>0</v>
      </c>
      <c r="E225">
        <v>0.48093073976422629</v>
      </c>
      <c r="F225">
        <f t="shared" si="16"/>
        <v>0</v>
      </c>
      <c r="G225" t="b">
        <f t="shared" si="17"/>
        <v>1</v>
      </c>
      <c r="H225">
        <v>0.49174772239685777</v>
      </c>
    </row>
    <row r="226" spans="1:8" x14ac:dyDescent="0.35">
      <c r="A226" s="13">
        <v>42691</v>
      </c>
      <c r="B226" s="14">
        <v>4527.7700000000004</v>
      </c>
      <c r="C226" s="2">
        <f t="shared" si="14"/>
        <v>5.9162789871010091E-3</v>
      </c>
      <c r="D226">
        <f t="shared" si="15"/>
        <v>1</v>
      </c>
      <c r="E226">
        <v>0.32329106629267351</v>
      </c>
      <c r="F226">
        <f t="shared" si="16"/>
        <v>0</v>
      </c>
      <c r="G226" t="b">
        <f t="shared" si="17"/>
        <v>0</v>
      </c>
      <c r="H226">
        <v>0.49174781795230105</v>
      </c>
    </row>
    <row r="227" spans="1:8" x14ac:dyDescent="0.35">
      <c r="A227" s="13">
        <v>42692</v>
      </c>
      <c r="B227" s="14">
        <v>4504.3500000000004</v>
      </c>
      <c r="C227" s="2">
        <f t="shared" si="14"/>
        <v>-5.1725242227410595E-3</v>
      </c>
      <c r="D227">
        <f t="shared" si="15"/>
        <v>0</v>
      </c>
      <c r="E227">
        <v>0.50247984203085339</v>
      </c>
      <c r="F227">
        <f t="shared" si="16"/>
        <v>1</v>
      </c>
      <c r="G227" t="b">
        <f t="shared" si="17"/>
        <v>0</v>
      </c>
      <c r="H227">
        <v>0.49174740605628831</v>
      </c>
    </row>
    <row r="228" spans="1:8" x14ac:dyDescent="0.35">
      <c r="A228" s="13">
        <v>42695</v>
      </c>
      <c r="B228" s="14">
        <v>4529.58</v>
      </c>
      <c r="C228" s="2">
        <f t="shared" si="14"/>
        <v>5.6012521229478196E-3</v>
      </c>
      <c r="D228">
        <f t="shared" si="15"/>
        <v>1</v>
      </c>
      <c r="E228">
        <v>0.35891355848696949</v>
      </c>
      <c r="F228">
        <f t="shared" si="16"/>
        <v>0</v>
      </c>
      <c r="G228" t="b">
        <f t="shared" si="17"/>
        <v>0</v>
      </c>
      <c r="H228">
        <v>0.49174816679210837</v>
      </c>
    </row>
    <row r="229" spans="1:8" x14ac:dyDescent="0.35">
      <c r="A229" s="13">
        <v>42696</v>
      </c>
      <c r="B229" s="14">
        <v>4548.3500000000004</v>
      </c>
      <c r="C229" s="2">
        <f t="shared" si="14"/>
        <v>4.1438720587780864E-3</v>
      </c>
      <c r="D229">
        <f t="shared" si="15"/>
        <v>1</v>
      </c>
      <c r="E229">
        <v>0.46638120901212787</v>
      </c>
      <c r="F229">
        <f t="shared" si="16"/>
        <v>0</v>
      </c>
      <c r="G229" t="b">
        <f t="shared" si="17"/>
        <v>0</v>
      </c>
      <c r="H229">
        <v>0.49174912268435605</v>
      </c>
    </row>
    <row r="230" spans="1:8" x14ac:dyDescent="0.35">
      <c r="A230" s="13">
        <v>42697</v>
      </c>
      <c r="B230" s="14">
        <v>4529.21</v>
      </c>
      <c r="C230" s="2">
        <f t="shared" si="14"/>
        <v>-4.2081194279245393E-3</v>
      </c>
      <c r="D230">
        <f t="shared" si="15"/>
        <v>0</v>
      </c>
      <c r="E230">
        <v>0.6373473251205608</v>
      </c>
      <c r="F230">
        <f t="shared" si="16"/>
        <v>1</v>
      </c>
      <c r="G230" t="b">
        <f t="shared" si="17"/>
        <v>0</v>
      </c>
      <c r="H230">
        <v>0.4917477708413921</v>
      </c>
    </row>
    <row r="231" spans="1:8" x14ac:dyDescent="0.35">
      <c r="A231" s="13">
        <v>42698</v>
      </c>
      <c r="B231" s="14">
        <v>4542.5600000000004</v>
      </c>
      <c r="C231" s="2">
        <f t="shared" si="14"/>
        <v>2.9475338966398201E-3</v>
      </c>
      <c r="D231">
        <f t="shared" si="15"/>
        <v>1</v>
      </c>
      <c r="E231">
        <v>0.50124035660553967</v>
      </c>
      <c r="F231">
        <f t="shared" si="16"/>
        <v>1</v>
      </c>
      <c r="G231" t="b">
        <f t="shared" si="17"/>
        <v>1</v>
      </c>
      <c r="H231">
        <v>0.49174824957536356</v>
      </c>
    </row>
    <row r="232" spans="1:8" x14ac:dyDescent="0.35">
      <c r="A232" s="13">
        <v>42699</v>
      </c>
      <c r="B232" s="14">
        <v>4550.2700000000004</v>
      </c>
      <c r="C232" s="2">
        <f t="shared" si="14"/>
        <v>1.6972808284314578E-3</v>
      </c>
      <c r="D232">
        <f t="shared" si="15"/>
        <v>1</v>
      </c>
      <c r="E232">
        <v>0.61463664821929109</v>
      </c>
      <c r="F232">
        <f t="shared" si="16"/>
        <v>1</v>
      </c>
      <c r="G232" t="b">
        <f t="shared" si="17"/>
        <v>1</v>
      </c>
      <c r="H232">
        <v>0.49174903298294181</v>
      </c>
    </row>
    <row r="233" spans="1:8" x14ac:dyDescent="0.35">
      <c r="A233" s="13">
        <v>42702</v>
      </c>
      <c r="B233" s="14">
        <v>4510.3900000000003</v>
      </c>
      <c r="C233" s="2">
        <f t="shared" si="14"/>
        <v>-8.7643150845994056E-3</v>
      </c>
      <c r="D233">
        <f t="shared" si="15"/>
        <v>0</v>
      </c>
      <c r="E233">
        <v>0.71086530722741115</v>
      </c>
      <c r="F233">
        <f t="shared" si="16"/>
        <v>1</v>
      </c>
      <c r="G233" t="b">
        <f t="shared" si="17"/>
        <v>0</v>
      </c>
      <c r="H233">
        <v>0.49174832927302364</v>
      </c>
    </row>
    <row r="234" spans="1:8" x14ac:dyDescent="0.35">
      <c r="A234" s="13">
        <v>42703</v>
      </c>
      <c r="B234" s="14">
        <v>4551.46</v>
      </c>
      <c r="C234" s="2">
        <f t="shared" si="14"/>
        <v>9.1056427492965941E-3</v>
      </c>
      <c r="D234">
        <f t="shared" si="15"/>
        <v>1</v>
      </c>
      <c r="E234">
        <v>0.56643695778264569</v>
      </c>
      <c r="F234">
        <f t="shared" si="16"/>
        <v>1</v>
      </c>
      <c r="G234" t="b">
        <f t="shared" si="17"/>
        <v>1</v>
      </c>
      <c r="H234">
        <v>0.49174878516328668</v>
      </c>
    </row>
    <row r="235" spans="1:8" x14ac:dyDescent="0.35">
      <c r="A235" s="13">
        <v>42704</v>
      </c>
      <c r="B235" s="14">
        <v>4578.34</v>
      </c>
      <c r="C235" s="2">
        <f t="shared" si="14"/>
        <v>5.9057972606593179E-3</v>
      </c>
      <c r="D235">
        <f t="shared" si="15"/>
        <v>1</v>
      </c>
      <c r="E235">
        <v>0.65770800356419956</v>
      </c>
      <c r="F235">
        <f t="shared" si="16"/>
        <v>1</v>
      </c>
      <c r="G235" t="b">
        <f t="shared" si="17"/>
        <v>1</v>
      </c>
      <c r="H235">
        <v>0.49174884227575527</v>
      </c>
    </row>
    <row r="236" spans="1:8" x14ac:dyDescent="0.35">
      <c r="A236" s="13">
        <v>42705</v>
      </c>
      <c r="B236" s="14">
        <v>4560.6099999999997</v>
      </c>
      <c r="C236" s="2">
        <f t="shared" si="14"/>
        <v>-3.8725826391226015E-3</v>
      </c>
      <c r="D236">
        <f t="shared" si="15"/>
        <v>0</v>
      </c>
      <c r="E236">
        <v>0.74645352003619214</v>
      </c>
      <c r="F236">
        <f t="shared" si="16"/>
        <v>1</v>
      </c>
      <c r="G236" t="b">
        <f t="shared" si="17"/>
        <v>0</v>
      </c>
      <c r="H236">
        <v>0.4917482277240165</v>
      </c>
    </row>
    <row r="237" spans="1:8" x14ac:dyDescent="0.35">
      <c r="A237" s="13">
        <v>42706</v>
      </c>
      <c r="B237" s="14">
        <v>4528.82</v>
      </c>
      <c r="C237" s="2">
        <f t="shared" si="14"/>
        <v>-6.9705587629724786E-3</v>
      </c>
      <c r="D237">
        <f t="shared" si="15"/>
        <v>0</v>
      </c>
      <c r="E237">
        <v>0.58588349006326923</v>
      </c>
      <c r="F237">
        <f t="shared" si="16"/>
        <v>1</v>
      </c>
      <c r="G237" t="b">
        <f t="shared" si="17"/>
        <v>0</v>
      </c>
      <c r="H237">
        <v>0.49174753086878537</v>
      </c>
    </row>
    <row r="238" spans="1:8" x14ac:dyDescent="0.35">
      <c r="A238" s="13">
        <v>42709</v>
      </c>
      <c r="B238" s="14">
        <v>4574.32</v>
      </c>
      <c r="C238" s="2">
        <f t="shared" si="14"/>
        <v>1.0046767149058722E-2</v>
      </c>
      <c r="D238">
        <f t="shared" si="15"/>
        <v>1</v>
      </c>
      <c r="E238">
        <v>0.40461311229859787</v>
      </c>
      <c r="F238">
        <f t="shared" si="16"/>
        <v>0</v>
      </c>
      <c r="G238" t="b">
        <f t="shared" si="17"/>
        <v>0</v>
      </c>
      <c r="H238">
        <v>0.49174876774254023</v>
      </c>
    </row>
    <row r="239" spans="1:8" x14ac:dyDescent="0.35">
      <c r="A239" s="13">
        <v>42710</v>
      </c>
      <c r="B239" s="14">
        <v>4631.9399999999996</v>
      </c>
      <c r="C239" s="2">
        <f t="shared" si="14"/>
        <v>1.2596407772084151E-2</v>
      </c>
      <c r="D239">
        <f t="shared" si="15"/>
        <v>1</v>
      </c>
      <c r="E239">
        <v>0.53455695548678539</v>
      </c>
      <c r="F239">
        <f t="shared" si="16"/>
        <v>1</v>
      </c>
      <c r="G239" t="b">
        <f t="shared" si="17"/>
        <v>1</v>
      </c>
      <c r="H239">
        <v>0.49174959155891174</v>
      </c>
    </row>
    <row r="240" spans="1:8" x14ac:dyDescent="0.35">
      <c r="A240" s="13">
        <v>42711</v>
      </c>
      <c r="B240" s="14">
        <v>4694.72</v>
      </c>
      <c r="C240" s="2">
        <f t="shared" si="14"/>
        <v>1.355371615349088E-2</v>
      </c>
      <c r="D240">
        <f t="shared" si="15"/>
        <v>1</v>
      </c>
      <c r="E240">
        <v>0.67499796966645231</v>
      </c>
      <c r="F240">
        <f t="shared" si="16"/>
        <v>1</v>
      </c>
      <c r="G240" t="b">
        <f t="shared" si="17"/>
        <v>1</v>
      </c>
      <c r="H240">
        <v>0.49175007783404417</v>
      </c>
    </row>
    <row r="241" spans="1:8" x14ac:dyDescent="0.35">
      <c r="A241" s="13">
        <v>42712</v>
      </c>
      <c r="B241" s="14">
        <v>4735.4799999999996</v>
      </c>
      <c r="C241" s="2">
        <f t="shared" si="14"/>
        <v>8.6820939267941988E-3</v>
      </c>
      <c r="D241">
        <f t="shared" si="15"/>
        <v>1</v>
      </c>
      <c r="E241">
        <v>0.74280437086179929</v>
      </c>
      <c r="F241">
        <f t="shared" si="16"/>
        <v>1</v>
      </c>
      <c r="G241" t="b">
        <f t="shared" si="17"/>
        <v>1</v>
      </c>
      <c r="H241">
        <v>0.49175045780240062</v>
      </c>
    </row>
    <row r="242" spans="1:8" x14ac:dyDescent="0.35">
      <c r="A242" s="13">
        <v>42713</v>
      </c>
      <c r="B242" s="14">
        <v>4764.07</v>
      </c>
      <c r="C242" s="2">
        <f t="shared" si="14"/>
        <v>6.0374027553702359E-3</v>
      </c>
      <c r="D242">
        <f t="shared" si="15"/>
        <v>1</v>
      </c>
      <c r="E242">
        <v>0.78603768876632785</v>
      </c>
      <c r="F242">
        <f t="shared" si="16"/>
        <v>1</v>
      </c>
      <c r="G242" t="b">
        <f t="shared" si="17"/>
        <v>1</v>
      </c>
      <c r="H242">
        <v>0.49175062091055605</v>
      </c>
    </row>
    <row r="243" spans="1:8" x14ac:dyDescent="0.35">
      <c r="A243" s="13">
        <v>42716</v>
      </c>
      <c r="B243" s="14">
        <v>4760.7700000000004</v>
      </c>
      <c r="C243" s="2">
        <f t="shared" si="14"/>
        <v>-6.9268503611397136E-4</v>
      </c>
      <c r="D243">
        <f t="shared" si="15"/>
        <v>0</v>
      </c>
      <c r="E243">
        <v>0.80825675235853633</v>
      </c>
      <c r="F243">
        <f t="shared" si="16"/>
        <v>1</v>
      </c>
      <c r="G243" t="b">
        <f t="shared" si="17"/>
        <v>0</v>
      </c>
      <c r="H243">
        <v>0.49174979867895841</v>
      </c>
    </row>
    <row r="244" spans="1:8" x14ac:dyDescent="0.35">
      <c r="A244" s="13">
        <v>42717</v>
      </c>
      <c r="B244" s="14">
        <v>4803.87</v>
      </c>
      <c r="C244" s="2">
        <f t="shared" si="14"/>
        <v>9.0531573674006438E-3</v>
      </c>
      <c r="D244">
        <f t="shared" si="15"/>
        <v>1</v>
      </c>
      <c r="E244">
        <v>0.70419745496596076</v>
      </c>
      <c r="F244">
        <f t="shared" si="16"/>
        <v>1</v>
      </c>
      <c r="G244" t="b">
        <f t="shared" si="17"/>
        <v>1</v>
      </c>
      <c r="H244">
        <v>0.49175015232350627</v>
      </c>
    </row>
    <row r="245" spans="1:8" x14ac:dyDescent="0.35">
      <c r="A245" s="13">
        <v>42718</v>
      </c>
      <c r="B245" s="14">
        <v>4769.24</v>
      </c>
      <c r="C245" s="2">
        <f t="shared" si="14"/>
        <v>-7.2087712615037658E-3</v>
      </c>
      <c r="D245">
        <f t="shared" si="15"/>
        <v>0</v>
      </c>
      <c r="E245">
        <v>0.76756233369923332</v>
      </c>
      <c r="F245">
        <f t="shared" si="16"/>
        <v>1</v>
      </c>
      <c r="G245" t="b">
        <f t="shared" si="17"/>
        <v>0</v>
      </c>
      <c r="H245">
        <v>0.49174916098715676</v>
      </c>
    </row>
    <row r="246" spans="1:8" x14ac:dyDescent="0.35">
      <c r="A246" s="13">
        <v>42719</v>
      </c>
      <c r="B246" s="14">
        <v>4819.2299999999996</v>
      </c>
      <c r="C246" s="2">
        <f t="shared" si="14"/>
        <v>1.0481753906282698E-2</v>
      </c>
      <c r="D246">
        <f t="shared" si="15"/>
        <v>1</v>
      </c>
      <c r="E246">
        <v>0.63718502673843769</v>
      </c>
      <c r="F246">
        <f t="shared" si="16"/>
        <v>1</v>
      </c>
      <c r="G246" t="b">
        <f t="shared" si="17"/>
        <v>1</v>
      </c>
      <c r="H246">
        <v>0.49174929015214858</v>
      </c>
    </row>
    <row r="247" spans="1:8" x14ac:dyDescent="0.35">
      <c r="A247" s="13">
        <v>42720</v>
      </c>
      <c r="B247" s="14">
        <v>4833.2700000000004</v>
      </c>
      <c r="C247" s="2">
        <f t="shared" si="14"/>
        <v>2.9133284777860258E-3</v>
      </c>
      <c r="D247">
        <f t="shared" si="15"/>
        <v>1</v>
      </c>
      <c r="E247">
        <v>0.70781593934519438</v>
      </c>
      <c r="F247">
        <f t="shared" si="16"/>
        <v>1</v>
      </c>
      <c r="G247" t="b">
        <f t="shared" si="17"/>
        <v>1</v>
      </c>
      <c r="H247">
        <v>0.49174932596644583</v>
      </c>
    </row>
    <row r="248" spans="1:8" x14ac:dyDescent="0.35">
      <c r="A248" s="13">
        <v>42723</v>
      </c>
      <c r="B248" s="14">
        <v>4822.7700000000004</v>
      </c>
      <c r="C248" s="2">
        <f t="shared" si="14"/>
        <v>-2.1724422595882364E-3</v>
      </c>
      <c r="D248">
        <f t="shared" si="15"/>
        <v>0</v>
      </c>
      <c r="E248">
        <v>0.7593952459451343</v>
      </c>
      <c r="F248">
        <f t="shared" si="16"/>
        <v>1</v>
      </c>
      <c r="G248" t="b">
        <f t="shared" si="17"/>
        <v>0</v>
      </c>
      <c r="H248">
        <v>0.49174860873838949</v>
      </c>
    </row>
    <row r="249" spans="1:8" x14ac:dyDescent="0.35">
      <c r="A249" s="13">
        <v>42724</v>
      </c>
      <c r="B249" s="14">
        <v>4849.8900000000003</v>
      </c>
      <c r="C249" s="2">
        <f t="shared" si="14"/>
        <v>5.6233243550904977E-3</v>
      </c>
      <c r="D249">
        <f t="shared" si="15"/>
        <v>1</v>
      </c>
      <c r="E249">
        <v>0.63963105017194333</v>
      </c>
      <c r="F249">
        <f t="shared" si="16"/>
        <v>1</v>
      </c>
      <c r="G249" t="b">
        <f t="shared" si="17"/>
        <v>1</v>
      </c>
      <c r="H249">
        <v>0.49174901207294985</v>
      </c>
    </row>
    <row r="250" spans="1:8" x14ac:dyDescent="0.35">
      <c r="A250" s="13">
        <v>42725</v>
      </c>
      <c r="B250" s="14">
        <v>4833.82</v>
      </c>
      <c r="C250" s="2">
        <f t="shared" si="14"/>
        <v>-3.3134772128853296E-3</v>
      </c>
      <c r="D250">
        <f t="shared" si="15"/>
        <v>0</v>
      </c>
      <c r="E250">
        <v>0.72067024435354288</v>
      </c>
      <c r="F250">
        <f t="shared" si="16"/>
        <v>1</v>
      </c>
      <c r="G250" t="b">
        <f t="shared" si="17"/>
        <v>0</v>
      </c>
      <c r="H250">
        <v>0.49174812855712907</v>
      </c>
    </row>
    <row r="251" spans="1:8" x14ac:dyDescent="0.35">
      <c r="A251" s="13">
        <v>42726</v>
      </c>
      <c r="B251" s="14">
        <v>4834.63</v>
      </c>
      <c r="C251" s="2">
        <f t="shared" si="14"/>
        <v>1.6756933439809885E-4</v>
      </c>
      <c r="D251">
        <f t="shared" si="15"/>
        <v>1</v>
      </c>
      <c r="E251">
        <v>0.57518670085766044</v>
      </c>
      <c r="F251">
        <f t="shared" si="16"/>
        <v>1</v>
      </c>
      <c r="G251" t="b">
        <f t="shared" si="17"/>
        <v>1</v>
      </c>
      <c r="H251">
        <v>0.49174856440741471</v>
      </c>
    </row>
    <row r="252" spans="1:8" x14ac:dyDescent="0.35">
      <c r="A252" s="13">
        <v>42727</v>
      </c>
      <c r="B252" s="14">
        <v>4839.68</v>
      </c>
      <c r="C252" s="2">
        <f t="shared" si="14"/>
        <v>1.0445473593636567E-3</v>
      </c>
      <c r="D252">
        <f t="shared" si="15"/>
        <v>1</v>
      </c>
      <c r="E252">
        <v>0.67840997129147929</v>
      </c>
      <c r="F252">
        <f t="shared" si="16"/>
        <v>1</v>
      </c>
      <c r="G252" t="b">
        <f t="shared" si="17"/>
        <v>1</v>
      </c>
      <c r="H252">
        <v>0.49174859093286688</v>
      </c>
    </row>
    <row r="253" spans="1:8" x14ac:dyDescent="0.35">
      <c r="A253" s="13">
        <v>42731</v>
      </c>
      <c r="B253" s="14">
        <v>4848.28</v>
      </c>
      <c r="C253" s="2">
        <f t="shared" si="14"/>
        <v>1.7769769902140631E-3</v>
      </c>
      <c r="D253">
        <f t="shared" si="15"/>
        <v>1</v>
      </c>
      <c r="E253">
        <v>0.74921551661329078</v>
      </c>
      <c r="F253">
        <f t="shared" si="16"/>
        <v>1</v>
      </c>
      <c r="G253" t="b">
        <f t="shared" si="17"/>
        <v>1</v>
      </c>
      <c r="H253">
        <v>0.49174872758114113</v>
      </c>
    </row>
    <row r="254" spans="1:8" x14ac:dyDescent="0.35">
      <c r="A254" s="13">
        <v>42732</v>
      </c>
      <c r="B254" s="14">
        <v>4848.01</v>
      </c>
      <c r="C254" s="2">
        <f t="shared" si="14"/>
        <v>-5.5689852896168013E-5</v>
      </c>
      <c r="D254">
        <f t="shared" si="15"/>
        <v>0</v>
      </c>
      <c r="E254">
        <v>0.77806134756495149</v>
      </c>
      <c r="F254">
        <f t="shared" si="16"/>
        <v>1</v>
      </c>
      <c r="G254" t="b">
        <f t="shared" si="17"/>
        <v>0</v>
      </c>
      <c r="H254">
        <v>0.49174758493680165</v>
      </c>
    </row>
    <row r="255" spans="1:8" x14ac:dyDescent="0.35">
      <c r="A255" s="13">
        <v>42733</v>
      </c>
      <c r="B255" s="14">
        <v>4838.47</v>
      </c>
      <c r="C255" s="2">
        <f t="shared" si="14"/>
        <v>-1.9678177231482463E-3</v>
      </c>
      <c r="D255">
        <f t="shared" si="15"/>
        <v>0</v>
      </c>
      <c r="E255">
        <v>0.64554172266585808</v>
      </c>
      <c r="F255">
        <f t="shared" si="16"/>
        <v>1</v>
      </c>
      <c r="G255" t="b">
        <f t="shared" si="17"/>
        <v>0</v>
      </c>
      <c r="H255">
        <v>0.49174634956333518</v>
      </c>
    </row>
    <row r="256" spans="1:8" x14ac:dyDescent="0.35">
      <c r="A256" s="13">
        <v>42734</v>
      </c>
      <c r="B256" s="14">
        <v>4862.3100000000004</v>
      </c>
      <c r="C256" s="2">
        <f t="shared" si="14"/>
        <v>4.9271773928536433E-3</v>
      </c>
      <c r="D256">
        <f t="shared" si="15"/>
        <v>1</v>
      </c>
      <c r="E256">
        <v>0.50807511282942486</v>
      </c>
      <c r="F256">
        <f t="shared" si="16"/>
        <v>1</v>
      </c>
      <c r="G256" t="b">
        <f t="shared" si="17"/>
        <v>1</v>
      </c>
      <c r="H256">
        <v>0.49174701358479078</v>
      </c>
    </row>
    <row r="257" spans="1:8" x14ac:dyDescent="0.35">
      <c r="A257" s="13">
        <v>42737</v>
      </c>
      <c r="B257" s="14">
        <v>4882.38</v>
      </c>
      <c r="C257" s="2">
        <f t="shared" si="14"/>
        <v>4.1276677134940432E-3</v>
      </c>
      <c r="D257">
        <f t="shared" si="15"/>
        <v>1</v>
      </c>
      <c r="E257">
        <v>0.60478350532205993</v>
      </c>
      <c r="F257">
        <f t="shared" si="16"/>
        <v>1</v>
      </c>
      <c r="G257" t="b">
        <f t="shared" si="17"/>
        <v>1</v>
      </c>
      <c r="H257">
        <v>0.49174759235868065</v>
      </c>
    </row>
    <row r="258" spans="1:8" x14ac:dyDescent="0.35">
      <c r="A258" s="13">
        <v>42738</v>
      </c>
      <c r="B258" s="14">
        <v>4899.33</v>
      </c>
      <c r="C258" s="2">
        <f t="shared" si="14"/>
        <v>3.4716675064210278E-3</v>
      </c>
      <c r="D258">
        <f t="shared" si="15"/>
        <v>1</v>
      </c>
      <c r="E258">
        <v>0.70557980916370044</v>
      </c>
      <c r="F258">
        <f t="shared" si="16"/>
        <v>1</v>
      </c>
      <c r="G258" t="b">
        <f t="shared" si="17"/>
        <v>1</v>
      </c>
      <c r="H258">
        <v>0.49174787154668054</v>
      </c>
    </row>
    <row r="259" spans="1:8" x14ac:dyDescent="0.35">
      <c r="A259" s="13">
        <v>42739</v>
      </c>
      <c r="B259" s="14">
        <v>4899.3999999999996</v>
      </c>
      <c r="C259" s="2">
        <f t="shared" si="14"/>
        <v>1.4287667905454882E-5</v>
      </c>
      <c r="D259">
        <f t="shared" si="15"/>
        <v>1</v>
      </c>
      <c r="E259">
        <v>0.76812393277231761</v>
      </c>
      <c r="F259">
        <f t="shared" si="16"/>
        <v>1</v>
      </c>
      <c r="G259" t="b">
        <f t="shared" si="17"/>
        <v>1</v>
      </c>
      <c r="H259">
        <v>0.49174810839935823</v>
      </c>
    </row>
    <row r="260" spans="1:8" x14ac:dyDescent="0.35">
      <c r="A260" s="13">
        <v>42740</v>
      </c>
      <c r="B260" s="14">
        <v>4900.6400000000003</v>
      </c>
      <c r="C260" s="2">
        <f t="shared" ref="C260:C323" si="18">(B260/B259)-1</f>
        <v>2.530922153733961E-4</v>
      </c>
      <c r="D260">
        <f t="shared" si="15"/>
        <v>1</v>
      </c>
      <c r="E260">
        <v>0.80485637371254437</v>
      </c>
      <c r="F260">
        <f t="shared" si="16"/>
        <v>1</v>
      </c>
      <c r="G260" t="b">
        <f t="shared" si="17"/>
        <v>1</v>
      </c>
      <c r="H260">
        <v>0.49174823422929548</v>
      </c>
    </row>
    <row r="261" spans="1:8" x14ac:dyDescent="0.35">
      <c r="A261" s="13">
        <v>42741</v>
      </c>
      <c r="B261" s="14">
        <v>4909.84</v>
      </c>
      <c r="C261" s="2">
        <f t="shared" si="18"/>
        <v>1.8773058212804283E-3</v>
      </c>
      <c r="D261">
        <f t="shared" si="15"/>
        <v>1</v>
      </c>
      <c r="E261">
        <v>0.82956209514043955</v>
      </c>
      <c r="F261">
        <f t="shared" si="16"/>
        <v>1</v>
      </c>
      <c r="G261" t="b">
        <f t="shared" si="17"/>
        <v>1</v>
      </c>
      <c r="H261">
        <v>0.49174829823866939</v>
      </c>
    </row>
    <row r="262" spans="1:8" x14ac:dyDescent="0.35">
      <c r="A262" s="13">
        <v>42744</v>
      </c>
      <c r="B262" s="14">
        <v>4887.57</v>
      </c>
      <c r="C262" s="2">
        <f t="shared" si="18"/>
        <v>-4.5357893536246419E-3</v>
      </c>
      <c r="D262">
        <f t="shared" ref="D262:D325" si="19">IF(C262&gt;=0,1,0)</f>
        <v>0</v>
      </c>
      <c r="E262">
        <v>0.84438071709144746</v>
      </c>
      <c r="F262">
        <f t="shared" si="16"/>
        <v>1</v>
      </c>
      <c r="G262" t="b">
        <f t="shared" si="17"/>
        <v>0</v>
      </c>
      <c r="H262">
        <v>0.49174768901098825</v>
      </c>
    </row>
    <row r="263" spans="1:8" x14ac:dyDescent="0.35">
      <c r="A263" s="13">
        <v>42745</v>
      </c>
      <c r="B263" s="14">
        <v>4888.2299999999996</v>
      </c>
      <c r="C263" s="2">
        <f t="shared" si="18"/>
        <v>1.3503642914569625E-4</v>
      </c>
      <c r="D263">
        <f t="shared" si="19"/>
        <v>1</v>
      </c>
      <c r="E263">
        <v>0.77433852010784321</v>
      </c>
      <c r="F263">
        <f t="shared" si="16"/>
        <v>1</v>
      </c>
      <c r="G263" t="b">
        <f t="shared" si="17"/>
        <v>1</v>
      </c>
      <c r="H263">
        <v>0.49174794867188837</v>
      </c>
    </row>
    <row r="264" spans="1:8" x14ac:dyDescent="0.35">
      <c r="A264" s="13">
        <v>42746</v>
      </c>
      <c r="B264" s="14">
        <v>4888.71</v>
      </c>
      <c r="C264" s="2">
        <f t="shared" si="18"/>
        <v>9.8195052196992094E-5</v>
      </c>
      <c r="D264">
        <f t="shared" si="19"/>
        <v>1</v>
      </c>
      <c r="E264">
        <v>0.80781936621322248</v>
      </c>
      <c r="F264">
        <f t="shared" si="16"/>
        <v>1</v>
      </c>
      <c r="G264" t="b">
        <f t="shared" si="17"/>
        <v>1</v>
      </c>
      <c r="H264">
        <v>0.49174819023061528</v>
      </c>
    </row>
    <row r="265" spans="1:8" x14ac:dyDescent="0.35">
      <c r="A265" s="13">
        <v>42747</v>
      </c>
      <c r="B265" s="14">
        <v>4863.97</v>
      </c>
      <c r="C265" s="2">
        <f t="shared" si="18"/>
        <v>-5.0606397188623919E-3</v>
      </c>
      <c r="D265">
        <f t="shared" si="19"/>
        <v>0</v>
      </c>
      <c r="E265">
        <v>0.83115823497780517</v>
      </c>
      <c r="F265">
        <f t="shared" ref="F265:F328" si="20">IF(E265&gt;=0.5,1,0)</f>
        <v>1</v>
      </c>
      <c r="G265" t="b">
        <f t="shared" ref="G265:G328" si="21">IF(D265=F265,TRUE,FALSE)</f>
        <v>0</v>
      </c>
      <c r="H265">
        <v>0.49174811735321927</v>
      </c>
    </row>
    <row r="266" spans="1:8" x14ac:dyDescent="0.35">
      <c r="A266" s="13">
        <v>42748</v>
      </c>
      <c r="B266" s="14">
        <v>4922.49</v>
      </c>
      <c r="C266" s="2">
        <f t="shared" si="18"/>
        <v>1.2031324206358107E-2</v>
      </c>
      <c r="D266">
        <f t="shared" si="19"/>
        <v>1</v>
      </c>
      <c r="E266">
        <v>0.73666128965556454</v>
      </c>
      <c r="F266">
        <f t="shared" si="20"/>
        <v>1</v>
      </c>
      <c r="G266" t="b">
        <f t="shared" si="21"/>
        <v>1</v>
      </c>
      <c r="H266">
        <v>0.4917482846607843</v>
      </c>
    </row>
    <row r="267" spans="1:8" x14ac:dyDescent="0.35">
      <c r="A267" s="13">
        <v>42751</v>
      </c>
      <c r="B267" s="14">
        <v>4882.18</v>
      </c>
      <c r="C267" s="2">
        <f t="shared" si="18"/>
        <v>-8.1889450257897067E-3</v>
      </c>
      <c r="D267">
        <f t="shared" si="19"/>
        <v>0</v>
      </c>
      <c r="E267">
        <v>0.7758607360943125</v>
      </c>
      <c r="F267">
        <f t="shared" si="20"/>
        <v>1</v>
      </c>
      <c r="G267" t="b">
        <f t="shared" si="21"/>
        <v>0</v>
      </c>
      <c r="H267">
        <v>0.49174785200832177</v>
      </c>
    </row>
    <row r="268" spans="1:8" x14ac:dyDescent="0.35">
      <c r="A268" s="13">
        <v>42752</v>
      </c>
      <c r="B268" s="14">
        <v>4859.6899999999996</v>
      </c>
      <c r="C268" s="2">
        <f t="shared" si="18"/>
        <v>-4.6065487138943206E-3</v>
      </c>
      <c r="D268">
        <f t="shared" si="19"/>
        <v>0</v>
      </c>
      <c r="E268">
        <v>0.63149793064622639</v>
      </c>
      <c r="F268">
        <f t="shared" si="20"/>
        <v>1</v>
      </c>
      <c r="G268" t="b">
        <f t="shared" si="21"/>
        <v>0</v>
      </c>
      <c r="H268">
        <v>0.49174733739290433</v>
      </c>
    </row>
    <row r="269" spans="1:8" x14ac:dyDescent="0.35">
      <c r="A269" s="13">
        <v>42753</v>
      </c>
      <c r="B269" s="14">
        <v>4853.3999999999996</v>
      </c>
      <c r="C269" s="2">
        <f t="shared" si="18"/>
        <v>-1.2943212427130035E-3</v>
      </c>
      <c r="D269">
        <f t="shared" si="19"/>
        <v>0</v>
      </c>
      <c r="E269">
        <v>0.47522671377645948</v>
      </c>
      <c r="F269">
        <f t="shared" si="20"/>
        <v>0</v>
      </c>
      <c r="G269" t="b">
        <f t="shared" si="21"/>
        <v>1</v>
      </c>
      <c r="H269">
        <v>0.49174727608682811</v>
      </c>
    </row>
    <row r="270" spans="1:8" x14ac:dyDescent="0.35">
      <c r="A270" s="13">
        <v>42754</v>
      </c>
      <c r="B270" s="14">
        <v>4841.1400000000003</v>
      </c>
      <c r="C270" s="2">
        <f t="shared" si="18"/>
        <v>-2.5260642024146351E-3</v>
      </c>
      <c r="D270">
        <f t="shared" si="19"/>
        <v>0</v>
      </c>
      <c r="E270">
        <v>0.35726594557373265</v>
      </c>
      <c r="F270">
        <f t="shared" si="20"/>
        <v>0</v>
      </c>
      <c r="G270" t="b">
        <f t="shared" si="21"/>
        <v>1</v>
      </c>
      <c r="H270">
        <v>0.49174677185738846</v>
      </c>
    </row>
    <row r="271" spans="1:8" x14ac:dyDescent="0.35">
      <c r="A271" s="13">
        <v>42755</v>
      </c>
      <c r="B271" s="14">
        <v>4850.67</v>
      </c>
      <c r="C271" s="2">
        <f t="shared" si="18"/>
        <v>1.9685445989994221E-3</v>
      </c>
      <c r="D271">
        <f t="shared" si="19"/>
        <v>1</v>
      </c>
      <c r="E271">
        <v>0.29762725945408169</v>
      </c>
      <c r="F271">
        <f t="shared" si="20"/>
        <v>0</v>
      </c>
      <c r="G271" t="b">
        <f t="shared" si="21"/>
        <v>0</v>
      </c>
      <c r="H271">
        <v>0.49174795014825368</v>
      </c>
    </row>
    <row r="272" spans="1:8" x14ac:dyDescent="0.35">
      <c r="A272" s="13">
        <v>42758</v>
      </c>
      <c r="B272" s="14">
        <v>4821.41</v>
      </c>
      <c r="C272" s="2">
        <f t="shared" si="18"/>
        <v>-6.032156382520415E-3</v>
      </c>
      <c r="D272">
        <f t="shared" si="19"/>
        <v>0</v>
      </c>
      <c r="E272">
        <v>0.4549444983120709</v>
      </c>
      <c r="F272">
        <f t="shared" si="20"/>
        <v>0</v>
      </c>
      <c r="G272" t="b">
        <f t="shared" si="21"/>
        <v>1</v>
      </c>
      <c r="H272">
        <v>0.49174715112644884</v>
      </c>
    </row>
    <row r="273" spans="1:8" x14ac:dyDescent="0.35">
      <c r="A273" s="13">
        <v>42759</v>
      </c>
      <c r="B273" s="14">
        <v>4830.03</v>
      </c>
      <c r="C273" s="2">
        <f t="shared" si="18"/>
        <v>1.7878587384188016E-3</v>
      </c>
      <c r="D273">
        <f t="shared" si="19"/>
        <v>1</v>
      </c>
      <c r="E273">
        <v>0.36526294365346423</v>
      </c>
      <c r="F273">
        <f t="shared" si="20"/>
        <v>0</v>
      </c>
      <c r="G273" t="b">
        <f t="shared" si="21"/>
        <v>0</v>
      </c>
      <c r="H273">
        <v>0.49174744538607029</v>
      </c>
    </row>
    <row r="274" spans="1:8" x14ac:dyDescent="0.35">
      <c r="A274" s="13">
        <v>42760</v>
      </c>
      <c r="B274" s="14">
        <v>4877.67</v>
      </c>
      <c r="C274" s="2">
        <f t="shared" si="18"/>
        <v>9.8632927745792021E-3</v>
      </c>
      <c r="D274">
        <f t="shared" si="19"/>
        <v>1</v>
      </c>
      <c r="E274">
        <v>0.47311918084208043</v>
      </c>
      <c r="F274">
        <f t="shared" si="20"/>
        <v>0</v>
      </c>
      <c r="G274" t="b">
        <f t="shared" si="21"/>
        <v>0</v>
      </c>
      <c r="H274">
        <v>0.49174771773666326</v>
      </c>
    </row>
    <row r="275" spans="1:8" x14ac:dyDescent="0.35">
      <c r="A275" s="13">
        <v>42761</v>
      </c>
      <c r="B275" s="14">
        <v>4867.24</v>
      </c>
      <c r="C275" s="2">
        <f t="shared" si="18"/>
        <v>-2.1383160402406176E-3</v>
      </c>
      <c r="D275">
        <f t="shared" si="19"/>
        <v>0</v>
      </c>
      <c r="E275">
        <v>0.58778642127966352</v>
      </c>
      <c r="F275">
        <f t="shared" si="20"/>
        <v>1</v>
      </c>
      <c r="G275" t="b">
        <f t="shared" si="21"/>
        <v>0</v>
      </c>
      <c r="H275">
        <v>0.49174663981694772</v>
      </c>
    </row>
    <row r="276" spans="1:8" x14ac:dyDescent="0.35">
      <c r="A276" s="13">
        <v>42762</v>
      </c>
      <c r="B276" s="14">
        <v>4839.9799999999996</v>
      </c>
      <c r="C276" s="2">
        <f t="shared" si="18"/>
        <v>-5.6007100533361776E-3</v>
      </c>
      <c r="D276">
        <f t="shared" si="19"/>
        <v>0</v>
      </c>
      <c r="E276">
        <v>0.43356125447960858</v>
      </c>
      <c r="F276">
        <f t="shared" si="20"/>
        <v>0</v>
      </c>
      <c r="G276" t="b">
        <f t="shared" si="21"/>
        <v>1</v>
      </c>
      <c r="H276">
        <v>0.4917460172968996</v>
      </c>
    </row>
    <row r="277" spans="1:8" x14ac:dyDescent="0.35">
      <c r="A277" s="13">
        <v>42765</v>
      </c>
      <c r="B277" s="14">
        <v>4784.6400000000003</v>
      </c>
      <c r="C277" s="2">
        <f t="shared" si="18"/>
        <v>-1.1433931545171472E-2</v>
      </c>
      <c r="D277">
        <f t="shared" si="19"/>
        <v>0</v>
      </c>
      <c r="E277">
        <v>0.30593128852697854</v>
      </c>
      <c r="F277">
        <f t="shared" si="20"/>
        <v>0</v>
      </c>
      <c r="G277" t="b">
        <f t="shared" si="21"/>
        <v>1</v>
      </c>
      <c r="H277">
        <v>0.4917456245572922</v>
      </c>
    </row>
    <row r="278" spans="1:8" x14ac:dyDescent="0.35">
      <c r="A278" s="13">
        <v>42766</v>
      </c>
      <c r="B278" s="14">
        <v>4748.8999999999996</v>
      </c>
      <c r="C278" s="2">
        <f t="shared" si="18"/>
        <v>-7.4697364901018526E-3</v>
      </c>
      <c r="D278">
        <f t="shared" si="19"/>
        <v>0</v>
      </c>
      <c r="E278">
        <v>0.24516103296827554</v>
      </c>
      <c r="F278">
        <f t="shared" si="20"/>
        <v>0</v>
      </c>
      <c r="G278" t="b">
        <f t="shared" si="21"/>
        <v>1</v>
      </c>
      <c r="H278">
        <v>0.49174545209103354</v>
      </c>
    </row>
    <row r="279" spans="1:8" x14ac:dyDescent="0.35">
      <c r="A279" s="13">
        <v>42767</v>
      </c>
      <c r="B279" s="14">
        <v>4794.58</v>
      </c>
      <c r="C279" s="2">
        <f t="shared" si="18"/>
        <v>9.6190696792941566E-3</v>
      </c>
      <c r="D279">
        <f t="shared" si="19"/>
        <v>1</v>
      </c>
      <c r="E279">
        <v>0.21935323777755564</v>
      </c>
      <c r="F279">
        <f t="shared" si="20"/>
        <v>0</v>
      </c>
      <c r="G279" t="b">
        <f t="shared" si="21"/>
        <v>0</v>
      </c>
      <c r="H279">
        <v>0.49174658002684568</v>
      </c>
    </row>
    <row r="280" spans="1:8" x14ac:dyDescent="0.35">
      <c r="A280" s="13">
        <v>42768</v>
      </c>
      <c r="B280" s="14">
        <v>4794.29</v>
      </c>
      <c r="C280" s="2">
        <f t="shared" si="18"/>
        <v>-6.0484964272133901E-5</v>
      </c>
      <c r="D280">
        <f t="shared" si="19"/>
        <v>0</v>
      </c>
      <c r="E280">
        <v>0.30652003884731349</v>
      </c>
      <c r="F280">
        <f t="shared" si="20"/>
        <v>0</v>
      </c>
      <c r="G280" t="b">
        <f t="shared" si="21"/>
        <v>1</v>
      </c>
      <c r="H280">
        <v>0.49174656854598275</v>
      </c>
    </row>
    <row r="281" spans="1:8" x14ac:dyDescent="0.35">
      <c r="A281" s="13">
        <v>42769</v>
      </c>
      <c r="B281" s="14">
        <v>4825.42</v>
      </c>
      <c r="C281" s="2">
        <f t="shared" si="18"/>
        <v>6.4931407987418588E-3</v>
      </c>
      <c r="D281">
        <f t="shared" si="19"/>
        <v>1</v>
      </c>
      <c r="E281">
        <v>0.23923842183613339</v>
      </c>
      <c r="F281">
        <f t="shared" si="20"/>
        <v>0</v>
      </c>
      <c r="G281" t="b">
        <f t="shared" si="21"/>
        <v>0</v>
      </c>
      <c r="H281">
        <v>0.49174731699901264</v>
      </c>
    </row>
    <row r="282" spans="1:8" x14ac:dyDescent="0.35">
      <c r="A282" s="13">
        <v>42772</v>
      </c>
      <c r="B282" s="14">
        <v>4778.08</v>
      </c>
      <c r="C282" s="2">
        <f t="shared" si="18"/>
        <v>-9.81054498883005E-3</v>
      </c>
      <c r="D282">
        <f t="shared" si="19"/>
        <v>0</v>
      </c>
      <c r="E282">
        <v>0.37472873002856055</v>
      </c>
      <c r="F282">
        <f t="shared" si="20"/>
        <v>0</v>
      </c>
      <c r="G282" t="b">
        <f t="shared" si="21"/>
        <v>1</v>
      </c>
      <c r="H282">
        <v>0.49174684410208963</v>
      </c>
    </row>
    <row r="283" spans="1:8" x14ac:dyDescent="0.35">
      <c r="A283" s="13">
        <v>42773</v>
      </c>
      <c r="B283" s="14">
        <v>4754.47</v>
      </c>
      <c r="C283" s="2">
        <f t="shared" si="18"/>
        <v>-4.9413153400528209E-3</v>
      </c>
      <c r="D283">
        <f t="shared" si="19"/>
        <v>0</v>
      </c>
      <c r="E283">
        <v>0.28257789923148308</v>
      </c>
      <c r="F283">
        <f t="shared" si="20"/>
        <v>0</v>
      </c>
      <c r="G283" t="b">
        <f t="shared" si="21"/>
        <v>1</v>
      </c>
      <c r="H283">
        <v>0.49174642183725364</v>
      </c>
    </row>
    <row r="284" spans="1:8" x14ac:dyDescent="0.35">
      <c r="A284" s="13">
        <v>42774</v>
      </c>
      <c r="B284" s="14">
        <v>4766.6000000000004</v>
      </c>
      <c r="C284" s="2">
        <f t="shared" si="18"/>
        <v>2.5512833186454031E-3</v>
      </c>
      <c r="D284">
        <f t="shared" si="19"/>
        <v>1</v>
      </c>
      <c r="E284">
        <v>0.24540288162315274</v>
      </c>
      <c r="F284">
        <f t="shared" si="20"/>
        <v>0</v>
      </c>
      <c r="G284" t="b">
        <f t="shared" si="21"/>
        <v>0</v>
      </c>
      <c r="H284">
        <v>0.49174704226708871</v>
      </c>
    </row>
    <row r="285" spans="1:8" x14ac:dyDescent="0.35">
      <c r="A285" s="13">
        <v>42775</v>
      </c>
      <c r="B285" s="14">
        <v>4826.24</v>
      </c>
      <c r="C285" s="2">
        <f t="shared" si="18"/>
        <v>1.2512063105777571E-2</v>
      </c>
      <c r="D285">
        <f t="shared" si="19"/>
        <v>1</v>
      </c>
      <c r="E285">
        <v>0.349826779154011</v>
      </c>
      <c r="F285">
        <f t="shared" si="20"/>
        <v>0</v>
      </c>
      <c r="G285" t="b">
        <f t="shared" si="21"/>
        <v>0</v>
      </c>
      <c r="H285">
        <v>0.49174822268429885</v>
      </c>
    </row>
    <row r="286" spans="1:8" x14ac:dyDescent="0.35">
      <c r="A286" s="13">
        <v>42776</v>
      </c>
      <c r="B286" s="14">
        <v>4828.32</v>
      </c>
      <c r="C286" s="2">
        <f t="shared" si="18"/>
        <v>4.30977323962356E-4</v>
      </c>
      <c r="D286">
        <f t="shared" si="19"/>
        <v>1</v>
      </c>
      <c r="E286">
        <v>0.47857052473293465</v>
      </c>
      <c r="F286">
        <f t="shared" si="20"/>
        <v>0</v>
      </c>
      <c r="G286" t="b">
        <f t="shared" si="21"/>
        <v>0</v>
      </c>
      <c r="H286">
        <v>0.49174920484797946</v>
      </c>
    </row>
    <row r="287" spans="1:8" x14ac:dyDescent="0.35">
      <c r="A287" s="13">
        <v>42779</v>
      </c>
      <c r="B287" s="14">
        <v>4888.1899999999996</v>
      </c>
      <c r="C287" s="2">
        <f t="shared" si="18"/>
        <v>1.2399758093912583E-2</v>
      </c>
      <c r="D287">
        <f t="shared" si="19"/>
        <v>1</v>
      </c>
      <c r="E287">
        <v>0.58632035126219584</v>
      </c>
      <c r="F287">
        <f t="shared" si="20"/>
        <v>1</v>
      </c>
      <c r="G287" t="b">
        <f t="shared" si="21"/>
        <v>1</v>
      </c>
      <c r="H287">
        <v>0.49174960082885061</v>
      </c>
    </row>
    <row r="288" spans="1:8" x14ac:dyDescent="0.35">
      <c r="A288" s="13">
        <v>42780</v>
      </c>
      <c r="B288" s="14">
        <v>4895.82</v>
      </c>
      <c r="C288" s="2">
        <f t="shared" si="18"/>
        <v>1.5609049566405186E-3</v>
      </c>
      <c r="D288">
        <f t="shared" si="19"/>
        <v>1</v>
      </c>
      <c r="E288">
        <v>0.68863833473177261</v>
      </c>
      <c r="F288">
        <f t="shared" si="20"/>
        <v>1</v>
      </c>
      <c r="G288" t="b">
        <f t="shared" si="21"/>
        <v>1</v>
      </c>
      <c r="H288">
        <v>0.49174992803483325</v>
      </c>
    </row>
    <row r="289" spans="1:8" x14ac:dyDescent="0.35">
      <c r="A289" s="13">
        <v>42781</v>
      </c>
      <c r="B289" s="14">
        <v>4924.8599999999997</v>
      </c>
      <c r="C289" s="2">
        <f t="shared" si="18"/>
        <v>5.9315906222041637E-3</v>
      </c>
      <c r="D289">
        <f t="shared" si="19"/>
        <v>1</v>
      </c>
      <c r="E289">
        <v>0.748685520217793</v>
      </c>
      <c r="F289">
        <f t="shared" si="20"/>
        <v>1</v>
      </c>
      <c r="G289" t="b">
        <f t="shared" si="21"/>
        <v>1</v>
      </c>
      <c r="H289">
        <v>0.49175002221818043</v>
      </c>
    </row>
    <row r="290" spans="1:8" x14ac:dyDescent="0.35">
      <c r="A290" s="13">
        <v>42782</v>
      </c>
      <c r="B290" s="14">
        <v>4899.46</v>
      </c>
      <c r="C290" s="2">
        <f t="shared" si="18"/>
        <v>-5.1575070154278313E-3</v>
      </c>
      <c r="D290">
        <f t="shared" si="19"/>
        <v>0</v>
      </c>
      <c r="E290">
        <v>0.80153095301760879</v>
      </c>
      <c r="F290">
        <f t="shared" si="20"/>
        <v>1</v>
      </c>
      <c r="G290" t="b">
        <f t="shared" si="21"/>
        <v>0</v>
      </c>
      <c r="H290">
        <v>0.49174924273573273</v>
      </c>
    </row>
    <row r="291" spans="1:8" x14ac:dyDescent="0.35">
      <c r="A291" s="13">
        <v>42783</v>
      </c>
      <c r="B291" s="14">
        <v>4867.58</v>
      </c>
      <c r="C291" s="2">
        <f t="shared" si="18"/>
        <v>-6.506839529254238E-3</v>
      </c>
      <c r="D291">
        <f t="shared" si="19"/>
        <v>0</v>
      </c>
      <c r="E291">
        <v>0.73728162495455041</v>
      </c>
      <c r="F291">
        <f t="shared" si="20"/>
        <v>1</v>
      </c>
      <c r="G291" t="b">
        <f t="shared" si="21"/>
        <v>0</v>
      </c>
      <c r="H291">
        <v>0.49174863437149996</v>
      </c>
    </row>
    <row r="292" spans="1:8" x14ac:dyDescent="0.35">
      <c r="A292" s="13">
        <v>42786</v>
      </c>
      <c r="B292" s="14">
        <v>4864.99</v>
      </c>
      <c r="C292" s="2">
        <f t="shared" si="18"/>
        <v>-5.3209192247483106E-4</v>
      </c>
      <c r="D292">
        <f t="shared" si="19"/>
        <v>0</v>
      </c>
      <c r="E292">
        <v>0.60933891646125926</v>
      </c>
      <c r="F292">
        <f t="shared" si="20"/>
        <v>1</v>
      </c>
      <c r="G292" t="b">
        <f t="shared" si="21"/>
        <v>0</v>
      </c>
      <c r="H292">
        <v>0.49174811293623422</v>
      </c>
    </row>
    <row r="293" spans="1:8" x14ac:dyDescent="0.35">
      <c r="A293" s="13">
        <v>42787</v>
      </c>
      <c r="B293" s="14">
        <v>4888.76</v>
      </c>
      <c r="C293" s="2">
        <f t="shared" si="18"/>
        <v>4.8859298785814964E-3</v>
      </c>
      <c r="D293">
        <f t="shared" si="19"/>
        <v>1</v>
      </c>
      <c r="E293">
        <v>0.42736914375172419</v>
      </c>
      <c r="F293">
        <f t="shared" si="20"/>
        <v>0</v>
      </c>
      <c r="G293" t="b">
        <f t="shared" si="21"/>
        <v>0</v>
      </c>
      <c r="H293">
        <v>0.49174918715960264</v>
      </c>
    </row>
    <row r="294" spans="1:8" x14ac:dyDescent="0.35">
      <c r="A294" s="13">
        <v>42788</v>
      </c>
      <c r="B294" s="14">
        <v>4895.88</v>
      </c>
      <c r="C294" s="2">
        <f t="shared" si="18"/>
        <v>1.4564020324172589E-3</v>
      </c>
      <c r="D294">
        <f t="shared" si="19"/>
        <v>1</v>
      </c>
      <c r="E294">
        <v>0.64468958496177142</v>
      </c>
      <c r="F294">
        <f t="shared" si="20"/>
        <v>1</v>
      </c>
      <c r="G294" t="b">
        <f t="shared" si="21"/>
        <v>1</v>
      </c>
      <c r="H294">
        <v>0.4917497721726643</v>
      </c>
    </row>
    <row r="295" spans="1:8" x14ac:dyDescent="0.35">
      <c r="A295" s="13">
        <v>42789</v>
      </c>
      <c r="B295" s="14">
        <v>4891.29</v>
      </c>
      <c r="C295" s="2">
        <f t="shared" si="18"/>
        <v>-9.3752297850435706E-4</v>
      </c>
      <c r="D295">
        <f t="shared" si="19"/>
        <v>0</v>
      </c>
      <c r="E295">
        <v>0.70902421895050649</v>
      </c>
      <c r="F295">
        <f t="shared" si="20"/>
        <v>1</v>
      </c>
      <c r="G295" t="b">
        <f t="shared" si="21"/>
        <v>0</v>
      </c>
      <c r="H295">
        <v>0.49174866172157394</v>
      </c>
    </row>
    <row r="296" spans="1:8" x14ac:dyDescent="0.35">
      <c r="A296" s="13">
        <v>42790</v>
      </c>
      <c r="B296" s="14">
        <v>4845.24</v>
      </c>
      <c r="C296" s="2">
        <f t="shared" si="18"/>
        <v>-9.4146942831032643E-3</v>
      </c>
      <c r="D296">
        <f t="shared" si="19"/>
        <v>0</v>
      </c>
      <c r="E296">
        <v>0.60223572215300436</v>
      </c>
      <c r="F296">
        <f t="shared" si="20"/>
        <v>1</v>
      </c>
      <c r="G296" t="b">
        <f t="shared" si="21"/>
        <v>0</v>
      </c>
      <c r="H296">
        <v>0.49174748046179656</v>
      </c>
    </row>
    <row r="297" spans="1:8" x14ac:dyDescent="0.35">
      <c r="A297" s="13">
        <v>42793</v>
      </c>
      <c r="B297" s="14">
        <v>4845.18</v>
      </c>
      <c r="C297" s="2">
        <f t="shared" si="18"/>
        <v>-1.2383287515072006E-5</v>
      </c>
      <c r="D297">
        <f t="shared" si="19"/>
        <v>0</v>
      </c>
      <c r="E297">
        <v>0.43264886739589803</v>
      </c>
      <c r="F297">
        <f t="shared" si="20"/>
        <v>0</v>
      </c>
      <c r="G297" t="b">
        <f t="shared" si="21"/>
        <v>1</v>
      </c>
      <c r="H297">
        <v>0.49174658920405173</v>
      </c>
    </row>
    <row r="298" spans="1:8" x14ac:dyDescent="0.35">
      <c r="A298" s="13">
        <v>42794</v>
      </c>
      <c r="B298" s="14">
        <v>4858.58</v>
      </c>
      <c r="C298" s="2">
        <f t="shared" si="18"/>
        <v>2.7656351260427758E-3</v>
      </c>
      <c r="D298">
        <f t="shared" si="19"/>
        <v>1</v>
      </c>
      <c r="E298">
        <v>0.34327578506517947</v>
      </c>
      <c r="F298">
        <f t="shared" si="20"/>
        <v>0</v>
      </c>
      <c r="G298" t="b">
        <f t="shared" si="21"/>
        <v>0</v>
      </c>
      <c r="H298">
        <v>0.49174663370548161</v>
      </c>
    </row>
    <row r="299" spans="1:8" x14ac:dyDescent="0.35">
      <c r="A299" s="13">
        <v>42795</v>
      </c>
      <c r="B299" s="14">
        <v>4960.83</v>
      </c>
      <c r="C299" s="2">
        <f t="shared" si="18"/>
        <v>2.1045243672019431E-2</v>
      </c>
      <c r="D299">
        <f t="shared" si="19"/>
        <v>1</v>
      </c>
      <c r="E299">
        <v>0.51791542950509628</v>
      </c>
      <c r="F299">
        <f t="shared" si="20"/>
        <v>1</v>
      </c>
      <c r="G299" t="b">
        <f t="shared" si="21"/>
        <v>1</v>
      </c>
      <c r="H299">
        <v>0.49174679910399277</v>
      </c>
    </row>
    <row r="300" spans="1:8" x14ac:dyDescent="0.35">
      <c r="A300" s="13">
        <v>42796</v>
      </c>
      <c r="B300" s="14">
        <v>4963.8</v>
      </c>
      <c r="C300" s="2">
        <f t="shared" si="18"/>
        <v>5.9869013854552122E-4</v>
      </c>
      <c r="D300">
        <f t="shared" si="19"/>
        <v>1</v>
      </c>
      <c r="E300">
        <v>0.64638671383599711</v>
      </c>
      <c r="F300">
        <f t="shared" si="20"/>
        <v>1</v>
      </c>
      <c r="G300" t="b">
        <f t="shared" si="21"/>
        <v>1</v>
      </c>
      <c r="H300">
        <v>0.49174702384117841</v>
      </c>
    </row>
    <row r="301" spans="1:8" x14ac:dyDescent="0.35">
      <c r="A301" s="13">
        <v>42797</v>
      </c>
      <c r="B301" s="14">
        <v>4995.13</v>
      </c>
      <c r="C301" s="2">
        <f t="shared" si="18"/>
        <v>6.3116966839920075E-3</v>
      </c>
      <c r="D301">
        <f t="shared" si="19"/>
        <v>1</v>
      </c>
      <c r="E301">
        <v>0.71516374645901604</v>
      </c>
      <c r="F301">
        <f t="shared" si="20"/>
        <v>1</v>
      </c>
      <c r="G301" t="b">
        <f t="shared" si="21"/>
        <v>1</v>
      </c>
      <c r="H301">
        <v>0.49174708177137688</v>
      </c>
    </row>
    <row r="302" spans="1:8" x14ac:dyDescent="0.35">
      <c r="A302" s="13">
        <v>42800</v>
      </c>
      <c r="B302" s="14">
        <v>4972.1899999999996</v>
      </c>
      <c r="C302" s="2">
        <f t="shared" si="18"/>
        <v>-4.5924730687690873E-3</v>
      </c>
      <c r="D302">
        <f t="shared" si="19"/>
        <v>0</v>
      </c>
      <c r="E302">
        <v>0.76316703545209186</v>
      </c>
      <c r="F302">
        <f t="shared" si="20"/>
        <v>1</v>
      </c>
      <c r="G302" t="b">
        <f t="shared" si="21"/>
        <v>0</v>
      </c>
      <c r="H302">
        <v>0.49174636004344396</v>
      </c>
    </row>
    <row r="303" spans="1:8" x14ac:dyDescent="0.35">
      <c r="A303" s="13">
        <v>42801</v>
      </c>
      <c r="B303" s="14">
        <v>4955</v>
      </c>
      <c r="C303" s="2">
        <f t="shared" si="18"/>
        <v>-3.4572291083002638E-3</v>
      </c>
      <c r="D303">
        <f t="shared" si="19"/>
        <v>0</v>
      </c>
      <c r="E303">
        <v>0.6051830880344421</v>
      </c>
      <c r="F303">
        <f t="shared" si="20"/>
        <v>1</v>
      </c>
      <c r="G303" t="b">
        <f t="shared" si="21"/>
        <v>0</v>
      </c>
      <c r="H303">
        <v>0.4917461985151797</v>
      </c>
    </row>
    <row r="304" spans="1:8" x14ac:dyDescent="0.35">
      <c r="A304" s="13">
        <v>42802</v>
      </c>
      <c r="B304" s="14">
        <v>4960.4799999999996</v>
      </c>
      <c r="C304" s="2">
        <f t="shared" si="18"/>
        <v>1.1059535822399713E-3</v>
      </c>
      <c r="D304">
        <f t="shared" si="19"/>
        <v>1</v>
      </c>
      <c r="E304">
        <v>0.41373583458402635</v>
      </c>
      <c r="F304">
        <f t="shared" si="20"/>
        <v>0</v>
      </c>
      <c r="G304" t="b">
        <f t="shared" si="21"/>
        <v>0</v>
      </c>
      <c r="H304">
        <v>0.49174636718346337</v>
      </c>
    </row>
    <row r="305" spans="1:8" x14ac:dyDescent="0.35">
      <c r="A305" s="13">
        <v>42803</v>
      </c>
      <c r="B305" s="14">
        <v>4981.51</v>
      </c>
      <c r="C305" s="2">
        <f t="shared" si="18"/>
        <v>4.2395090797666679E-3</v>
      </c>
      <c r="D305">
        <f t="shared" si="19"/>
        <v>1</v>
      </c>
      <c r="E305">
        <v>0.56716537850840931</v>
      </c>
      <c r="F305">
        <f t="shared" si="20"/>
        <v>1</v>
      </c>
      <c r="G305" t="b">
        <f t="shared" si="21"/>
        <v>1</v>
      </c>
      <c r="H305">
        <v>0.49174656984269088</v>
      </c>
    </row>
    <row r="306" spans="1:8" x14ac:dyDescent="0.35">
      <c r="A306" s="13">
        <v>42804</v>
      </c>
      <c r="B306" s="14">
        <v>4993.32</v>
      </c>
      <c r="C306" s="2">
        <f t="shared" si="18"/>
        <v>2.3707670967236805E-3</v>
      </c>
      <c r="D306">
        <f t="shared" si="19"/>
        <v>1</v>
      </c>
      <c r="E306">
        <v>0.67406541872881021</v>
      </c>
      <c r="F306">
        <f t="shared" si="20"/>
        <v>1</v>
      </c>
      <c r="G306" t="b">
        <f t="shared" si="21"/>
        <v>1</v>
      </c>
      <c r="H306">
        <v>0.49174679873048299</v>
      </c>
    </row>
    <row r="307" spans="1:8" x14ac:dyDescent="0.35">
      <c r="A307" s="13">
        <v>42807</v>
      </c>
      <c r="B307" s="14">
        <v>4999.6000000000004</v>
      </c>
      <c r="C307" s="2">
        <f t="shared" si="18"/>
        <v>1.2576802608286197E-3</v>
      </c>
      <c r="D307">
        <f t="shared" si="19"/>
        <v>1</v>
      </c>
      <c r="E307">
        <v>0.74541700478164141</v>
      </c>
      <c r="F307">
        <f t="shared" si="20"/>
        <v>1</v>
      </c>
      <c r="G307" t="b">
        <f t="shared" si="21"/>
        <v>1</v>
      </c>
      <c r="H307">
        <v>0.49174683205585135</v>
      </c>
    </row>
    <row r="308" spans="1:8" x14ac:dyDescent="0.35">
      <c r="A308" s="13">
        <v>42808</v>
      </c>
      <c r="B308" s="14">
        <v>4974.26</v>
      </c>
      <c r="C308" s="2">
        <f t="shared" si="18"/>
        <v>-5.0684054724378091E-3</v>
      </c>
      <c r="D308">
        <f t="shared" si="19"/>
        <v>0</v>
      </c>
      <c r="E308">
        <v>0.78034337698452061</v>
      </c>
      <c r="F308">
        <f t="shared" si="20"/>
        <v>1</v>
      </c>
      <c r="G308" t="b">
        <f t="shared" si="21"/>
        <v>0</v>
      </c>
      <c r="H308">
        <v>0.49174561812060397</v>
      </c>
    </row>
    <row r="309" spans="1:8" x14ac:dyDescent="0.35">
      <c r="A309" s="13">
        <v>42809</v>
      </c>
      <c r="B309" s="14">
        <v>4985.4799999999996</v>
      </c>
      <c r="C309" s="2">
        <f t="shared" si="18"/>
        <v>2.2556118900096678E-3</v>
      </c>
      <c r="D309">
        <f t="shared" si="19"/>
        <v>1</v>
      </c>
      <c r="E309">
        <v>0.67097414825550128</v>
      </c>
      <c r="F309">
        <f t="shared" si="20"/>
        <v>1</v>
      </c>
      <c r="G309" t="b">
        <f t="shared" si="21"/>
        <v>1</v>
      </c>
      <c r="H309">
        <v>0.49174603958928398</v>
      </c>
    </row>
    <row r="310" spans="1:8" x14ac:dyDescent="0.35">
      <c r="A310" s="13">
        <v>42810</v>
      </c>
      <c r="B310" s="14">
        <v>5013.38</v>
      </c>
      <c r="C310" s="2">
        <f t="shared" si="18"/>
        <v>5.5962515143979097E-3</v>
      </c>
      <c r="D310">
        <f t="shared" si="19"/>
        <v>1</v>
      </c>
      <c r="E310">
        <v>0.75487919240565626</v>
      </c>
      <c r="F310">
        <f t="shared" si="20"/>
        <v>1</v>
      </c>
      <c r="G310" t="b">
        <f t="shared" si="21"/>
        <v>1</v>
      </c>
      <c r="H310">
        <v>0.49174636028147389</v>
      </c>
    </row>
    <row r="311" spans="1:8" x14ac:dyDescent="0.35">
      <c r="A311" s="13">
        <v>42811</v>
      </c>
      <c r="B311" s="14">
        <v>5029.24</v>
      </c>
      <c r="C311" s="2">
        <f t="shared" si="18"/>
        <v>3.1635343819937933E-3</v>
      </c>
      <c r="D311">
        <f t="shared" si="19"/>
        <v>1</v>
      </c>
      <c r="E311">
        <v>0.78948335460691854</v>
      </c>
      <c r="F311">
        <f t="shared" si="20"/>
        <v>1</v>
      </c>
      <c r="G311" t="b">
        <f t="shared" si="21"/>
        <v>1</v>
      </c>
      <c r="H311">
        <v>0.49174641604148922</v>
      </c>
    </row>
    <row r="312" spans="1:8" x14ac:dyDescent="0.35">
      <c r="A312" s="13">
        <v>42814</v>
      </c>
      <c r="B312" s="14">
        <v>5012.16</v>
      </c>
      <c r="C312" s="2">
        <f t="shared" si="18"/>
        <v>-3.3961393769237347E-3</v>
      </c>
      <c r="D312">
        <f t="shared" si="19"/>
        <v>0</v>
      </c>
      <c r="E312">
        <v>0.81857060942771676</v>
      </c>
      <c r="F312">
        <f t="shared" si="20"/>
        <v>1</v>
      </c>
      <c r="G312" t="b">
        <f t="shared" si="21"/>
        <v>0</v>
      </c>
      <c r="H312">
        <v>0.49174627193478232</v>
      </c>
    </row>
    <row r="313" spans="1:8" x14ac:dyDescent="0.35">
      <c r="A313" s="13">
        <v>42815</v>
      </c>
      <c r="B313" s="14">
        <v>5002.43</v>
      </c>
      <c r="C313" s="2">
        <f t="shared" si="18"/>
        <v>-1.9412788099341105E-3</v>
      </c>
      <c r="D313">
        <f t="shared" si="19"/>
        <v>0</v>
      </c>
      <c r="E313">
        <v>0.72069714376585459</v>
      </c>
      <c r="F313">
        <f t="shared" si="20"/>
        <v>1</v>
      </c>
      <c r="G313" t="b">
        <f t="shared" si="21"/>
        <v>0</v>
      </c>
      <c r="H313">
        <v>0.4917454702319482</v>
      </c>
    </row>
    <row r="314" spans="1:8" x14ac:dyDescent="0.35">
      <c r="A314" s="13">
        <v>42816</v>
      </c>
      <c r="B314" s="14">
        <v>4994.7</v>
      </c>
      <c r="C314" s="2">
        <f t="shared" si="18"/>
        <v>-1.5452490089816751E-3</v>
      </c>
      <c r="D314">
        <f t="shared" si="19"/>
        <v>0</v>
      </c>
      <c r="E314">
        <v>0.54851535091784664</v>
      </c>
      <c r="F314">
        <f t="shared" si="20"/>
        <v>1</v>
      </c>
      <c r="G314" t="b">
        <f t="shared" si="21"/>
        <v>0</v>
      </c>
      <c r="H314">
        <v>0.49174546974410249</v>
      </c>
    </row>
    <row r="315" spans="1:8" x14ac:dyDescent="0.35">
      <c r="A315" s="13">
        <v>42817</v>
      </c>
      <c r="B315" s="14">
        <v>5032.76</v>
      </c>
      <c r="C315" s="2">
        <f t="shared" si="18"/>
        <v>7.6200772819188245E-3</v>
      </c>
      <c r="D315">
        <f t="shared" si="19"/>
        <v>1</v>
      </c>
      <c r="E315">
        <v>0.40189576377212688</v>
      </c>
      <c r="F315">
        <f t="shared" si="20"/>
        <v>0</v>
      </c>
      <c r="G315" t="b">
        <f t="shared" si="21"/>
        <v>0</v>
      </c>
      <c r="H315">
        <v>0.49174622981331534</v>
      </c>
    </row>
    <row r="316" spans="1:8" x14ac:dyDescent="0.35">
      <c r="A316" s="13">
        <v>42818</v>
      </c>
      <c r="B316" s="14">
        <v>5020.8999999999996</v>
      </c>
      <c r="C316" s="2">
        <f t="shared" si="18"/>
        <v>-2.356559820059112E-3</v>
      </c>
      <c r="D316">
        <f t="shared" si="19"/>
        <v>0</v>
      </c>
      <c r="E316">
        <v>0.51201696817651898</v>
      </c>
      <c r="F316">
        <f t="shared" si="20"/>
        <v>1</v>
      </c>
      <c r="G316" t="b">
        <f t="shared" si="21"/>
        <v>0</v>
      </c>
      <c r="H316">
        <v>0.49174544011631061</v>
      </c>
    </row>
    <row r="317" spans="1:8" x14ac:dyDescent="0.35">
      <c r="A317" s="13">
        <v>42821</v>
      </c>
      <c r="B317" s="14">
        <v>5017.43</v>
      </c>
      <c r="C317" s="2">
        <f t="shared" si="18"/>
        <v>-6.9111115537046075E-4</v>
      </c>
      <c r="D317">
        <f t="shared" si="19"/>
        <v>0</v>
      </c>
      <c r="E317">
        <v>0.40050244025142312</v>
      </c>
      <c r="F317">
        <f t="shared" si="20"/>
        <v>0</v>
      </c>
      <c r="G317" t="b">
        <f t="shared" si="21"/>
        <v>1</v>
      </c>
      <c r="H317">
        <v>0.49174484467606761</v>
      </c>
    </row>
    <row r="318" spans="1:8" x14ac:dyDescent="0.35">
      <c r="A318" s="13">
        <v>42822</v>
      </c>
      <c r="B318" s="14">
        <v>5046.2</v>
      </c>
      <c r="C318" s="2">
        <f t="shared" si="18"/>
        <v>5.7340112368282625E-3</v>
      </c>
      <c r="D318">
        <f t="shared" si="19"/>
        <v>1</v>
      </c>
      <c r="E318">
        <v>0.33520848229778144</v>
      </c>
      <c r="F318">
        <f t="shared" si="20"/>
        <v>0</v>
      </c>
      <c r="G318" t="b">
        <f t="shared" si="21"/>
        <v>0</v>
      </c>
      <c r="H318">
        <v>0.49174588196509977</v>
      </c>
    </row>
    <row r="319" spans="1:8" x14ac:dyDescent="0.35">
      <c r="A319" s="13">
        <v>42823</v>
      </c>
      <c r="B319" s="14">
        <v>5069.04</v>
      </c>
      <c r="C319" s="2">
        <f t="shared" si="18"/>
        <v>4.5261781142245106E-3</v>
      </c>
      <c r="D319">
        <f t="shared" si="19"/>
        <v>1</v>
      </c>
      <c r="E319">
        <v>0.50723480262677234</v>
      </c>
      <c r="F319">
        <f t="shared" si="20"/>
        <v>1</v>
      </c>
      <c r="G319" t="b">
        <f t="shared" si="21"/>
        <v>1</v>
      </c>
      <c r="H319">
        <v>0.49174588835688388</v>
      </c>
    </row>
    <row r="320" spans="1:8" x14ac:dyDescent="0.35">
      <c r="A320" s="13">
        <v>42824</v>
      </c>
      <c r="B320" s="14">
        <v>5089.6400000000003</v>
      </c>
      <c r="C320" s="2">
        <f t="shared" si="18"/>
        <v>4.063885863990091E-3</v>
      </c>
      <c r="D320">
        <f t="shared" si="19"/>
        <v>1</v>
      </c>
      <c r="E320">
        <v>0.60043843835066779</v>
      </c>
      <c r="F320">
        <f t="shared" si="20"/>
        <v>1</v>
      </c>
      <c r="G320" t="b">
        <f t="shared" si="21"/>
        <v>1</v>
      </c>
      <c r="H320">
        <v>0.49174606248092373</v>
      </c>
    </row>
    <row r="321" spans="1:8" x14ac:dyDescent="0.35">
      <c r="A321" s="13">
        <v>42825</v>
      </c>
      <c r="B321" s="14">
        <v>5122.51</v>
      </c>
      <c r="C321" s="2">
        <f t="shared" si="18"/>
        <v>6.4582170841158693E-3</v>
      </c>
      <c r="D321">
        <f t="shared" si="19"/>
        <v>1</v>
      </c>
      <c r="E321">
        <v>0.69909852448807464</v>
      </c>
      <c r="F321">
        <f t="shared" si="20"/>
        <v>1</v>
      </c>
      <c r="G321" t="b">
        <f t="shared" si="21"/>
        <v>1</v>
      </c>
      <c r="H321">
        <v>0.49174663542382974</v>
      </c>
    </row>
    <row r="322" spans="1:8" x14ac:dyDescent="0.35">
      <c r="A322" s="13">
        <v>42828</v>
      </c>
      <c r="B322" s="14">
        <v>5085.91</v>
      </c>
      <c r="C322" s="2">
        <f t="shared" si="18"/>
        <v>-7.1449348073503449E-3</v>
      </c>
      <c r="D322">
        <f t="shared" si="19"/>
        <v>0</v>
      </c>
      <c r="E322">
        <v>0.74183406788193584</v>
      </c>
      <c r="F322">
        <f t="shared" si="20"/>
        <v>1</v>
      </c>
      <c r="G322" t="b">
        <f t="shared" si="21"/>
        <v>0</v>
      </c>
      <c r="H322">
        <v>0.49174620931593482</v>
      </c>
    </row>
    <row r="323" spans="1:8" x14ac:dyDescent="0.35">
      <c r="A323" s="13">
        <v>42829</v>
      </c>
      <c r="B323" s="14">
        <v>5101.13</v>
      </c>
      <c r="C323" s="2">
        <f t="shared" si="18"/>
        <v>2.9925814652638216E-3</v>
      </c>
      <c r="D323">
        <f t="shared" si="19"/>
        <v>1</v>
      </c>
      <c r="E323">
        <v>0.59235696754197231</v>
      </c>
      <c r="F323">
        <f t="shared" si="20"/>
        <v>1</v>
      </c>
      <c r="G323" t="b">
        <f t="shared" si="21"/>
        <v>1</v>
      </c>
      <c r="H323">
        <v>0.49174641700003013</v>
      </c>
    </row>
    <row r="324" spans="1:8" x14ac:dyDescent="0.35">
      <c r="A324" s="13">
        <v>42830</v>
      </c>
      <c r="B324" s="14">
        <v>5091.8500000000004</v>
      </c>
      <c r="C324" s="2">
        <f t="shared" ref="C324:C387" si="22">(B324/B323)-1</f>
        <v>-1.8192047644345344E-3</v>
      </c>
      <c r="D324">
        <f t="shared" si="19"/>
        <v>0</v>
      </c>
      <c r="E324">
        <v>0.65563340887258514</v>
      </c>
      <c r="F324">
        <f t="shared" si="20"/>
        <v>1</v>
      </c>
      <c r="G324" t="b">
        <f t="shared" si="21"/>
        <v>0</v>
      </c>
      <c r="H324">
        <v>0.49174631264113233</v>
      </c>
    </row>
    <row r="325" spans="1:8" x14ac:dyDescent="0.35">
      <c r="A325" s="13">
        <v>42831</v>
      </c>
      <c r="B325" s="14">
        <v>5121.4399999999996</v>
      </c>
      <c r="C325" s="2">
        <f t="shared" si="22"/>
        <v>5.8112473855276292E-3</v>
      </c>
      <c r="D325">
        <f t="shared" si="19"/>
        <v>1</v>
      </c>
      <c r="E325">
        <v>0.44768647669413769</v>
      </c>
      <c r="F325">
        <f t="shared" si="20"/>
        <v>0</v>
      </c>
      <c r="G325" t="b">
        <f t="shared" si="21"/>
        <v>0</v>
      </c>
      <c r="H325">
        <v>0.49174682858298041</v>
      </c>
    </row>
    <row r="326" spans="1:8" x14ac:dyDescent="0.35">
      <c r="A326" s="13">
        <v>42832</v>
      </c>
      <c r="B326" s="14">
        <v>5135.28</v>
      </c>
      <c r="C326" s="2">
        <f t="shared" si="22"/>
        <v>2.7023649598549859E-3</v>
      </c>
      <c r="D326">
        <f t="shared" ref="D326:D389" si="23">IF(C326&gt;=0,1,0)</f>
        <v>1</v>
      </c>
      <c r="E326">
        <v>0.54399640229874557</v>
      </c>
      <c r="F326">
        <f t="shared" si="20"/>
        <v>1</v>
      </c>
      <c r="G326" t="b">
        <f t="shared" si="21"/>
        <v>1</v>
      </c>
      <c r="H326">
        <v>0.49174734683430732</v>
      </c>
    </row>
    <row r="327" spans="1:8" x14ac:dyDescent="0.35">
      <c r="A327" s="13">
        <v>42835</v>
      </c>
      <c r="B327" s="14">
        <v>5107.45</v>
      </c>
      <c r="C327" s="2">
        <f t="shared" si="22"/>
        <v>-5.4193734324126108E-3</v>
      </c>
      <c r="D327">
        <f t="shared" si="23"/>
        <v>0</v>
      </c>
      <c r="E327">
        <v>0.64237478958143446</v>
      </c>
      <c r="F327">
        <f t="shared" si="20"/>
        <v>1</v>
      </c>
      <c r="G327" t="b">
        <f t="shared" si="21"/>
        <v>0</v>
      </c>
      <c r="H327">
        <v>0.49174654723309053</v>
      </c>
    </row>
    <row r="328" spans="1:8" x14ac:dyDescent="0.35">
      <c r="A328" s="13">
        <v>42836</v>
      </c>
      <c r="B328" s="14">
        <v>5101.8599999999997</v>
      </c>
      <c r="C328" s="2">
        <f t="shared" si="22"/>
        <v>-1.0944796326934902E-3</v>
      </c>
      <c r="D328">
        <f t="shared" si="23"/>
        <v>0</v>
      </c>
      <c r="E328">
        <v>0.5405853315184036</v>
      </c>
      <c r="F328">
        <f t="shared" si="20"/>
        <v>1</v>
      </c>
      <c r="G328" t="b">
        <f t="shared" si="21"/>
        <v>0</v>
      </c>
      <c r="H328">
        <v>0.49174626914080094</v>
      </c>
    </row>
    <row r="329" spans="1:8" x14ac:dyDescent="0.35">
      <c r="A329" s="13">
        <v>42837</v>
      </c>
      <c r="B329" s="14">
        <v>5101.1099999999997</v>
      </c>
      <c r="C329" s="2">
        <f t="shared" si="22"/>
        <v>-1.4700520986465904E-4</v>
      </c>
      <c r="D329">
        <f t="shared" si="23"/>
        <v>0</v>
      </c>
      <c r="E329">
        <v>0.38708371491716498</v>
      </c>
      <c r="F329">
        <f t="shared" ref="F329:F392" si="24">IF(E329&gt;=0.5,1,0)</f>
        <v>0</v>
      </c>
      <c r="G329" t="b">
        <f t="shared" ref="G329:G392" si="25">IF(D329=F329,TRUE,FALSE)</f>
        <v>1</v>
      </c>
      <c r="H329">
        <v>0.49174595195746729</v>
      </c>
    </row>
    <row r="330" spans="1:8" x14ac:dyDescent="0.35">
      <c r="A330" s="13">
        <v>42838</v>
      </c>
      <c r="B330" s="14">
        <v>5071.1000000000004</v>
      </c>
      <c r="C330" s="2">
        <f t="shared" si="22"/>
        <v>-5.8830333005952529E-3</v>
      </c>
      <c r="D330">
        <f t="shared" si="23"/>
        <v>0</v>
      </c>
      <c r="E330">
        <v>0.31682218106497589</v>
      </c>
      <c r="F330">
        <f t="shared" si="24"/>
        <v>0</v>
      </c>
      <c r="G330" t="b">
        <f t="shared" si="25"/>
        <v>1</v>
      </c>
      <c r="H330">
        <v>0.49174581383306948</v>
      </c>
    </row>
    <row r="331" spans="1:8" x14ac:dyDescent="0.35">
      <c r="A331" s="13">
        <v>42843</v>
      </c>
      <c r="B331" s="14">
        <v>4990.25</v>
      </c>
      <c r="C331" s="2">
        <f t="shared" si="22"/>
        <v>-1.594328646644716E-2</v>
      </c>
      <c r="D331">
        <f t="shared" si="23"/>
        <v>0</v>
      </c>
      <c r="E331">
        <v>0.25567788303029348</v>
      </c>
      <c r="F331">
        <f t="shared" si="24"/>
        <v>0</v>
      </c>
      <c r="G331" t="b">
        <f t="shared" si="25"/>
        <v>1</v>
      </c>
      <c r="H331">
        <v>0.49174570760682845</v>
      </c>
    </row>
    <row r="332" spans="1:8" x14ac:dyDescent="0.35">
      <c r="A332" s="13">
        <v>42844</v>
      </c>
      <c r="B332" s="14">
        <v>5003.7299999999996</v>
      </c>
      <c r="C332" s="2">
        <f t="shared" si="22"/>
        <v>2.7012674715694018E-3</v>
      </c>
      <c r="D332">
        <f t="shared" si="23"/>
        <v>1</v>
      </c>
      <c r="E332">
        <v>0.22686369965900727</v>
      </c>
      <c r="F332">
        <f t="shared" si="24"/>
        <v>0</v>
      </c>
      <c r="G332" t="b">
        <f t="shared" si="25"/>
        <v>0</v>
      </c>
      <c r="H332">
        <v>0.49174571647538223</v>
      </c>
    </row>
    <row r="333" spans="1:8" x14ac:dyDescent="0.35">
      <c r="A333" s="13">
        <v>42845</v>
      </c>
      <c r="B333" s="14">
        <v>5077.91</v>
      </c>
      <c r="C333" s="2">
        <f t="shared" si="22"/>
        <v>1.4824940594316605E-2</v>
      </c>
      <c r="D333">
        <f t="shared" si="23"/>
        <v>1</v>
      </c>
      <c r="E333">
        <v>0.36105310977912158</v>
      </c>
      <c r="F333">
        <f t="shared" si="24"/>
        <v>0</v>
      </c>
      <c r="G333" t="b">
        <f t="shared" si="25"/>
        <v>0</v>
      </c>
      <c r="H333">
        <v>0.49174633538004631</v>
      </c>
    </row>
    <row r="334" spans="1:8" x14ac:dyDescent="0.35">
      <c r="A334" s="13">
        <v>42846</v>
      </c>
      <c r="B334" s="14">
        <v>5059.2</v>
      </c>
      <c r="C334" s="2">
        <f t="shared" si="22"/>
        <v>-3.6845867689659917E-3</v>
      </c>
      <c r="D334">
        <f t="shared" si="23"/>
        <v>0</v>
      </c>
      <c r="E334">
        <v>0.54655966581274695</v>
      </c>
      <c r="F334">
        <f t="shared" si="24"/>
        <v>1</v>
      </c>
      <c r="G334" t="b">
        <f t="shared" si="25"/>
        <v>0</v>
      </c>
      <c r="H334">
        <v>0.49174536933299962</v>
      </c>
    </row>
    <row r="335" spans="1:8" x14ac:dyDescent="0.35">
      <c r="A335" s="13">
        <v>42849</v>
      </c>
      <c r="B335" s="14">
        <v>5268.85</v>
      </c>
      <c r="C335" s="2">
        <f t="shared" si="22"/>
        <v>4.1439358001265081E-2</v>
      </c>
      <c r="D335">
        <f t="shared" si="23"/>
        <v>1</v>
      </c>
      <c r="E335">
        <v>0.41650329887146242</v>
      </c>
      <c r="F335">
        <f t="shared" si="24"/>
        <v>0</v>
      </c>
      <c r="G335" t="b">
        <f t="shared" si="25"/>
        <v>0</v>
      </c>
      <c r="H335">
        <v>0.49174589339398994</v>
      </c>
    </row>
    <row r="336" spans="1:8" x14ac:dyDescent="0.35">
      <c r="A336" s="13">
        <v>42850</v>
      </c>
      <c r="B336" s="14">
        <v>5277.88</v>
      </c>
      <c r="C336" s="2">
        <f t="shared" si="22"/>
        <v>1.7138464750372506E-3</v>
      </c>
      <c r="D336">
        <f t="shared" si="23"/>
        <v>1</v>
      </c>
      <c r="E336">
        <v>0.55517971327439553</v>
      </c>
      <c r="F336">
        <f t="shared" si="24"/>
        <v>1</v>
      </c>
      <c r="G336" t="b">
        <f t="shared" si="25"/>
        <v>1</v>
      </c>
      <c r="H336">
        <v>0.49174666304776554</v>
      </c>
    </row>
    <row r="337" spans="1:8" x14ac:dyDescent="0.35">
      <c r="A337" s="13">
        <v>42851</v>
      </c>
      <c r="B337" s="14">
        <v>5287.88</v>
      </c>
      <c r="C337" s="2">
        <f t="shared" si="22"/>
        <v>1.8947001447551237E-3</v>
      </c>
      <c r="D337">
        <f t="shared" si="23"/>
        <v>1</v>
      </c>
      <c r="E337">
        <v>0.65034475089153654</v>
      </c>
      <c r="F337">
        <f t="shared" si="24"/>
        <v>1</v>
      </c>
      <c r="G337" t="b">
        <f t="shared" si="25"/>
        <v>1</v>
      </c>
      <c r="H337">
        <v>0.49174705243110894</v>
      </c>
    </row>
    <row r="338" spans="1:8" x14ac:dyDescent="0.35">
      <c r="A338" s="13">
        <v>42852</v>
      </c>
      <c r="B338" s="14">
        <v>5271.7</v>
      </c>
      <c r="C338" s="2">
        <f t="shared" si="22"/>
        <v>-3.0598273788361441E-3</v>
      </c>
      <c r="D338">
        <f t="shared" si="23"/>
        <v>0</v>
      </c>
      <c r="E338">
        <v>0.73075553225408496</v>
      </c>
      <c r="F338">
        <f t="shared" si="24"/>
        <v>1</v>
      </c>
      <c r="G338" t="b">
        <f t="shared" si="25"/>
        <v>0</v>
      </c>
      <c r="H338">
        <v>0.49174662219630788</v>
      </c>
    </row>
    <row r="339" spans="1:8" x14ac:dyDescent="0.35">
      <c r="A339" s="13">
        <v>42853</v>
      </c>
      <c r="B339" s="14">
        <v>5267.33</v>
      </c>
      <c r="C339" s="2">
        <f t="shared" si="22"/>
        <v>-8.2895460667331555E-4</v>
      </c>
      <c r="D339">
        <f t="shared" si="23"/>
        <v>0</v>
      </c>
      <c r="E339">
        <v>0.65107994889103482</v>
      </c>
      <c r="F339">
        <f t="shared" si="24"/>
        <v>1</v>
      </c>
      <c r="G339" t="b">
        <f t="shared" si="25"/>
        <v>0</v>
      </c>
      <c r="H339">
        <v>0.49174641786531165</v>
      </c>
    </row>
    <row r="340" spans="1:8" x14ac:dyDescent="0.35">
      <c r="A340" s="13">
        <v>42857</v>
      </c>
      <c r="B340" s="14">
        <v>5304.15</v>
      </c>
      <c r="C340" s="2">
        <f t="shared" si="22"/>
        <v>6.9902588218317963E-3</v>
      </c>
      <c r="D340">
        <f t="shared" si="23"/>
        <v>1</v>
      </c>
      <c r="E340">
        <v>0.46025982217270534</v>
      </c>
      <c r="F340">
        <f t="shared" si="24"/>
        <v>0</v>
      </c>
      <c r="G340" t="b">
        <f t="shared" si="25"/>
        <v>0</v>
      </c>
      <c r="H340">
        <v>0.49174721603061694</v>
      </c>
    </row>
    <row r="341" spans="1:8" x14ac:dyDescent="0.35">
      <c r="A341" s="13">
        <v>42858</v>
      </c>
      <c r="B341" s="14">
        <v>5301</v>
      </c>
      <c r="C341" s="2">
        <f t="shared" si="22"/>
        <v>-5.938746076185053E-4</v>
      </c>
      <c r="D341">
        <f t="shared" si="23"/>
        <v>0</v>
      </c>
      <c r="E341">
        <v>0.59398312268012987</v>
      </c>
      <c r="F341">
        <f t="shared" si="24"/>
        <v>1</v>
      </c>
      <c r="G341" t="b">
        <f t="shared" si="25"/>
        <v>0</v>
      </c>
      <c r="H341">
        <v>0.49174589501539578</v>
      </c>
    </row>
    <row r="342" spans="1:8" x14ac:dyDescent="0.35">
      <c r="A342" s="13">
        <v>42859</v>
      </c>
      <c r="B342" s="14">
        <v>5372.42</v>
      </c>
      <c r="C342" s="2">
        <f t="shared" si="22"/>
        <v>1.347292963591773E-2</v>
      </c>
      <c r="D342">
        <f t="shared" si="23"/>
        <v>1</v>
      </c>
      <c r="E342">
        <v>0.45074316020740501</v>
      </c>
      <c r="F342">
        <f t="shared" si="24"/>
        <v>0</v>
      </c>
      <c r="G342" t="b">
        <f t="shared" si="25"/>
        <v>0</v>
      </c>
      <c r="H342">
        <v>0.4917471114899199</v>
      </c>
    </row>
    <row r="343" spans="1:8" x14ac:dyDescent="0.35">
      <c r="A343" s="13">
        <v>42860</v>
      </c>
      <c r="B343" s="14">
        <v>5432.4</v>
      </c>
      <c r="C343" s="2">
        <f t="shared" si="22"/>
        <v>1.1164428693214434E-2</v>
      </c>
      <c r="D343">
        <f t="shared" si="23"/>
        <v>1</v>
      </c>
      <c r="E343">
        <v>0.53162461824130924</v>
      </c>
      <c r="F343">
        <f t="shared" si="24"/>
        <v>1</v>
      </c>
      <c r="G343" t="b">
        <f t="shared" si="25"/>
        <v>1</v>
      </c>
      <c r="H343">
        <v>0.49174735918848933</v>
      </c>
    </row>
    <row r="344" spans="1:8" x14ac:dyDescent="0.35">
      <c r="A344" s="13">
        <v>42863</v>
      </c>
      <c r="B344" s="14">
        <v>5382.95</v>
      </c>
      <c r="C344" s="2">
        <f t="shared" si="22"/>
        <v>-9.1027906634267852E-3</v>
      </c>
      <c r="D344">
        <f t="shared" si="23"/>
        <v>0</v>
      </c>
      <c r="E344">
        <v>0.65829265400396009</v>
      </c>
      <c r="F344">
        <f t="shared" si="24"/>
        <v>1</v>
      </c>
      <c r="G344" t="b">
        <f t="shared" si="25"/>
        <v>0</v>
      </c>
      <c r="H344">
        <v>0.49174649363099548</v>
      </c>
    </row>
    <row r="345" spans="1:8" x14ac:dyDescent="0.35">
      <c r="A345" s="13">
        <v>42864</v>
      </c>
      <c r="B345" s="14">
        <v>5398.01</v>
      </c>
      <c r="C345" s="2">
        <f t="shared" si="22"/>
        <v>2.797722438439898E-3</v>
      </c>
      <c r="D345">
        <f t="shared" si="23"/>
        <v>1</v>
      </c>
      <c r="E345">
        <v>0.52867472082848055</v>
      </c>
      <c r="F345">
        <f t="shared" si="24"/>
        <v>1</v>
      </c>
      <c r="G345" t="b">
        <f t="shared" si="25"/>
        <v>1</v>
      </c>
      <c r="H345">
        <v>0.49174698672780232</v>
      </c>
    </row>
    <row r="346" spans="1:8" x14ac:dyDescent="0.35">
      <c r="A346" s="13">
        <v>42865</v>
      </c>
      <c r="B346" s="14">
        <v>5400.46</v>
      </c>
      <c r="C346" s="2">
        <f t="shared" si="22"/>
        <v>4.5387096355886669E-4</v>
      </c>
      <c r="D346">
        <f t="shared" si="23"/>
        <v>1</v>
      </c>
      <c r="E346">
        <v>0.64821337169633719</v>
      </c>
      <c r="F346">
        <f t="shared" si="24"/>
        <v>1</v>
      </c>
      <c r="G346" t="b">
        <f t="shared" si="25"/>
        <v>1</v>
      </c>
      <c r="H346">
        <v>0.49174750479835688</v>
      </c>
    </row>
    <row r="347" spans="1:8" x14ac:dyDescent="0.35">
      <c r="A347" s="13">
        <v>42866</v>
      </c>
      <c r="B347" s="14">
        <v>5383.42</v>
      </c>
      <c r="C347" s="2">
        <f t="shared" si="22"/>
        <v>-3.1552867718676048E-3</v>
      </c>
      <c r="D347">
        <f t="shared" si="23"/>
        <v>0</v>
      </c>
      <c r="E347">
        <v>0.71019655792003045</v>
      </c>
      <c r="F347">
        <f t="shared" si="24"/>
        <v>1</v>
      </c>
      <c r="G347" t="b">
        <f t="shared" si="25"/>
        <v>0</v>
      </c>
      <c r="H347">
        <v>0.49174699010605116</v>
      </c>
    </row>
    <row r="348" spans="1:8" x14ac:dyDescent="0.35">
      <c r="A348" s="13">
        <v>42867</v>
      </c>
      <c r="B348" s="14">
        <v>5405.42</v>
      </c>
      <c r="C348" s="2">
        <f t="shared" si="22"/>
        <v>4.0866215156907248E-3</v>
      </c>
      <c r="D348">
        <f t="shared" si="23"/>
        <v>1</v>
      </c>
      <c r="E348">
        <v>0.5904547365108338</v>
      </c>
      <c r="F348">
        <f t="shared" si="24"/>
        <v>1</v>
      </c>
      <c r="G348" t="b">
        <f t="shared" si="25"/>
        <v>1</v>
      </c>
      <c r="H348">
        <v>0.49174706083064396</v>
      </c>
    </row>
    <row r="349" spans="1:8" x14ac:dyDescent="0.35">
      <c r="A349" s="13">
        <v>42870</v>
      </c>
      <c r="B349" s="14">
        <v>5417.4</v>
      </c>
      <c r="C349" s="2">
        <f t="shared" si="22"/>
        <v>2.2162940160059819E-3</v>
      </c>
      <c r="D349">
        <f t="shared" si="23"/>
        <v>1</v>
      </c>
      <c r="E349">
        <v>0.65351376659359917</v>
      </c>
      <c r="F349">
        <f t="shared" si="24"/>
        <v>1</v>
      </c>
      <c r="G349" t="b">
        <f t="shared" si="25"/>
        <v>1</v>
      </c>
      <c r="H349">
        <v>0.49174756281753662</v>
      </c>
    </row>
    <row r="350" spans="1:8" x14ac:dyDescent="0.35">
      <c r="A350" s="13">
        <v>42871</v>
      </c>
      <c r="B350" s="14">
        <v>5406.1</v>
      </c>
      <c r="C350" s="2">
        <f t="shared" si="22"/>
        <v>-2.0858714512494991E-3</v>
      </c>
      <c r="D350">
        <f t="shared" si="23"/>
        <v>0</v>
      </c>
      <c r="E350">
        <v>0.74027857327451452</v>
      </c>
      <c r="F350">
        <f t="shared" si="24"/>
        <v>1</v>
      </c>
      <c r="G350" t="b">
        <f t="shared" si="25"/>
        <v>0</v>
      </c>
      <c r="H350">
        <v>0.49174627185422859</v>
      </c>
    </row>
    <row r="351" spans="1:8" x14ac:dyDescent="0.35">
      <c r="A351" s="13">
        <v>42872</v>
      </c>
      <c r="B351" s="14">
        <v>5317.89</v>
      </c>
      <c r="C351" s="2">
        <f t="shared" si="22"/>
        <v>-1.6316753297201281E-2</v>
      </c>
      <c r="D351">
        <f t="shared" si="23"/>
        <v>0</v>
      </c>
      <c r="E351">
        <v>0.63592922066119129</v>
      </c>
      <c r="F351">
        <f t="shared" si="24"/>
        <v>1</v>
      </c>
      <c r="G351" t="b">
        <f t="shared" si="25"/>
        <v>0</v>
      </c>
      <c r="H351">
        <v>0.49174579410923386</v>
      </c>
    </row>
    <row r="352" spans="1:8" x14ac:dyDescent="0.35">
      <c r="A352" s="13">
        <v>42873</v>
      </c>
      <c r="B352" s="14">
        <v>5289.73</v>
      </c>
      <c r="C352" s="2">
        <f t="shared" si="22"/>
        <v>-5.2953332994855051E-3</v>
      </c>
      <c r="D352">
        <f t="shared" si="23"/>
        <v>0</v>
      </c>
      <c r="E352">
        <v>0.45461330109332349</v>
      </c>
      <c r="F352">
        <f t="shared" si="24"/>
        <v>0</v>
      </c>
      <c r="G352" t="b">
        <f t="shared" si="25"/>
        <v>1</v>
      </c>
      <c r="H352">
        <v>0.49174509591177512</v>
      </c>
    </row>
    <row r="353" spans="1:8" x14ac:dyDescent="0.35">
      <c r="A353" s="13">
        <v>42874</v>
      </c>
      <c r="B353" s="14">
        <v>5324.4</v>
      </c>
      <c r="C353" s="2">
        <f t="shared" si="22"/>
        <v>6.5542097611788197E-3</v>
      </c>
      <c r="D353">
        <f t="shared" si="23"/>
        <v>1</v>
      </c>
      <c r="E353">
        <v>0.31730521513382781</v>
      </c>
      <c r="F353">
        <f t="shared" si="24"/>
        <v>0</v>
      </c>
      <c r="G353" t="b">
        <f t="shared" si="25"/>
        <v>0</v>
      </c>
      <c r="H353">
        <v>0.49174621750882974</v>
      </c>
    </row>
    <row r="354" spans="1:8" x14ac:dyDescent="0.35">
      <c r="A354" s="13">
        <v>42877</v>
      </c>
      <c r="B354" s="14">
        <v>5322.88</v>
      </c>
      <c r="C354" s="2">
        <f t="shared" si="22"/>
        <v>-2.854781759445979E-4</v>
      </c>
      <c r="D354">
        <f t="shared" si="23"/>
        <v>0</v>
      </c>
      <c r="E354">
        <v>0.48096563103996565</v>
      </c>
      <c r="F354">
        <f t="shared" si="24"/>
        <v>0</v>
      </c>
      <c r="G354" t="b">
        <f t="shared" si="25"/>
        <v>1</v>
      </c>
      <c r="H354">
        <v>0.491745333259069</v>
      </c>
    </row>
    <row r="355" spans="1:8" x14ac:dyDescent="0.35">
      <c r="A355" s="13">
        <v>42879</v>
      </c>
      <c r="B355" s="14">
        <v>5341.34</v>
      </c>
      <c r="C355" s="2">
        <f t="shared" si="22"/>
        <v>3.4680473728507799E-3</v>
      </c>
      <c r="D355">
        <f t="shared" si="23"/>
        <v>1</v>
      </c>
      <c r="E355">
        <v>0.37836486769576272</v>
      </c>
      <c r="F355">
        <f t="shared" si="24"/>
        <v>0</v>
      </c>
      <c r="G355" t="b">
        <f t="shared" si="25"/>
        <v>0</v>
      </c>
      <c r="H355">
        <v>0.4917457515131935</v>
      </c>
    </row>
    <row r="356" spans="1:8" x14ac:dyDescent="0.35">
      <c r="A356" s="13">
        <v>42880</v>
      </c>
      <c r="B356" s="14">
        <v>5337.16</v>
      </c>
      <c r="C356" s="2">
        <f t="shared" si="22"/>
        <v>-7.8257515904256447E-4</v>
      </c>
      <c r="D356">
        <f t="shared" si="23"/>
        <v>0</v>
      </c>
      <c r="E356">
        <v>0.51883939926286249</v>
      </c>
      <c r="F356">
        <f t="shared" si="24"/>
        <v>1</v>
      </c>
      <c r="G356" t="b">
        <f t="shared" si="25"/>
        <v>0</v>
      </c>
      <c r="H356">
        <v>0.4917447639863235</v>
      </c>
    </row>
    <row r="357" spans="1:8" x14ac:dyDescent="0.35">
      <c r="A357" s="13">
        <v>42881</v>
      </c>
      <c r="B357" s="14">
        <v>5336.64</v>
      </c>
      <c r="C357" s="2">
        <f t="shared" si="22"/>
        <v>-9.7430093907502346E-5</v>
      </c>
      <c r="D357">
        <f t="shared" si="23"/>
        <v>0</v>
      </c>
      <c r="E357">
        <v>0.37697995397723655</v>
      </c>
      <c r="F357">
        <f t="shared" si="24"/>
        <v>0</v>
      </c>
      <c r="G357" t="b">
        <f t="shared" si="25"/>
        <v>1</v>
      </c>
      <c r="H357">
        <v>0.49174433742793899</v>
      </c>
    </row>
    <row r="358" spans="1:8" x14ac:dyDescent="0.35">
      <c r="A358" s="13">
        <v>42884</v>
      </c>
      <c r="B358" s="14">
        <v>5332.47</v>
      </c>
      <c r="C358" s="2">
        <f t="shared" si="22"/>
        <v>-7.8139053786652202E-4</v>
      </c>
      <c r="D358">
        <f t="shared" si="23"/>
        <v>0</v>
      </c>
      <c r="E358">
        <v>0.28384761153784971</v>
      </c>
      <c r="F358">
        <f t="shared" si="24"/>
        <v>0</v>
      </c>
      <c r="G358" t="b">
        <f t="shared" si="25"/>
        <v>1</v>
      </c>
      <c r="H358">
        <v>0.49174379818379754</v>
      </c>
    </row>
    <row r="359" spans="1:8" x14ac:dyDescent="0.35">
      <c r="A359" s="13">
        <v>42885</v>
      </c>
      <c r="B359" s="14">
        <v>5305.94</v>
      </c>
      <c r="C359" s="2">
        <f t="shared" si="22"/>
        <v>-4.9751803573204745E-3</v>
      </c>
      <c r="D359">
        <f t="shared" si="23"/>
        <v>0</v>
      </c>
      <c r="E359">
        <v>0.23982212190572449</v>
      </c>
      <c r="F359">
        <f t="shared" si="24"/>
        <v>0</v>
      </c>
      <c r="G359" t="b">
        <f t="shared" si="25"/>
        <v>1</v>
      </c>
      <c r="H359">
        <v>0.49174362857042592</v>
      </c>
    </row>
    <row r="360" spans="1:8" x14ac:dyDescent="0.35">
      <c r="A360" s="13">
        <v>42886</v>
      </c>
      <c r="B360" s="14">
        <v>5283.63</v>
      </c>
      <c r="C360" s="2">
        <f t="shared" si="22"/>
        <v>-4.2047215008084171E-3</v>
      </c>
      <c r="D360">
        <f t="shared" si="23"/>
        <v>0</v>
      </c>
      <c r="E360">
        <v>0.21050406064595609</v>
      </c>
      <c r="F360">
        <f t="shared" si="24"/>
        <v>0</v>
      </c>
      <c r="G360" t="b">
        <f t="shared" si="25"/>
        <v>1</v>
      </c>
      <c r="H360">
        <v>0.49174330370801117</v>
      </c>
    </row>
    <row r="361" spans="1:8" x14ac:dyDescent="0.35">
      <c r="A361" s="13">
        <v>42887</v>
      </c>
      <c r="B361" s="14">
        <v>5318.67</v>
      </c>
      <c r="C361" s="2">
        <f t="shared" si="22"/>
        <v>6.631804270927466E-3</v>
      </c>
      <c r="D361">
        <f t="shared" si="23"/>
        <v>1</v>
      </c>
      <c r="E361">
        <v>0.18683612088110629</v>
      </c>
      <c r="F361">
        <f t="shared" si="24"/>
        <v>0</v>
      </c>
      <c r="G361" t="b">
        <f t="shared" si="25"/>
        <v>0</v>
      </c>
      <c r="H361">
        <v>0.49174381825977315</v>
      </c>
    </row>
    <row r="362" spans="1:8" x14ac:dyDescent="0.35">
      <c r="A362" s="13">
        <v>42888</v>
      </c>
      <c r="B362" s="14">
        <v>5343.41</v>
      </c>
      <c r="C362" s="2">
        <f t="shared" si="22"/>
        <v>4.6515388245558231E-3</v>
      </c>
      <c r="D362">
        <f t="shared" si="23"/>
        <v>1</v>
      </c>
      <c r="E362">
        <v>0.28454275167609427</v>
      </c>
      <c r="F362">
        <f t="shared" si="24"/>
        <v>0</v>
      </c>
      <c r="G362" t="b">
        <f t="shared" si="25"/>
        <v>0</v>
      </c>
      <c r="H362">
        <v>0.49174506403994328</v>
      </c>
    </row>
    <row r="363" spans="1:8" x14ac:dyDescent="0.35">
      <c r="A363" s="13">
        <v>42891</v>
      </c>
      <c r="B363" s="14">
        <v>5307.89</v>
      </c>
      <c r="C363" s="2">
        <f t="shared" si="22"/>
        <v>-6.6474404921200714E-3</v>
      </c>
      <c r="D363">
        <f t="shared" si="23"/>
        <v>0</v>
      </c>
      <c r="E363">
        <v>0.38893736232711629</v>
      </c>
      <c r="F363">
        <f t="shared" si="24"/>
        <v>0</v>
      </c>
      <c r="G363" t="b">
        <f t="shared" si="25"/>
        <v>1</v>
      </c>
      <c r="H363">
        <v>0.49174436890036693</v>
      </c>
    </row>
    <row r="364" spans="1:8" x14ac:dyDescent="0.35">
      <c r="A364" s="13">
        <v>42892</v>
      </c>
      <c r="B364" s="14">
        <v>5269.22</v>
      </c>
      <c r="C364" s="2">
        <f t="shared" si="22"/>
        <v>-7.2853808198738434E-3</v>
      </c>
      <c r="D364">
        <f t="shared" si="23"/>
        <v>0</v>
      </c>
      <c r="E364">
        <v>0.3227423335801034</v>
      </c>
      <c r="F364">
        <f t="shared" si="24"/>
        <v>0</v>
      </c>
      <c r="G364" t="b">
        <f t="shared" si="25"/>
        <v>1</v>
      </c>
      <c r="H364">
        <v>0.49174387583883139</v>
      </c>
    </row>
    <row r="365" spans="1:8" x14ac:dyDescent="0.35">
      <c r="A365" s="13">
        <v>42893</v>
      </c>
      <c r="B365" s="14">
        <v>5265.53</v>
      </c>
      <c r="C365" s="2">
        <f t="shared" si="22"/>
        <v>-7.002934020595708E-4</v>
      </c>
      <c r="D365">
        <f t="shared" si="23"/>
        <v>0</v>
      </c>
      <c r="E365">
        <v>0.27240336722577191</v>
      </c>
      <c r="F365">
        <f t="shared" si="24"/>
        <v>0</v>
      </c>
      <c r="G365" t="b">
        <f t="shared" si="25"/>
        <v>1</v>
      </c>
      <c r="H365">
        <v>0.49174359844247018</v>
      </c>
    </row>
    <row r="366" spans="1:8" x14ac:dyDescent="0.35">
      <c r="A366" s="13">
        <v>42894</v>
      </c>
      <c r="B366" s="14">
        <v>5264.24</v>
      </c>
      <c r="C366" s="2">
        <f t="shared" si="22"/>
        <v>-2.4498958319485453E-4</v>
      </c>
      <c r="D366">
        <f t="shared" si="23"/>
        <v>0</v>
      </c>
      <c r="E366">
        <v>0.23508114014662632</v>
      </c>
      <c r="F366">
        <f t="shared" si="24"/>
        <v>0</v>
      </c>
      <c r="G366" t="b">
        <f t="shared" si="25"/>
        <v>1</v>
      </c>
      <c r="H366">
        <v>0.49174329832826635</v>
      </c>
    </row>
    <row r="367" spans="1:8" x14ac:dyDescent="0.35">
      <c r="A367" s="13">
        <v>42895</v>
      </c>
      <c r="B367" s="14">
        <v>5299.71</v>
      </c>
      <c r="C367" s="2">
        <f t="shared" si="22"/>
        <v>6.7379146847408311E-3</v>
      </c>
      <c r="D367">
        <f t="shared" si="23"/>
        <v>1</v>
      </c>
      <c r="E367">
        <v>0.2001887085780851</v>
      </c>
      <c r="F367">
        <f t="shared" si="24"/>
        <v>0</v>
      </c>
      <c r="G367" t="b">
        <f t="shared" si="25"/>
        <v>0</v>
      </c>
      <c r="H367">
        <v>0.49174455018134811</v>
      </c>
    </row>
    <row r="368" spans="1:8" x14ac:dyDescent="0.35">
      <c r="A368" s="13">
        <v>42898</v>
      </c>
      <c r="B368" s="14">
        <v>5240.59</v>
      </c>
      <c r="C368" s="2">
        <f t="shared" si="22"/>
        <v>-1.1155327366969114E-2</v>
      </c>
      <c r="D368">
        <f t="shared" si="23"/>
        <v>0</v>
      </c>
      <c r="E368">
        <v>0.34408769246025289</v>
      </c>
      <c r="F368">
        <f t="shared" si="24"/>
        <v>0</v>
      </c>
      <c r="G368" t="b">
        <f t="shared" si="25"/>
        <v>1</v>
      </c>
      <c r="H368">
        <v>0.49174429181237428</v>
      </c>
    </row>
    <row r="369" spans="1:8" x14ac:dyDescent="0.35">
      <c r="A369" s="13">
        <v>42899</v>
      </c>
      <c r="B369" s="14">
        <v>5261.74</v>
      </c>
      <c r="C369" s="2">
        <f t="shared" si="22"/>
        <v>4.0358051288118535E-3</v>
      </c>
      <c r="D369">
        <f t="shared" si="23"/>
        <v>1</v>
      </c>
      <c r="E369">
        <v>0.24939019238845644</v>
      </c>
      <c r="F369">
        <f t="shared" si="24"/>
        <v>0</v>
      </c>
      <c r="G369" t="b">
        <f t="shared" si="25"/>
        <v>0</v>
      </c>
      <c r="H369">
        <v>0.49174523679084131</v>
      </c>
    </row>
    <row r="370" spans="1:8" x14ac:dyDescent="0.35">
      <c r="A370" s="13">
        <v>42900</v>
      </c>
      <c r="B370" s="14">
        <v>5243.29</v>
      </c>
      <c r="C370" s="2">
        <f t="shared" si="22"/>
        <v>-3.506444636184991E-3</v>
      </c>
      <c r="D370">
        <f t="shared" si="23"/>
        <v>0</v>
      </c>
      <c r="E370">
        <v>0.39085101749489365</v>
      </c>
      <c r="F370">
        <f t="shared" si="24"/>
        <v>0</v>
      </c>
      <c r="G370" t="b">
        <f t="shared" si="25"/>
        <v>1</v>
      </c>
      <c r="H370">
        <v>0.4917448559528998</v>
      </c>
    </row>
    <row r="371" spans="1:8" x14ac:dyDescent="0.35">
      <c r="A371" s="13">
        <v>42901</v>
      </c>
      <c r="B371" s="14">
        <v>5216.88</v>
      </c>
      <c r="C371" s="2">
        <f t="shared" si="22"/>
        <v>-5.0369138460775176E-3</v>
      </c>
      <c r="D371">
        <f t="shared" si="23"/>
        <v>0</v>
      </c>
      <c r="E371">
        <v>0.30585127117074268</v>
      </c>
      <c r="F371">
        <f t="shared" si="24"/>
        <v>0</v>
      </c>
      <c r="G371" t="b">
        <f t="shared" si="25"/>
        <v>1</v>
      </c>
      <c r="H371">
        <v>0.49174461537949504</v>
      </c>
    </row>
    <row r="372" spans="1:8" x14ac:dyDescent="0.35">
      <c r="A372" s="13">
        <v>42902</v>
      </c>
      <c r="B372" s="14">
        <v>5263.31</v>
      </c>
      <c r="C372" s="2">
        <f t="shared" si="22"/>
        <v>8.8999555289752674E-3</v>
      </c>
      <c r="D372">
        <f t="shared" si="23"/>
        <v>1</v>
      </c>
      <c r="E372">
        <v>0.26340852364081002</v>
      </c>
      <c r="F372">
        <f t="shared" si="24"/>
        <v>0</v>
      </c>
      <c r="G372" t="b">
        <f t="shared" si="25"/>
        <v>0</v>
      </c>
      <c r="H372">
        <v>0.49174527077047747</v>
      </c>
    </row>
    <row r="373" spans="1:8" x14ac:dyDescent="0.35">
      <c r="A373" s="13">
        <v>42905</v>
      </c>
      <c r="B373" s="14">
        <v>5310.72</v>
      </c>
      <c r="C373" s="2">
        <f t="shared" si="22"/>
        <v>9.0076396792131419E-3</v>
      </c>
      <c r="D373">
        <f t="shared" si="23"/>
        <v>1</v>
      </c>
      <c r="E373">
        <v>0.38065139585635238</v>
      </c>
      <c r="F373">
        <f t="shared" si="24"/>
        <v>0</v>
      </c>
      <c r="G373" t="b">
        <f t="shared" si="25"/>
        <v>0</v>
      </c>
      <c r="H373">
        <v>0.49174588342848874</v>
      </c>
    </row>
    <row r="374" spans="1:8" x14ac:dyDescent="0.35">
      <c r="A374" s="13">
        <v>42906</v>
      </c>
      <c r="B374" s="14">
        <v>5293.65</v>
      </c>
      <c r="C374" s="2">
        <f t="shared" si="22"/>
        <v>-3.2142534345626084E-3</v>
      </c>
      <c r="D374">
        <f t="shared" si="23"/>
        <v>0</v>
      </c>
      <c r="E374">
        <v>0.51403907435791152</v>
      </c>
      <c r="F374">
        <f t="shared" si="24"/>
        <v>1</v>
      </c>
      <c r="G374" t="b">
        <f t="shared" si="25"/>
        <v>0</v>
      </c>
      <c r="H374">
        <v>0.49174572415993573</v>
      </c>
    </row>
    <row r="375" spans="1:8" x14ac:dyDescent="0.35">
      <c r="A375" s="13">
        <v>42907</v>
      </c>
      <c r="B375" s="14">
        <v>5274.26</v>
      </c>
      <c r="C375" s="2">
        <f t="shared" si="22"/>
        <v>-3.6628791098768376E-3</v>
      </c>
      <c r="D375">
        <f t="shared" si="23"/>
        <v>0</v>
      </c>
      <c r="E375">
        <v>0.38464487829020422</v>
      </c>
      <c r="F375">
        <f t="shared" si="24"/>
        <v>0</v>
      </c>
      <c r="G375" t="b">
        <f t="shared" si="25"/>
        <v>1</v>
      </c>
      <c r="H375">
        <v>0.49174528467023221</v>
      </c>
    </row>
    <row r="376" spans="1:8" x14ac:dyDescent="0.35">
      <c r="A376" s="13">
        <v>42908</v>
      </c>
      <c r="B376" s="14">
        <v>5281.93</v>
      </c>
      <c r="C376" s="2">
        <f t="shared" si="22"/>
        <v>1.4542324420867558E-3</v>
      </c>
      <c r="D376">
        <f t="shared" si="23"/>
        <v>1</v>
      </c>
      <c r="E376">
        <v>0.28585585696943611</v>
      </c>
      <c r="F376">
        <f t="shared" si="24"/>
        <v>0</v>
      </c>
      <c r="G376" t="b">
        <f t="shared" si="25"/>
        <v>0</v>
      </c>
      <c r="H376">
        <v>0.49174566406517856</v>
      </c>
    </row>
    <row r="377" spans="1:8" x14ac:dyDescent="0.35">
      <c r="A377" s="13">
        <v>42909</v>
      </c>
      <c r="B377" s="14">
        <v>5266.12</v>
      </c>
      <c r="C377" s="2">
        <f t="shared" si="22"/>
        <v>-2.9932240677177369E-3</v>
      </c>
      <c r="D377">
        <f t="shared" si="23"/>
        <v>0</v>
      </c>
      <c r="E377">
        <v>0.4183505461157333</v>
      </c>
      <c r="F377">
        <f t="shared" si="24"/>
        <v>0</v>
      </c>
      <c r="G377" t="b">
        <f t="shared" si="25"/>
        <v>1</v>
      </c>
      <c r="H377">
        <v>0.49174497813235291</v>
      </c>
    </row>
    <row r="378" spans="1:8" x14ac:dyDescent="0.35">
      <c r="A378" s="13">
        <v>42912</v>
      </c>
      <c r="B378" s="14">
        <v>5295.75</v>
      </c>
      <c r="C378" s="2">
        <f t="shared" si="22"/>
        <v>5.6265333870098022E-3</v>
      </c>
      <c r="D378">
        <f t="shared" si="23"/>
        <v>1</v>
      </c>
      <c r="E378">
        <v>0.34595201281898114</v>
      </c>
      <c r="F378">
        <f t="shared" si="24"/>
        <v>0</v>
      </c>
      <c r="G378" t="b">
        <f t="shared" si="25"/>
        <v>0</v>
      </c>
      <c r="H378">
        <v>0.49174583845484376</v>
      </c>
    </row>
    <row r="379" spans="1:8" x14ac:dyDescent="0.35">
      <c r="A379" s="13">
        <v>42913</v>
      </c>
      <c r="B379" s="14">
        <v>5258.58</v>
      </c>
      <c r="C379" s="2">
        <f t="shared" si="22"/>
        <v>-7.0188358589434729E-3</v>
      </c>
      <c r="D379">
        <f t="shared" si="23"/>
        <v>0</v>
      </c>
      <c r="E379">
        <v>0.50776430555253049</v>
      </c>
      <c r="F379">
        <f t="shared" si="24"/>
        <v>1</v>
      </c>
      <c r="G379" t="b">
        <f t="shared" si="25"/>
        <v>0</v>
      </c>
      <c r="H379">
        <v>0.49174500498718965</v>
      </c>
    </row>
    <row r="380" spans="1:8" x14ac:dyDescent="0.35">
      <c r="A380" s="13">
        <v>42914</v>
      </c>
      <c r="B380" s="14">
        <v>5252.9</v>
      </c>
      <c r="C380" s="2">
        <f t="shared" si="22"/>
        <v>-1.0801395053418039E-3</v>
      </c>
      <c r="D380">
        <f t="shared" si="23"/>
        <v>0</v>
      </c>
      <c r="E380">
        <v>0.38216585305003486</v>
      </c>
      <c r="F380">
        <f t="shared" si="24"/>
        <v>0</v>
      </c>
      <c r="G380" t="b">
        <f t="shared" si="25"/>
        <v>1</v>
      </c>
      <c r="H380">
        <v>0.49174455328363653</v>
      </c>
    </row>
    <row r="381" spans="1:8" x14ac:dyDescent="0.35">
      <c r="A381" s="13">
        <v>42915</v>
      </c>
      <c r="B381" s="14">
        <v>5154.3500000000004</v>
      </c>
      <c r="C381" s="2">
        <f t="shared" si="22"/>
        <v>-1.8761065316301284E-2</v>
      </c>
      <c r="D381">
        <f t="shared" si="23"/>
        <v>0</v>
      </c>
      <c r="E381">
        <v>0.28806151053934742</v>
      </c>
      <c r="F381">
        <f t="shared" si="24"/>
        <v>0</v>
      </c>
      <c r="G381" t="b">
        <f t="shared" si="25"/>
        <v>1</v>
      </c>
      <c r="H381">
        <v>0.49174412146340557</v>
      </c>
    </row>
    <row r="382" spans="1:8" x14ac:dyDescent="0.35">
      <c r="A382" s="13">
        <v>42916</v>
      </c>
      <c r="B382" s="14">
        <v>5120.68</v>
      </c>
      <c r="C382" s="2">
        <f t="shared" si="22"/>
        <v>-6.5323464646366292E-3</v>
      </c>
      <c r="D382">
        <f t="shared" si="23"/>
        <v>0</v>
      </c>
      <c r="E382">
        <v>0.23872380433011103</v>
      </c>
      <c r="F382">
        <f t="shared" si="24"/>
        <v>0</v>
      </c>
      <c r="G382" t="b">
        <f t="shared" si="25"/>
        <v>1</v>
      </c>
      <c r="H382">
        <v>0.49174396956994126</v>
      </c>
    </row>
    <row r="383" spans="1:8" x14ac:dyDescent="0.35">
      <c r="A383" s="13">
        <v>42919</v>
      </c>
      <c r="B383" s="14">
        <v>5195.72</v>
      </c>
      <c r="C383" s="2">
        <f t="shared" si="22"/>
        <v>1.4654303725286422E-2</v>
      </c>
      <c r="D383">
        <f t="shared" si="23"/>
        <v>1</v>
      </c>
      <c r="E383">
        <v>0.21398430054733927</v>
      </c>
      <c r="F383">
        <f t="shared" si="24"/>
        <v>0</v>
      </c>
      <c r="G383" t="b">
        <f t="shared" si="25"/>
        <v>0</v>
      </c>
      <c r="H383">
        <v>0.49174472614926612</v>
      </c>
    </row>
    <row r="384" spans="1:8" x14ac:dyDescent="0.35">
      <c r="A384" s="13">
        <v>42920</v>
      </c>
      <c r="B384" s="14">
        <v>5174.8999999999996</v>
      </c>
      <c r="C384" s="2">
        <f t="shared" si="22"/>
        <v>-4.0071443418815411E-3</v>
      </c>
      <c r="D384">
        <f t="shared" si="23"/>
        <v>0</v>
      </c>
      <c r="E384">
        <v>0.3164017448758254</v>
      </c>
      <c r="F384">
        <f t="shared" si="24"/>
        <v>0</v>
      </c>
      <c r="G384" t="b">
        <f t="shared" si="25"/>
        <v>1</v>
      </c>
      <c r="H384">
        <v>0.49174467529336835</v>
      </c>
    </row>
    <row r="385" spans="1:8" x14ac:dyDescent="0.35">
      <c r="A385" s="13">
        <v>42921</v>
      </c>
      <c r="B385" s="14">
        <v>5180.1000000000004</v>
      </c>
      <c r="C385" s="2">
        <f t="shared" si="22"/>
        <v>1.0048503352724225E-3</v>
      </c>
      <c r="D385">
        <f t="shared" si="23"/>
        <v>1</v>
      </c>
      <c r="E385">
        <v>0.25720922512339445</v>
      </c>
      <c r="F385">
        <f t="shared" si="24"/>
        <v>0</v>
      </c>
      <c r="G385" t="b">
        <f t="shared" si="25"/>
        <v>0</v>
      </c>
      <c r="H385">
        <v>0.4917448340286858</v>
      </c>
    </row>
    <row r="386" spans="1:8" x14ac:dyDescent="0.35">
      <c r="A386" s="13">
        <v>42922</v>
      </c>
      <c r="B386" s="14">
        <v>5152.3999999999996</v>
      </c>
      <c r="C386" s="2">
        <f t="shared" si="22"/>
        <v>-5.347387116078961E-3</v>
      </c>
      <c r="D386">
        <f t="shared" si="23"/>
        <v>0</v>
      </c>
      <c r="E386">
        <v>0.39607013658082563</v>
      </c>
      <c r="F386">
        <f t="shared" si="24"/>
        <v>0</v>
      </c>
      <c r="G386" t="b">
        <f t="shared" si="25"/>
        <v>1</v>
      </c>
      <c r="H386">
        <v>0.49174463766530691</v>
      </c>
    </row>
    <row r="387" spans="1:8" x14ac:dyDescent="0.35">
      <c r="A387" s="13">
        <v>42923</v>
      </c>
      <c r="B387" s="14">
        <v>5145.16</v>
      </c>
      <c r="C387" s="2">
        <f t="shared" si="22"/>
        <v>-1.4051704060242809E-3</v>
      </c>
      <c r="D387">
        <f t="shared" si="23"/>
        <v>0</v>
      </c>
      <c r="E387">
        <v>0.31738413660788317</v>
      </c>
      <c r="F387">
        <f t="shared" si="24"/>
        <v>0</v>
      </c>
      <c r="G387" t="b">
        <f t="shared" si="25"/>
        <v>1</v>
      </c>
      <c r="H387">
        <v>0.49174422093464687</v>
      </c>
    </row>
    <row r="388" spans="1:8" x14ac:dyDescent="0.35">
      <c r="A388" s="13">
        <v>42926</v>
      </c>
      <c r="B388" s="14">
        <v>5165.6400000000003</v>
      </c>
      <c r="C388" s="2">
        <f t="shared" ref="C388:C451" si="26">(B388/B387)-1</f>
        <v>3.9804398697029786E-3</v>
      </c>
      <c r="D388">
        <f t="shared" si="23"/>
        <v>1</v>
      </c>
      <c r="E388">
        <v>0.25353965073349066</v>
      </c>
      <c r="F388">
        <f t="shared" si="24"/>
        <v>0</v>
      </c>
      <c r="G388" t="b">
        <f t="shared" si="25"/>
        <v>0</v>
      </c>
      <c r="H388">
        <v>0.49174444684818497</v>
      </c>
    </row>
    <row r="389" spans="1:8" x14ac:dyDescent="0.35">
      <c r="A389" s="13">
        <v>42927</v>
      </c>
      <c r="B389" s="14">
        <v>5140.6000000000004</v>
      </c>
      <c r="C389" s="2">
        <f t="shared" si="26"/>
        <v>-4.8474148411425944E-3</v>
      </c>
      <c r="D389">
        <f t="shared" si="23"/>
        <v>0</v>
      </c>
      <c r="E389">
        <v>0.39716663103424488</v>
      </c>
      <c r="F389">
        <f t="shared" si="24"/>
        <v>0</v>
      </c>
      <c r="G389" t="b">
        <f t="shared" si="25"/>
        <v>1</v>
      </c>
      <c r="H389">
        <v>0.49174376373799183</v>
      </c>
    </row>
    <row r="390" spans="1:8" x14ac:dyDescent="0.35">
      <c r="A390" s="13">
        <v>42928</v>
      </c>
      <c r="B390" s="14">
        <v>5222.13</v>
      </c>
      <c r="C390" s="2">
        <f t="shared" si="26"/>
        <v>1.5860016340504934E-2</v>
      </c>
      <c r="D390">
        <f t="shared" ref="D390:D453" si="27">IF(C390&gt;=0,1,0)</f>
        <v>1</v>
      </c>
      <c r="E390">
        <v>0.33044659314410979</v>
      </c>
      <c r="F390">
        <f t="shared" si="24"/>
        <v>0</v>
      </c>
      <c r="G390" t="b">
        <f t="shared" si="25"/>
        <v>0</v>
      </c>
      <c r="H390">
        <v>0.49174421301949012</v>
      </c>
    </row>
    <row r="391" spans="1:8" x14ac:dyDescent="0.35">
      <c r="A391" s="13">
        <v>42929</v>
      </c>
      <c r="B391" s="14">
        <v>5235.3999999999996</v>
      </c>
      <c r="C391" s="2">
        <f t="shared" si="26"/>
        <v>2.5411087046856018E-3</v>
      </c>
      <c r="D391">
        <f t="shared" si="27"/>
        <v>1</v>
      </c>
      <c r="E391">
        <v>0.45488788968375932</v>
      </c>
      <c r="F391">
        <f t="shared" si="24"/>
        <v>0</v>
      </c>
      <c r="G391" t="b">
        <f t="shared" si="25"/>
        <v>0</v>
      </c>
      <c r="H391">
        <v>0.49174476535967937</v>
      </c>
    </row>
    <row r="392" spans="1:8" x14ac:dyDescent="0.35">
      <c r="A392" s="13">
        <v>42930</v>
      </c>
      <c r="B392" s="14">
        <v>5235.3100000000004</v>
      </c>
      <c r="C392" s="2">
        <f t="shared" si="26"/>
        <v>-1.7190663559429886E-5</v>
      </c>
      <c r="D392">
        <f t="shared" si="27"/>
        <v>0</v>
      </c>
      <c r="E392">
        <v>0.59114567367916926</v>
      </c>
      <c r="F392">
        <f t="shared" si="24"/>
        <v>1</v>
      </c>
      <c r="G392" t="b">
        <f t="shared" si="25"/>
        <v>0</v>
      </c>
      <c r="H392">
        <v>0.49174430368566241</v>
      </c>
    </row>
    <row r="393" spans="1:8" x14ac:dyDescent="0.35">
      <c r="A393" s="13">
        <v>42933</v>
      </c>
      <c r="B393" s="14">
        <v>5230.17</v>
      </c>
      <c r="C393" s="2">
        <f t="shared" si="26"/>
        <v>-9.8179477433046891E-4</v>
      </c>
      <c r="D393">
        <f t="shared" si="27"/>
        <v>0</v>
      </c>
      <c r="E393">
        <v>0.42346612486546148</v>
      </c>
      <c r="F393">
        <f t="shared" ref="F393:F456" si="28">IF(E393&gt;=0.5,1,0)</f>
        <v>0</v>
      </c>
      <c r="G393" t="b">
        <f t="shared" ref="G393:G456" si="29">IF(D393=F393,TRUE,FALSE)</f>
        <v>1</v>
      </c>
      <c r="H393">
        <v>0.49174408976480127</v>
      </c>
    </row>
    <row r="394" spans="1:8" x14ac:dyDescent="0.35">
      <c r="A394" s="13">
        <v>42934</v>
      </c>
      <c r="B394" s="14">
        <v>5173.2700000000004</v>
      </c>
      <c r="C394" s="2">
        <f t="shared" si="26"/>
        <v>-1.0879187483389563E-2</v>
      </c>
      <c r="D394">
        <f t="shared" si="27"/>
        <v>0</v>
      </c>
      <c r="E394">
        <v>0.33379687849061851</v>
      </c>
      <c r="F394">
        <f t="shared" si="28"/>
        <v>0</v>
      </c>
      <c r="G394" t="b">
        <f t="shared" si="29"/>
        <v>1</v>
      </c>
      <c r="H394">
        <v>0.49174352601475219</v>
      </c>
    </row>
    <row r="395" spans="1:8" x14ac:dyDescent="0.35">
      <c r="A395" s="13">
        <v>42935</v>
      </c>
      <c r="B395" s="14">
        <v>5216.07</v>
      </c>
      <c r="C395" s="2">
        <f t="shared" si="26"/>
        <v>8.2732971602099692E-3</v>
      </c>
      <c r="D395">
        <f t="shared" si="27"/>
        <v>1</v>
      </c>
      <c r="E395">
        <v>0.29548111297765517</v>
      </c>
      <c r="F395">
        <f t="shared" si="28"/>
        <v>0</v>
      </c>
      <c r="G395" t="b">
        <f t="shared" si="29"/>
        <v>0</v>
      </c>
      <c r="H395">
        <v>0.49174357315037892</v>
      </c>
    </row>
    <row r="396" spans="1:8" x14ac:dyDescent="0.35">
      <c r="A396" s="13">
        <v>42936</v>
      </c>
      <c r="B396" s="14">
        <v>5199.22</v>
      </c>
      <c r="C396" s="2">
        <f t="shared" si="26"/>
        <v>-3.2304014324959773E-3</v>
      </c>
      <c r="D396">
        <f t="shared" si="27"/>
        <v>0</v>
      </c>
      <c r="E396">
        <v>0.41571353676416739</v>
      </c>
      <c r="F396">
        <f t="shared" si="28"/>
        <v>0</v>
      </c>
      <c r="G396" t="b">
        <f t="shared" si="29"/>
        <v>1</v>
      </c>
      <c r="H396">
        <v>0.49174273334644464</v>
      </c>
    </row>
    <row r="397" spans="1:8" x14ac:dyDescent="0.35">
      <c r="A397" s="13">
        <v>42937</v>
      </c>
      <c r="B397" s="14">
        <v>5117.66</v>
      </c>
      <c r="C397" s="2">
        <f t="shared" si="26"/>
        <v>-1.5686968429879933E-2</v>
      </c>
      <c r="D397">
        <f t="shared" si="27"/>
        <v>0</v>
      </c>
      <c r="E397">
        <v>0.33302485833573431</v>
      </c>
      <c r="F397">
        <f t="shared" si="28"/>
        <v>0</v>
      </c>
      <c r="G397" t="b">
        <f t="shared" si="29"/>
        <v>1</v>
      </c>
      <c r="H397">
        <v>0.49174235083462087</v>
      </c>
    </row>
    <row r="398" spans="1:8" x14ac:dyDescent="0.35">
      <c r="A398" s="13">
        <v>42940</v>
      </c>
      <c r="B398" s="14">
        <v>5127.7</v>
      </c>
      <c r="C398" s="2">
        <f t="shared" si="26"/>
        <v>1.9618341195000166E-3</v>
      </c>
      <c r="D398">
        <f t="shared" si="27"/>
        <v>1</v>
      </c>
      <c r="E398">
        <v>0.25179114834612437</v>
      </c>
      <c r="F398">
        <f t="shared" si="28"/>
        <v>0</v>
      </c>
      <c r="G398" t="b">
        <f t="shared" si="29"/>
        <v>0</v>
      </c>
      <c r="H398">
        <v>0.49174278398688454</v>
      </c>
    </row>
    <row r="399" spans="1:8" x14ac:dyDescent="0.35">
      <c r="A399" s="13">
        <v>42941</v>
      </c>
      <c r="B399" s="14">
        <v>5161.08</v>
      </c>
      <c r="C399" s="2">
        <f t="shared" si="26"/>
        <v>6.5097412095092011E-3</v>
      </c>
      <c r="D399">
        <f t="shared" si="27"/>
        <v>1</v>
      </c>
      <c r="E399">
        <v>0.31691945367656038</v>
      </c>
      <c r="F399">
        <f t="shared" si="28"/>
        <v>0</v>
      </c>
      <c r="G399" t="b">
        <f t="shared" si="29"/>
        <v>0</v>
      </c>
      <c r="H399">
        <v>0.49174380098624976</v>
      </c>
    </row>
    <row r="400" spans="1:8" x14ac:dyDescent="0.35">
      <c r="A400" s="13">
        <v>42942</v>
      </c>
      <c r="B400" s="14">
        <v>5190.17</v>
      </c>
      <c r="C400" s="2">
        <f t="shared" si="26"/>
        <v>5.6364171840002086E-3</v>
      </c>
      <c r="D400">
        <f t="shared" si="27"/>
        <v>1</v>
      </c>
      <c r="E400">
        <v>0.44103316032563294</v>
      </c>
      <c r="F400">
        <f t="shared" si="28"/>
        <v>0</v>
      </c>
      <c r="G400" t="b">
        <f t="shared" si="29"/>
        <v>0</v>
      </c>
      <c r="H400">
        <v>0.49174435729214083</v>
      </c>
    </row>
    <row r="401" spans="1:8" x14ac:dyDescent="0.35">
      <c r="A401" s="13">
        <v>42943</v>
      </c>
      <c r="B401" s="14">
        <v>5186.95</v>
      </c>
      <c r="C401" s="2">
        <f t="shared" si="26"/>
        <v>-6.2040357059600648E-4</v>
      </c>
      <c r="D401">
        <f t="shared" si="27"/>
        <v>0</v>
      </c>
      <c r="E401">
        <v>0.5841770724091736</v>
      </c>
      <c r="F401">
        <f t="shared" si="28"/>
        <v>1</v>
      </c>
      <c r="G401" t="b">
        <f t="shared" si="29"/>
        <v>0</v>
      </c>
      <c r="H401">
        <v>0.49174348021579556</v>
      </c>
    </row>
    <row r="402" spans="1:8" x14ac:dyDescent="0.35">
      <c r="A402" s="13">
        <v>42944</v>
      </c>
      <c r="B402" s="14">
        <v>5131.3900000000003</v>
      </c>
      <c r="C402" s="2">
        <f t="shared" si="26"/>
        <v>-1.0711497122586344E-2</v>
      </c>
      <c r="D402">
        <f t="shared" si="27"/>
        <v>0</v>
      </c>
      <c r="E402">
        <v>0.43736055164928911</v>
      </c>
      <c r="F402">
        <f t="shared" si="28"/>
        <v>0</v>
      </c>
      <c r="G402" t="b">
        <f t="shared" si="29"/>
        <v>1</v>
      </c>
      <c r="H402">
        <v>0.49174273327287527</v>
      </c>
    </row>
    <row r="403" spans="1:8" x14ac:dyDescent="0.35">
      <c r="A403" s="13">
        <v>42947</v>
      </c>
      <c r="B403" s="14">
        <v>5093.7700000000004</v>
      </c>
      <c r="C403" s="2">
        <f t="shared" si="26"/>
        <v>-7.3313468670281878E-3</v>
      </c>
      <c r="D403">
        <f t="shared" si="27"/>
        <v>0</v>
      </c>
      <c r="E403">
        <v>0.36047649559631395</v>
      </c>
      <c r="F403">
        <f t="shared" si="28"/>
        <v>0</v>
      </c>
      <c r="G403" t="b">
        <f t="shared" si="29"/>
        <v>1</v>
      </c>
      <c r="H403">
        <v>0.49174210064202367</v>
      </c>
    </row>
    <row r="404" spans="1:8" x14ac:dyDescent="0.35">
      <c r="A404" s="13">
        <v>42948</v>
      </c>
      <c r="B404" s="14">
        <v>5127.03</v>
      </c>
      <c r="C404" s="2">
        <f t="shared" si="26"/>
        <v>6.5295449146700602E-3</v>
      </c>
      <c r="D404">
        <f t="shared" si="27"/>
        <v>1</v>
      </c>
      <c r="E404">
        <v>0.29884608366844495</v>
      </c>
      <c r="F404">
        <f t="shared" si="28"/>
        <v>0</v>
      </c>
      <c r="G404" t="b">
        <f t="shared" si="29"/>
        <v>0</v>
      </c>
      <c r="H404">
        <v>0.49174253553891256</v>
      </c>
    </row>
    <row r="405" spans="1:8" x14ac:dyDescent="0.35">
      <c r="A405" s="13">
        <v>42949</v>
      </c>
      <c r="B405" s="14">
        <v>5107.25</v>
      </c>
      <c r="C405" s="2">
        <f t="shared" si="26"/>
        <v>-3.8579840570466262E-3</v>
      </c>
      <c r="D405">
        <f t="shared" si="27"/>
        <v>0</v>
      </c>
      <c r="E405">
        <v>0.47136546204652191</v>
      </c>
      <c r="F405">
        <f t="shared" si="28"/>
        <v>0</v>
      </c>
      <c r="G405" t="b">
        <f t="shared" si="29"/>
        <v>1</v>
      </c>
      <c r="H405">
        <v>0.4917421537654858</v>
      </c>
    </row>
    <row r="406" spans="1:8" x14ac:dyDescent="0.35">
      <c r="A406" s="13">
        <v>42950</v>
      </c>
      <c r="B406" s="14">
        <v>5130.49</v>
      </c>
      <c r="C406" s="2">
        <f t="shared" si="26"/>
        <v>4.5503940476772087E-3</v>
      </c>
      <c r="D406">
        <f t="shared" si="27"/>
        <v>1</v>
      </c>
      <c r="E406">
        <v>0.35479327335449862</v>
      </c>
      <c r="F406">
        <f t="shared" si="28"/>
        <v>0</v>
      </c>
      <c r="G406" t="b">
        <f t="shared" si="29"/>
        <v>0</v>
      </c>
      <c r="H406">
        <v>0.49174331118040776</v>
      </c>
    </row>
    <row r="407" spans="1:8" x14ac:dyDescent="0.35">
      <c r="A407" s="13">
        <v>42951</v>
      </c>
      <c r="B407" s="14">
        <v>5203.4399999999996</v>
      </c>
      <c r="C407" s="2">
        <f t="shared" si="26"/>
        <v>1.4218914762527568E-2</v>
      </c>
      <c r="D407">
        <f t="shared" si="27"/>
        <v>1</v>
      </c>
      <c r="E407">
        <v>0.46811515658923358</v>
      </c>
      <c r="F407">
        <f t="shared" si="28"/>
        <v>0</v>
      </c>
      <c r="G407" t="b">
        <f t="shared" si="29"/>
        <v>0</v>
      </c>
      <c r="H407">
        <v>0.49174435525162707</v>
      </c>
    </row>
    <row r="408" spans="1:8" x14ac:dyDescent="0.35">
      <c r="A408" s="13">
        <v>42954</v>
      </c>
      <c r="B408" s="14">
        <v>5207.8900000000003</v>
      </c>
      <c r="C408" s="2">
        <f t="shared" si="26"/>
        <v>8.5520348077450237E-4</v>
      </c>
      <c r="D408">
        <f t="shared" si="27"/>
        <v>1</v>
      </c>
      <c r="E408">
        <v>0.60974166070435154</v>
      </c>
      <c r="F408">
        <f t="shared" si="28"/>
        <v>1</v>
      </c>
      <c r="G408" t="b">
        <f t="shared" si="29"/>
        <v>1</v>
      </c>
      <c r="H408">
        <v>0.49174472850117779</v>
      </c>
    </row>
    <row r="409" spans="1:8" x14ac:dyDescent="0.35">
      <c r="A409" s="13">
        <v>42955</v>
      </c>
      <c r="B409" s="14">
        <v>5218.8900000000003</v>
      </c>
      <c r="C409" s="2">
        <f t="shared" si="26"/>
        <v>2.1121797887435623E-3</v>
      </c>
      <c r="D409">
        <f t="shared" si="27"/>
        <v>1</v>
      </c>
      <c r="E409">
        <v>0.72918318031064844</v>
      </c>
      <c r="F409">
        <f t="shared" si="28"/>
        <v>1</v>
      </c>
      <c r="G409" t="b">
        <f t="shared" si="29"/>
        <v>1</v>
      </c>
      <c r="H409">
        <v>0.49174485699554965</v>
      </c>
    </row>
    <row r="410" spans="1:8" x14ac:dyDescent="0.35">
      <c r="A410" s="13">
        <v>42956</v>
      </c>
      <c r="B410" s="14">
        <v>5145.7</v>
      </c>
      <c r="C410" s="2">
        <f t="shared" si="26"/>
        <v>-1.4024054923556628E-2</v>
      </c>
      <c r="D410">
        <f t="shared" si="27"/>
        <v>0</v>
      </c>
      <c r="E410">
        <v>0.77353783662918429</v>
      </c>
      <c r="F410">
        <f t="shared" si="28"/>
        <v>1</v>
      </c>
      <c r="G410" t="b">
        <f t="shared" si="29"/>
        <v>0</v>
      </c>
      <c r="H410">
        <v>0.49174446299703412</v>
      </c>
    </row>
    <row r="411" spans="1:8" x14ac:dyDescent="0.35">
      <c r="A411" s="13">
        <v>42957</v>
      </c>
      <c r="B411" s="14">
        <v>5115.2299999999996</v>
      </c>
      <c r="C411" s="2">
        <f t="shared" si="26"/>
        <v>-5.9214489768156797E-3</v>
      </c>
      <c r="D411">
        <f t="shared" si="27"/>
        <v>0</v>
      </c>
      <c r="E411">
        <v>0.67266051608614774</v>
      </c>
      <c r="F411">
        <f t="shared" si="28"/>
        <v>1</v>
      </c>
      <c r="G411" t="b">
        <f t="shared" si="29"/>
        <v>0</v>
      </c>
      <c r="H411">
        <v>0.4917441146884301</v>
      </c>
    </row>
    <row r="412" spans="1:8" x14ac:dyDescent="0.35">
      <c r="A412" s="13">
        <v>42958</v>
      </c>
      <c r="B412" s="14">
        <v>5060.92</v>
      </c>
      <c r="C412" s="2">
        <f t="shared" si="26"/>
        <v>-1.0617313395487549E-2</v>
      </c>
      <c r="D412">
        <f t="shared" si="27"/>
        <v>0</v>
      </c>
      <c r="E412">
        <v>0.53220669357043515</v>
      </c>
      <c r="F412">
        <f t="shared" si="28"/>
        <v>1</v>
      </c>
      <c r="G412" t="b">
        <f t="shared" si="29"/>
        <v>0</v>
      </c>
      <c r="H412">
        <v>0.49174289513532765</v>
      </c>
    </row>
    <row r="413" spans="1:8" x14ac:dyDescent="0.35">
      <c r="A413" s="13">
        <v>42961</v>
      </c>
      <c r="B413" s="14">
        <v>5121.67</v>
      </c>
      <c r="C413" s="2">
        <f t="shared" si="26"/>
        <v>1.200374635441781E-2</v>
      </c>
      <c r="D413">
        <f t="shared" si="27"/>
        <v>1</v>
      </c>
      <c r="E413">
        <v>0.35986878995186705</v>
      </c>
      <c r="F413">
        <f t="shared" si="28"/>
        <v>0</v>
      </c>
      <c r="G413" t="b">
        <f t="shared" si="29"/>
        <v>0</v>
      </c>
      <c r="H413">
        <v>0.4917436958496208</v>
      </c>
    </row>
    <row r="414" spans="1:8" x14ac:dyDescent="0.35">
      <c r="A414" s="13">
        <v>42962</v>
      </c>
      <c r="B414" s="14">
        <v>5140.25</v>
      </c>
      <c r="C414" s="2">
        <f t="shared" si="26"/>
        <v>3.6277229887906604E-3</v>
      </c>
      <c r="D414">
        <f t="shared" si="27"/>
        <v>1</v>
      </c>
      <c r="E414">
        <v>0.52818945985798527</v>
      </c>
      <c r="F414">
        <f t="shared" si="28"/>
        <v>1</v>
      </c>
      <c r="G414" t="b">
        <f t="shared" si="29"/>
        <v>1</v>
      </c>
      <c r="H414">
        <v>0.49174375485672933</v>
      </c>
    </row>
    <row r="415" spans="1:8" x14ac:dyDescent="0.35">
      <c r="A415" s="13">
        <v>42963</v>
      </c>
      <c r="B415" s="14">
        <v>5176.6099999999997</v>
      </c>
      <c r="C415" s="2">
        <f t="shared" si="26"/>
        <v>7.0735859150818925E-3</v>
      </c>
      <c r="D415">
        <f t="shared" si="27"/>
        <v>1</v>
      </c>
      <c r="E415">
        <v>0.63216510698545336</v>
      </c>
      <c r="F415">
        <f t="shared" si="28"/>
        <v>1</v>
      </c>
      <c r="G415" t="b">
        <f t="shared" si="29"/>
        <v>1</v>
      </c>
      <c r="H415">
        <v>0.49174408509253309</v>
      </c>
    </row>
    <row r="416" spans="1:8" x14ac:dyDescent="0.35">
      <c r="A416" s="13">
        <v>42964</v>
      </c>
      <c r="B416" s="14">
        <v>5146.8500000000004</v>
      </c>
      <c r="C416" s="2">
        <f t="shared" si="26"/>
        <v>-5.7489360797895461E-3</v>
      </c>
      <c r="D416">
        <f t="shared" si="27"/>
        <v>0</v>
      </c>
      <c r="E416">
        <v>0.72219205594952951</v>
      </c>
      <c r="F416">
        <f t="shared" si="28"/>
        <v>1</v>
      </c>
      <c r="G416" t="b">
        <f t="shared" si="29"/>
        <v>0</v>
      </c>
      <c r="H416">
        <v>0.49174310502241914</v>
      </c>
    </row>
    <row r="417" spans="1:8" x14ac:dyDescent="0.35">
      <c r="A417" s="13">
        <v>42965</v>
      </c>
      <c r="B417" s="14">
        <v>5114.1499999999996</v>
      </c>
      <c r="C417" s="2">
        <f t="shared" si="26"/>
        <v>-6.3534006236826146E-3</v>
      </c>
      <c r="D417">
        <f t="shared" si="27"/>
        <v>0</v>
      </c>
      <c r="E417">
        <v>0.65778546126027559</v>
      </c>
      <c r="F417">
        <f t="shared" si="28"/>
        <v>1</v>
      </c>
      <c r="G417" t="b">
        <f t="shared" si="29"/>
        <v>0</v>
      </c>
      <c r="H417">
        <v>0.4917418310256646</v>
      </c>
    </row>
    <row r="418" spans="1:8" x14ac:dyDescent="0.35">
      <c r="A418" s="13">
        <v>42968</v>
      </c>
      <c r="B418" s="14">
        <v>5087.59</v>
      </c>
      <c r="C418" s="2">
        <f t="shared" si="26"/>
        <v>-5.1934339039721999E-3</v>
      </c>
      <c r="D418">
        <f t="shared" si="27"/>
        <v>0</v>
      </c>
      <c r="E418">
        <v>0.4530130019904719</v>
      </c>
      <c r="F418">
        <f t="shared" si="28"/>
        <v>0</v>
      </c>
      <c r="G418" t="b">
        <f t="shared" si="29"/>
        <v>1</v>
      </c>
      <c r="H418">
        <v>0.49174169864817452</v>
      </c>
    </row>
    <row r="419" spans="1:8" x14ac:dyDescent="0.35">
      <c r="A419" s="13">
        <v>42969</v>
      </c>
      <c r="B419" s="14">
        <v>5131.8599999999997</v>
      </c>
      <c r="C419" s="2">
        <f t="shared" si="26"/>
        <v>8.7015659673832513E-3</v>
      </c>
      <c r="D419">
        <f t="shared" si="27"/>
        <v>1</v>
      </c>
      <c r="E419">
        <v>0.33262292242549352</v>
      </c>
      <c r="F419">
        <f t="shared" si="28"/>
        <v>0</v>
      </c>
      <c r="G419" t="b">
        <f t="shared" si="29"/>
        <v>0</v>
      </c>
      <c r="H419">
        <v>0.49174232722068634</v>
      </c>
    </row>
    <row r="420" spans="1:8" x14ac:dyDescent="0.35">
      <c r="A420" s="13">
        <v>42970</v>
      </c>
      <c r="B420" s="14">
        <v>5115.3900000000003</v>
      </c>
      <c r="C420" s="2">
        <f t="shared" si="26"/>
        <v>-3.2093626872127246E-3</v>
      </c>
      <c r="D420">
        <f t="shared" si="27"/>
        <v>0</v>
      </c>
      <c r="E420">
        <v>0.49719738523844886</v>
      </c>
      <c r="F420">
        <f t="shared" si="28"/>
        <v>0</v>
      </c>
      <c r="G420" t="b">
        <f t="shared" si="29"/>
        <v>1</v>
      </c>
      <c r="H420">
        <v>0.49174156800166674</v>
      </c>
    </row>
    <row r="421" spans="1:8" x14ac:dyDescent="0.35">
      <c r="A421" s="13">
        <v>42971</v>
      </c>
      <c r="B421" s="14">
        <v>5113.13</v>
      </c>
      <c r="C421" s="2">
        <f t="shared" si="26"/>
        <v>-4.4180404622129466E-4</v>
      </c>
      <c r="D421">
        <f t="shared" si="27"/>
        <v>0</v>
      </c>
      <c r="E421">
        <v>0.35736135376232531</v>
      </c>
      <c r="F421">
        <f t="shared" si="28"/>
        <v>0</v>
      </c>
      <c r="G421" t="b">
        <f t="shared" si="29"/>
        <v>1</v>
      </c>
      <c r="H421">
        <v>0.4917414965150268</v>
      </c>
    </row>
    <row r="422" spans="1:8" x14ac:dyDescent="0.35">
      <c r="A422" s="13">
        <v>42972</v>
      </c>
      <c r="B422" s="14">
        <v>5104.33</v>
      </c>
      <c r="C422" s="2">
        <f t="shared" si="26"/>
        <v>-1.721059312006612E-3</v>
      </c>
      <c r="D422">
        <f t="shared" si="27"/>
        <v>0</v>
      </c>
      <c r="E422">
        <v>0.27125857464808895</v>
      </c>
      <c r="F422">
        <f t="shared" si="28"/>
        <v>0</v>
      </c>
      <c r="G422" t="b">
        <f t="shared" si="29"/>
        <v>1</v>
      </c>
      <c r="H422">
        <v>0.49174108378511244</v>
      </c>
    </row>
    <row r="423" spans="1:8" x14ac:dyDescent="0.35">
      <c r="A423" s="13">
        <v>42975</v>
      </c>
      <c r="B423" s="14">
        <v>5079.75</v>
      </c>
      <c r="C423" s="2">
        <f t="shared" si="26"/>
        <v>-4.8155193727678069E-3</v>
      </c>
      <c r="D423">
        <f t="shared" si="27"/>
        <v>0</v>
      </c>
      <c r="E423">
        <v>0.23528258041873445</v>
      </c>
      <c r="F423">
        <f t="shared" si="28"/>
        <v>0</v>
      </c>
      <c r="G423" t="b">
        <f t="shared" si="29"/>
        <v>1</v>
      </c>
      <c r="H423">
        <v>0.49174077911430469</v>
      </c>
    </row>
    <row r="424" spans="1:8" x14ac:dyDescent="0.35">
      <c r="A424" s="13">
        <v>42976</v>
      </c>
      <c r="B424" s="14">
        <v>5031.92</v>
      </c>
      <c r="C424" s="2">
        <f t="shared" si="26"/>
        <v>-9.415817707564389E-3</v>
      </c>
      <c r="D424">
        <f t="shared" si="27"/>
        <v>0</v>
      </c>
      <c r="E424">
        <v>0.19842854156198719</v>
      </c>
      <c r="F424">
        <f t="shared" si="28"/>
        <v>0</v>
      </c>
      <c r="G424" t="b">
        <f t="shared" si="29"/>
        <v>1</v>
      </c>
      <c r="H424">
        <v>0.49174053779438948</v>
      </c>
    </row>
    <row r="425" spans="1:8" x14ac:dyDescent="0.35">
      <c r="A425" s="13">
        <v>42977</v>
      </c>
      <c r="B425" s="14">
        <v>5056.34</v>
      </c>
      <c r="C425" s="2">
        <f t="shared" si="26"/>
        <v>4.8530183309751784E-3</v>
      </c>
      <c r="D425">
        <f t="shared" si="27"/>
        <v>1</v>
      </c>
      <c r="E425">
        <v>0.17814378198836542</v>
      </c>
      <c r="F425">
        <f t="shared" si="28"/>
        <v>0</v>
      </c>
      <c r="G425" t="b">
        <f t="shared" si="29"/>
        <v>0</v>
      </c>
      <c r="H425">
        <v>0.49174119760054591</v>
      </c>
    </row>
    <row r="426" spans="1:8" x14ac:dyDescent="0.35">
      <c r="A426" s="13">
        <v>42978</v>
      </c>
      <c r="B426" s="14">
        <v>5085.59</v>
      </c>
      <c r="C426" s="2">
        <f t="shared" si="26"/>
        <v>5.7848166855867245E-3</v>
      </c>
      <c r="D426">
        <f t="shared" si="27"/>
        <v>1</v>
      </c>
      <c r="E426">
        <v>0.23169234186047649</v>
      </c>
      <c r="F426">
        <f t="shared" si="28"/>
        <v>0</v>
      </c>
      <c r="G426" t="b">
        <f t="shared" si="29"/>
        <v>0</v>
      </c>
      <c r="H426">
        <v>0.49174215489643885</v>
      </c>
    </row>
    <row r="427" spans="1:8" x14ac:dyDescent="0.35">
      <c r="A427" s="13">
        <v>42979</v>
      </c>
      <c r="B427" s="14">
        <v>5123.26</v>
      </c>
      <c r="C427" s="2">
        <f t="shared" si="26"/>
        <v>7.4072034906471629E-3</v>
      </c>
      <c r="D427">
        <f t="shared" si="27"/>
        <v>1</v>
      </c>
      <c r="E427">
        <v>0.40283618916739194</v>
      </c>
      <c r="F427">
        <f t="shared" si="28"/>
        <v>0</v>
      </c>
      <c r="G427" t="b">
        <f t="shared" si="29"/>
        <v>0</v>
      </c>
      <c r="H427">
        <v>0.49174229603733616</v>
      </c>
    </row>
    <row r="428" spans="1:8" x14ac:dyDescent="0.35">
      <c r="A428" s="13">
        <v>42982</v>
      </c>
      <c r="B428" s="14">
        <v>5103.97</v>
      </c>
      <c r="C428" s="2">
        <f t="shared" si="26"/>
        <v>-3.7651807638104939E-3</v>
      </c>
      <c r="D428">
        <f t="shared" si="27"/>
        <v>0</v>
      </c>
      <c r="E428">
        <v>0.56247387228999057</v>
      </c>
      <c r="F428">
        <f t="shared" si="28"/>
        <v>1</v>
      </c>
      <c r="G428" t="b">
        <f t="shared" si="29"/>
        <v>0</v>
      </c>
      <c r="H428">
        <v>0.49174095489885955</v>
      </c>
    </row>
    <row r="429" spans="1:8" x14ac:dyDescent="0.35">
      <c r="A429" s="13">
        <v>42983</v>
      </c>
      <c r="B429" s="14">
        <v>5086.5600000000004</v>
      </c>
      <c r="C429" s="2">
        <f t="shared" si="26"/>
        <v>-3.4110702061336262E-3</v>
      </c>
      <c r="D429">
        <f t="shared" si="27"/>
        <v>0</v>
      </c>
      <c r="E429">
        <v>0.44191391790647599</v>
      </c>
      <c r="F429">
        <f t="shared" si="28"/>
        <v>0</v>
      </c>
      <c r="G429" t="b">
        <f t="shared" si="29"/>
        <v>1</v>
      </c>
      <c r="H429">
        <v>0.49174030618235637</v>
      </c>
    </row>
    <row r="430" spans="1:8" x14ac:dyDescent="0.35">
      <c r="A430" s="13">
        <v>42984</v>
      </c>
      <c r="B430" s="14">
        <v>5101.41</v>
      </c>
      <c r="C430" s="2">
        <f t="shared" si="26"/>
        <v>2.9194583372651461E-3</v>
      </c>
      <c r="D430">
        <f t="shared" si="27"/>
        <v>1</v>
      </c>
      <c r="E430">
        <v>0.34811793396417107</v>
      </c>
      <c r="F430">
        <f t="shared" si="28"/>
        <v>0</v>
      </c>
      <c r="G430" t="b">
        <f t="shared" si="29"/>
        <v>0</v>
      </c>
      <c r="H430">
        <v>0.49174105047959643</v>
      </c>
    </row>
    <row r="431" spans="1:8" x14ac:dyDescent="0.35">
      <c r="A431" s="13">
        <v>42985</v>
      </c>
      <c r="B431" s="14">
        <v>5114.62</v>
      </c>
      <c r="C431" s="2">
        <f t="shared" si="26"/>
        <v>2.5894801633274955E-3</v>
      </c>
      <c r="D431">
        <f t="shared" si="27"/>
        <v>1</v>
      </c>
      <c r="E431">
        <v>0.47263277461683967</v>
      </c>
      <c r="F431">
        <f t="shared" si="28"/>
        <v>0</v>
      </c>
      <c r="G431" t="b">
        <f t="shared" si="29"/>
        <v>0</v>
      </c>
      <c r="H431">
        <v>0.4917420670367082</v>
      </c>
    </row>
    <row r="432" spans="1:8" x14ac:dyDescent="0.35">
      <c r="A432" s="13">
        <v>42986</v>
      </c>
      <c r="B432" s="14">
        <v>5113.49</v>
      </c>
      <c r="C432" s="2">
        <f t="shared" si="26"/>
        <v>-2.2093527964939241E-4</v>
      </c>
      <c r="D432">
        <f t="shared" si="27"/>
        <v>0</v>
      </c>
      <c r="E432">
        <v>0.6356489513801612</v>
      </c>
      <c r="F432">
        <f t="shared" si="28"/>
        <v>1</v>
      </c>
      <c r="G432" t="b">
        <f t="shared" si="29"/>
        <v>0</v>
      </c>
      <c r="H432">
        <v>0.49174087237061126</v>
      </c>
    </row>
    <row r="433" spans="1:8" x14ac:dyDescent="0.35">
      <c r="A433" s="13">
        <v>42989</v>
      </c>
      <c r="B433" s="14">
        <v>5176.71</v>
      </c>
      <c r="C433" s="2">
        <f t="shared" si="26"/>
        <v>1.2363376089520095E-2</v>
      </c>
      <c r="D433">
        <f t="shared" si="27"/>
        <v>1</v>
      </c>
      <c r="E433">
        <v>0.50695991226544845</v>
      </c>
      <c r="F433">
        <f t="shared" si="28"/>
        <v>1</v>
      </c>
      <c r="G433" t="b">
        <f t="shared" si="29"/>
        <v>1</v>
      </c>
      <c r="H433">
        <v>0.49174108152956031</v>
      </c>
    </row>
    <row r="434" spans="1:8" x14ac:dyDescent="0.35">
      <c r="A434" s="13">
        <v>42990</v>
      </c>
      <c r="B434" s="14">
        <v>5209.01</v>
      </c>
      <c r="C434" s="2">
        <f t="shared" si="26"/>
        <v>6.2394841511308474E-3</v>
      </c>
      <c r="D434">
        <f t="shared" si="27"/>
        <v>1</v>
      </c>
      <c r="E434">
        <v>0.62053873725590669</v>
      </c>
      <c r="F434">
        <f t="shared" si="28"/>
        <v>1</v>
      </c>
      <c r="G434" t="b">
        <f t="shared" si="29"/>
        <v>1</v>
      </c>
      <c r="H434">
        <v>0.4917413511654869</v>
      </c>
    </row>
    <row r="435" spans="1:8" x14ac:dyDescent="0.35">
      <c r="A435" s="13">
        <v>42991</v>
      </c>
      <c r="B435" s="14">
        <v>5217.59</v>
      </c>
      <c r="C435" s="2">
        <f t="shared" si="26"/>
        <v>1.6471460027913665E-3</v>
      </c>
      <c r="D435">
        <f t="shared" si="27"/>
        <v>1</v>
      </c>
      <c r="E435">
        <v>0.68836021737775344</v>
      </c>
      <c r="F435">
        <f t="shared" si="28"/>
        <v>1</v>
      </c>
      <c r="G435" t="b">
        <f t="shared" si="29"/>
        <v>1</v>
      </c>
      <c r="H435">
        <v>0.49174187231189892</v>
      </c>
    </row>
    <row r="436" spans="1:8" x14ac:dyDescent="0.35">
      <c r="A436" s="13">
        <v>42992</v>
      </c>
      <c r="B436" s="14">
        <v>5225.2</v>
      </c>
      <c r="C436" s="2">
        <f t="shared" si="26"/>
        <v>1.4585277877332548E-3</v>
      </c>
      <c r="D436">
        <f t="shared" si="27"/>
        <v>1</v>
      </c>
      <c r="E436">
        <v>0.74945630651447082</v>
      </c>
      <c r="F436">
        <f t="shared" si="28"/>
        <v>1</v>
      </c>
      <c r="G436" t="b">
        <f t="shared" si="29"/>
        <v>1</v>
      </c>
      <c r="H436">
        <v>0.49174217829784828</v>
      </c>
    </row>
    <row r="437" spans="1:8" x14ac:dyDescent="0.35">
      <c r="A437" s="13">
        <v>42993</v>
      </c>
      <c r="B437" s="14">
        <v>5213.91</v>
      </c>
      <c r="C437" s="2">
        <f t="shared" si="26"/>
        <v>-2.1606828446757431E-3</v>
      </c>
      <c r="D437">
        <f t="shared" si="27"/>
        <v>0</v>
      </c>
      <c r="E437">
        <v>0.77803106980378378</v>
      </c>
      <c r="F437">
        <f t="shared" si="28"/>
        <v>1</v>
      </c>
      <c r="G437" t="b">
        <f t="shared" si="29"/>
        <v>0</v>
      </c>
      <c r="H437">
        <v>0.49174143085032207</v>
      </c>
    </row>
    <row r="438" spans="1:8" x14ac:dyDescent="0.35">
      <c r="A438" s="13">
        <v>42996</v>
      </c>
      <c r="B438" s="14">
        <v>5229.32</v>
      </c>
      <c r="C438" s="2">
        <f t="shared" si="26"/>
        <v>2.9555554276923246E-3</v>
      </c>
      <c r="D438">
        <f t="shared" si="27"/>
        <v>1</v>
      </c>
      <c r="E438">
        <v>0.65061319743409485</v>
      </c>
      <c r="F438">
        <f t="shared" si="28"/>
        <v>1</v>
      </c>
      <c r="G438" t="b">
        <f t="shared" si="29"/>
        <v>1</v>
      </c>
      <c r="H438">
        <v>0.49174159675986101</v>
      </c>
    </row>
    <row r="439" spans="1:8" x14ac:dyDescent="0.35">
      <c r="A439" s="13">
        <v>42997</v>
      </c>
      <c r="B439" s="14">
        <v>5237.4399999999996</v>
      </c>
      <c r="C439" s="2">
        <f t="shared" si="26"/>
        <v>1.552783153450088E-3</v>
      </c>
      <c r="D439">
        <f t="shared" si="27"/>
        <v>1</v>
      </c>
      <c r="E439">
        <v>0.71905757613205812</v>
      </c>
      <c r="F439">
        <f t="shared" si="28"/>
        <v>1</v>
      </c>
      <c r="G439" t="b">
        <f t="shared" si="29"/>
        <v>1</v>
      </c>
      <c r="H439">
        <v>0.49174165855960994</v>
      </c>
    </row>
    <row r="440" spans="1:8" x14ac:dyDescent="0.35">
      <c r="A440" s="13">
        <v>42998</v>
      </c>
      <c r="B440" s="14">
        <v>5241.66</v>
      </c>
      <c r="C440" s="2">
        <f t="shared" si="26"/>
        <v>8.0573715402953994E-4</v>
      </c>
      <c r="D440">
        <f t="shared" si="27"/>
        <v>1</v>
      </c>
      <c r="E440">
        <v>0.76589510493753421</v>
      </c>
      <c r="F440">
        <f t="shared" si="28"/>
        <v>1</v>
      </c>
      <c r="G440" t="b">
        <f t="shared" si="29"/>
        <v>1</v>
      </c>
      <c r="H440">
        <v>0.49174197950379972</v>
      </c>
    </row>
    <row r="441" spans="1:8" x14ac:dyDescent="0.35">
      <c r="A441" s="13">
        <v>42999</v>
      </c>
      <c r="B441" s="14">
        <v>5267.29</v>
      </c>
      <c r="C441" s="2">
        <f t="shared" si="26"/>
        <v>4.8896723557041444E-3</v>
      </c>
      <c r="D441">
        <f t="shared" si="27"/>
        <v>1</v>
      </c>
      <c r="E441">
        <v>0.798417690761689</v>
      </c>
      <c r="F441">
        <f t="shared" si="28"/>
        <v>1</v>
      </c>
      <c r="G441" t="b">
        <f t="shared" si="29"/>
        <v>1</v>
      </c>
      <c r="H441">
        <v>0.49174213422858015</v>
      </c>
    </row>
    <row r="442" spans="1:8" x14ac:dyDescent="0.35">
      <c r="A442" s="13">
        <v>43000</v>
      </c>
      <c r="B442" s="14">
        <v>5281.29</v>
      </c>
      <c r="C442" s="2">
        <f t="shared" si="26"/>
        <v>2.6579132722899246E-3</v>
      </c>
      <c r="D442">
        <f t="shared" si="27"/>
        <v>1</v>
      </c>
      <c r="E442">
        <v>0.82627818006668985</v>
      </c>
      <c r="F442">
        <f t="shared" si="28"/>
        <v>1</v>
      </c>
      <c r="G442" t="b">
        <f t="shared" si="29"/>
        <v>1</v>
      </c>
      <c r="H442">
        <v>0.49174234951401241</v>
      </c>
    </row>
    <row r="443" spans="1:8" x14ac:dyDescent="0.35">
      <c r="A443" s="13">
        <v>43003</v>
      </c>
      <c r="B443" s="14">
        <v>5267.13</v>
      </c>
      <c r="C443" s="2">
        <f t="shared" si="26"/>
        <v>-2.6811631249182843E-3</v>
      </c>
      <c r="D443">
        <f t="shared" si="27"/>
        <v>0</v>
      </c>
      <c r="E443">
        <v>0.83795222009025616</v>
      </c>
      <c r="F443">
        <f t="shared" si="28"/>
        <v>1</v>
      </c>
      <c r="G443" t="b">
        <f t="shared" si="29"/>
        <v>0</v>
      </c>
      <c r="H443">
        <v>0.49174207832942779</v>
      </c>
    </row>
    <row r="444" spans="1:8" x14ac:dyDescent="0.35">
      <c r="A444" s="13">
        <v>43004</v>
      </c>
      <c r="B444" s="14">
        <v>5268.76</v>
      </c>
      <c r="C444" s="2">
        <f t="shared" si="26"/>
        <v>3.094664456735341E-4</v>
      </c>
      <c r="D444">
        <f t="shared" si="27"/>
        <v>1</v>
      </c>
      <c r="E444">
        <v>0.7796594787243345</v>
      </c>
      <c r="F444">
        <f t="shared" si="28"/>
        <v>1</v>
      </c>
      <c r="G444" t="b">
        <f t="shared" si="29"/>
        <v>1</v>
      </c>
      <c r="H444">
        <v>0.49174219340422609</v>
      </c>
    </row>
    <row r="445" spans="1:8" x14ac:dyDescent="0.35">
      <c r="A445" s="13">
        <v>43005</v>
      </c>
      <c r="B445" s="14">
        <v>5281.96</v>
      </c>
      <c r="C445" s="2">
        <f t="shared" si="26"/>
        <v>2.5053333232107899E-3</v>
      </c>
      <c r="D445">
        <f t="shared" si="27"/>
        <v>1</v>
      </c>
      <c r="E445">
        <v>0.80351175127006036</v>
      </c>
      <c r="F445">
        <f t="shared" si="28"/>
        <v>1</v>
      </c>
      <c r="G445" t="b">
        <f t="shared" si="29"/>
        <v>1</v>
      </c>
      <c r="H445">
        <v>0.49174228514479562</v>
      </c>
    </row>
    <row r="446" spans="1:8" x14ac:dyDescent="0.35">
      <c r="A446" s="13">
        <v>43006</v>
      </c>
      <c r="B446" s="14">
        <v>5293.77</v>
      </c>
      <c r="C446" s="2">
        <f t="shared" si="26"/>
        <v>2.2359124264479391E-3</v>
      </c>
      <c r="D446">
        <f t="shared" si="27"/>
        <v>1</v>
      </c>
      <c r="E446">
        <v>0.82156764522403603</v>
      </c>
      <c r="F446">
        <f t="shared" si="28"/>
        <v>1</v>
      </c>
      <c r="G446" t="b">
        <f t="shared" si="29"/>
        <v>1</v>
      </c>
      <c r="H446">
        <v>0.49174239053757696</v>
      </c>
    </row>
    <row r="447" spans="1:8" x14ac:dyDescent="0.35">
      <c r="A447" s="13">
        <v>43007</v>
      </c>
      <c r="B447" s="14">
        <v>5329.81</v>
      </c>
      <c r="C447" s="2">
        <f t="shared" si="26"/>
        <v>6.8080026143939598E-3</v>
      </c>
      <c r="D447">
        <f t="shared" si="27"/>
        <v>1</v>
      </c>
      <c r="E447">
        <v>0.83488457168913044</v>
      </c>
      <c r="F447">
        <f t="shared" si="28"/>
        <v>1</v>
      </c>
      <c r="G447" t="b">
        <f t="shared" si="29"/>
        <v>1</v>
      </c>
      <c r="H447">
        <v>0.49174259239704521</v>
      </c>
    </row>
    <row r="448" spans="1:8" x14ac:dyDescent="0.35">
      <c r="A448" s="13">
        <v>43010</v>
      </c>
      <c r="B448" s="14">
        <v>5350.44</v>
      </c>
      <c r="C448" s="2">
        <f t="shared" si="26"/>
        <v>3.8706820693419353E-3</v>
      </c>
      <c r="D448">
        <f t="shared" si="27"/>
        <v>1</v>
      </c>
      <c r="E448">
        <v>0.85042576185119756</v>
      </c>
      <c r="F448">
        <f t="shared" si="28"/>
        <v>1</v>
      </c>
      <c r="G448" t="b">
        <f t="shared" si="29"/>
        <v>1</v>
      </c>
      <c r="H448">
        <v>0.49174262124115703</v>
      </c>
    </row>
    <row r="449" spans="1:8" x14ac:dyDescent="0.35">
      <c r="A449" s="13">
        <v>43011</v>
      </c>
      <c r="B449" s="14">
        <v>5367.41</v>
      </c>
      <c r="C449" s="2">
        <f t="shared" si="26"/>
        <v>3.1717017665837677E-3</v>
      </c>
      <c r="D449">
        <f t="shared" si="27"/>
        <v>1</v>
      </c>
      <c r="E449">
        <v>0.86160014315977185</v>
      </c>
      <c r="F449">
        <f t="shared" si="28"/>
        <v>1</v>
      </c>
      <c r="G449" t="b">
        <f t="shared" si="29"/>
        <v>1</v>
      </c>
      <c r="H449">
        <v>0.4917427251372497</v>
      </c>
    </row>
    <row r="450" spans="1:8" x14ac:dyDescent="0.35">
      <c r="A450" s="13">
        <v>43013</v>
      </c>
      <c r="B450" s="14">
        <v>5379.21</v>
      </c>
      <c r="C450" s="2">
        <f t="shared" si="26"/>
        <v>2.1984532577166149E-3</v>
      </c>
      <c r="D450">
        <f t="shared" si="27"/>
        <v>1</v>
      </c>
      <c r="E450">
        <v>0.8712579679595106</v>
      </c>
      <c r="F450">
        <f t="shared" si="28"/>
        <v>1</v>
      </c>
      <c r="G450" t="b">
        <f t="shared" si="29"/>
        <v>1</v>
      </c>
      <c r="H450">
        <v>0.49174272867544871</v>
      </c>
    </row>
    <row r="451" spans="1:8" x14ac:dyDescent="0.35">
      <c r="A451" s="13">
        <v>43014</v>
      </c>
      <c r="B451" s="14">
        <v>5359.9</v>
      </c>
      <c r="C451" s="2">
        <f t="shared" si="26"/>
        <v>-3.5897464497575138E-3</v>
      </c>
      <c r="D451">
        <f t="shared" si="27"/>
        <v>0</v>
      </c>
      <c r="E451">
        <v>0.8755030722427134</v>
      </c>
      <c r="F451">
        <f t="shared" si="28"/>
        <v>1</v>
      </c>
      <c r="G451" t="b">
        <f t="shared" si="29"/>
        <v>0</v>
      </c>
      <c r="H451">
        <v>0.49174190879928553</v>
      </c>
    </row>
    <row r="452" spans="1:8" x14ac:dyDescent="0.35">
      <c r="A452" s="13">
        <v>43017</v>
      </c>
      <c r="B452" s="14">
        <v>5365.83</v>
      </c>
      <c r="C452" s="2">
        <f t="shared" ref="C452:C515" si="30">(B452/B451)-1</f>
        <v>1.1063639247002044E-3</v>
      </c>
      <c r="D452">
        <f t="shared" si="27"/>
        <v>1</v>
      </c>
      <c r="E452">
        <v>0.83432183137074745</v>
      </c>
      <c r="F452">
        <f t="shared" si="28"/>
        <v>1</v>
      </c>
      <c r="G452" t="b">
        <f t="shared" si="29"/>
        <v>1</v>
      </c>
      <c r="H452">
        <v>0.49174211401314383</v>
      </c>
    </row>
    <row r="453" spans="1:8" x14ac:dyDescent="0.35">
      <c r="A453" s="13">
        <v>43018</v>
      </c>
      <c r="B453" s="14">
        <v>5363.65</v>
      </c>
      <c r="C453" s="2">
        <f t="shared" si="30"/>
        <v>-4.0627451857411234E-4</v>
      </c>
      <c r="D453">
        <f t="shared" si="27"/>
        <v>0</v>
      </c>
      <c r="E453">
        <v>0.85242253389177791</v>
      </c>
      <c r="F453">
        <f t="shared" si="28"/>
        <v>1</v>
      </c>
      <c r="G453" t="b">
        <f t="shared" si="29"/>
        <v>0</v>
      </c>
      <c r="H453">
        <v>0.49174173484859501</v>
      </c>
    </row>
    <row r="454" spans="1:8" x14ac:dyDescent="0.35">
      <c r="A454" s="13">
        <v>43019</v>
      </c>
      <c r="B454" s="14">
        <v>5362.41</v>
      </c>
      <c r="C454" s="2">
        <f t="shared" si="30"/>
        <v>-2.3118585291725946E-4</v>
      </c>
      <c r="D454">
        <f t="shared" ref="D454:D517" si="31">IF(C454&gt;=0,1,0)</f>
        <v>0</v>
      </c>
      <c r="E454">
        <v>0.7853832881258116</v>
      </c>
      <c r="F454">
        <f t="shared" si="28"/>
        <v>1</v>
      </c>
      <c r="G454" t="b">
        <f t="shared" si="29"/>
        <v>0</v>
      </c>
      <c r="H454">
        <v>0.49174149222062796</v>
      </c>
    </row>
    <row r="455" spans="1:8" x14ac:dyDescent="0.35">
      <c r="A455" s="13">
        <v>43020</v>
      </c>
      <c r="B455" s="14">
        <v>5360.81</v>
      </c>
      <c r="C455" s="2">
        <f t="shared" si="30"/>
        <v>-2.9837330603210699E-4</v>
      </c>
      <c r="D455">
        <f t="shared" si="31"/>
        <v>0</v>
      </c>
      <c r="E455">
        <v>0.66850423909649537</v>
      </c>
      <c r="F455">
        <f t="shared" si="28"/>
        <v>1</v>
      </c>
      <c r="G455" t="b">
        <f t="shared" si="29"/>
        <v>0</v>
      </c>
      <c r="H455">
        <v>0.49174109833889618</v>
      </c>
    </row>
    <row r="456" spans="1:8" x14ac:dyDescent="0.35">
      <c r="A456" s="13">
        <v>43021</v>
      </c>
      <c r="B456" s="14">
        <v>5351.74</v>
      </c>
      <c r="C456" s="2">
        <f t="shared" si="30"/>
        <v>-1.6919084989023281E-3</v>
      </c>
      <c r="D456">
        <f t="shared" si="31"/>
        <v>0</v>
      </c>
      <c r="E456">
        <v>0.4872278724380853</v>
      </c>
      <c r="F456">
        <f t="shared" si="28"/>
        <v>0</v>
      </c>
      <c r="G456" t="b">
        <f t="shared" si="29"/>
        <v>1</v>
      </c>
      <c r="H456">
        <v>0.49174088884092393</v>
      </c>
    </row>
    <row r="457" spans="1:8" x14ac:dyDescent="0.35">
      <c r="A457" s="13">
        <v>43024</v>
      </c>
      <c r="B457" s="14">
        <v>5362.88</v>
      </c>
      <c r="C457" s="2">
        <f t="shared" si="30"/>
        <v>2.0815659953585808E-3</v>
      </c>
      <c r="D457">
        <f t="shared" si="31"/>
        <v>1</v>
      </c>
      <c r="E457">
        <v>0.36874847381102638</v>
      </c>
      <c r="F457">
        <f t="shared" ref="F457:F520" si="32">IF(E457&gt;=0.5,1,0)</f>
        <v>0</v>
      </c>
      <c r="G457" t="b">
        <f t="shared" ref="G457:G520" si="33">IF(D457=F457,TRUE,FALSE)</f>
        <v>0</v>
      </c>
      <c r="H457">
        <v>0.49174132813966892</v>
      </c>
    </row>
    <row r="458" spans="1:8" x14ac:dyDescent="0.35">
      <c r="A458" s="13">
        <v>43025</v>
      </c>
      <c r="B458" s="14">
        <v>5361.37</v>
      </c>
      <c r="C458" s="2">
        <f t="shared" si="30"/>
        <v>-2.8156512918431353E-4</v>
      </c>
      <c r="D458">
        <f t="shared" si="31"/>
        <v>0</v>
      </c>
      <c r="E458">
        <v>0.51360641537996099</v>
      </c>
      <c r="F458">
        <f t="shared" si="32"/>
        <v>1</v>
      </c>
      <c r="G458" t="b">
        <f t="shared" si="33"/>
        <v>0</v>
      </c>
      <c r="H458">
        <v>0.49174053241893995</v>
      </c>
    </row>
    <row r="459" spans="1:8" x14ac:dyDescent="0.35">
      <c r="A459" s="13">
        <v>43027</v>
      </c>
      <c r="B459" s="14">
        <v>5368.29</v>
      </c>
      <c r="C459" s="2">
        <f t="shared" si="30"/>
        <v>1.2907148732506091E-3</v>
      </c>
      <c r="D459">
        <f t="shared" si="31"/>
        <v>1</v>
      </c>
      <c r="E459">
        <v>0.36577116950691679</v>
      </c>
      <c r="F459">
        <f t="shared" si="32"/>
        <v>0</v>
      </c>
      <c r="G459" t="b">
        <f t="shared" si="33"/>
        <v>0</v>
      </c>
      <c r="H459">
        <v>0.4917414807575588</v>
      </c>
    </row>
    <row r="460" spans="1:8" x14ac:dyDescent="0.35">
      <c r="A460" s="13">
        <v>43028</v>
      </c>
      <c r="B460" s="14">
        <v>5372.38</v>
      </c>
      <c r="C460" s="2">
        <f t="shared" si="30"/>
        <v>7.6188134396626417E-4</v>
      </c>
      <c r="D460">
        <f t="shared" si="31"/>
        <v>1</v>
      </c>
      <c r="E460">
        <v>0.47802186006236758</v>
      </c>
      <c r="F460">
        <f t="shared" si="32"/>
        <v>0</v>
      </c>
      <c r="G460" t="b">
        <f t="shared" si="33"/>
        <v>0</v>
      </c>
      <c r="H460">
        <v>0.49174233457957711</v>
      </c>
    </row>
    <row r="461" spans="1:8" x14ac:dyDescent="0.35">
      <c r="A461" s="13">
        <v>43031</v>
      </c>
      <c r="B461" s="14">
        <v>5386.81</v>
      </c>
      <c r="C461" s="2">
        <f t="shared" si="30"/>
        <v>2.6859604123312675E-3</v>
      </c>
      <c r="D461">
        <f t="shared" si="31"/>
        <v>1</v>
      </c>
      <c r="E461">
        <v>0.59504779293167087</v>
      </c>
      <c r="F461">
        <f t="shared" si="32"/>
        <v>1</v>
      </c>
      <c r="G461" t="b">
        <f t="shared" si="33"/>
        <v>1</v>
      </c>
      <c r="H461">
        <v>0.4917426675165335</v>
      </c>
    </row>
    <row r="462" spans="1:8" x14ac:dyDescent="0.35">
      <c r="A462" s="13">
        <v>43032</v>
      </c>
      <c r="B462" s="14">
        <v>5394.8</v>
      </c>
      <c r="C462" s="2">
        <f t="shared" si="30"/>
        <v>1.4832526114714195E-3</v>
      </c>
      <c r="D462">
        <f t="shared" si="31"/>
        <v>1</v>
      </c>
      <c r="E462">
        <v>0.68469008748781479</v>
      </c>
      <c r="F462">
        <f t="shared" si="32"/>
        <v>1</v>
      </c>
      <c r="G462" t="b">
        <f t="shared" si="33"/>
        <v>1</v>
      </c>
      <c r="H462">
        <v>0.49174323905720452</v>
      </c>
    </row>
    <row r="463" spans="1:8" x14ac:dyDescent="0.35">
      <c r="A463" s="13">
        <v>43033</v>
      </c>
      <c r="B463" s="14">
        <v>5374.89</v>
      </c>
      <c r="C463" s="2">
        <f t="shared" si="30"/>
        <v>-3.690590939423144E-3</v>
      </c>
      <c r="D463">
        <f t="shared" si="31"/>
        <v>0</v>
      </c>
      <c r="E463">
        <v>0.74955541455782293</v>
      </c>
      <c r="F463">
        <f t="shared" si="32"/>
        <v>1</v>
      </c>
      <c r="G463" t="b">
        <f t="shared" si="33"/>
        <v>0</v>
      </c>
      <c r="H463">
        <v>0.49174245123855104</v>
      </c>
    </row>
    <row r="464" spans="1:8" x14ac:dyDescent="0.35">
      <c r="A464" s="13">
        <v>43034</v>
      </c>
      <c r="B464" s="14">
        <v>5455.4</v>
      </c>
      <c r="C464" s="2">
        <f t="shared" si="30"/>
        <v>1.4978911196322109E-2</v>
      </c>
      <c r="D464">
        <f t="shared" si="31"/>
        <v>1</v>
      </c>
      <c r="E464">
        <v>0.64464543379625916</v>
      </c>
      <c r="F464">
        <f t="shared" si="32"/>
        <v>1</v>
      </c>
      <c r="G464" t="b">
        <f t="shared" si="33"/>
        <v>1</v>
      </c>
      <c r="H464">
        <v>0.49174280528087544</v>
      </c>
    </row>
    <row r="465" spans="1:8" x14ac:dyDescent="0.35">
      <c r="A465" s="13">
        <v>43035</v>
      </c>
      <c r="B465" s="14">
        <v>5494.13</v>
      </c>
      <c r="C465" s="2">
        <f t="shared" si="30"/>
        <v>7.0993877625840085E-3</v>
      </c>
      <c r="D465">
        <f t="shared" si="31"/>
        <v>1</v>
      </c>
      <c r="E465">
        <v>0.73208078421164446</v>
      </c>
      <c r="F465">
        <f t="shared" si="32"/>
        <v>1</v>
      </c>
      <c r="G465" t="b">
        <f t="shared" si="33"/>
        <v>1</v>
      </c>
      <c r="H465">
        <v>0.49174328793276834</v>
      </c>
    </row>
    <row r="466" spans="1:8" x14ac:dyDescent="0.35">
      <c r="A466" s="13">
        <v>43039</v>
      </c>
      <c r="B466" s="14">
        <v>5503.29</v>
      </c>
      <c r="C466" s="2">
        <f t="shared" si="30"/>
        <v>1.6672339387673318E-3</v>
      </c>
      <c r="D466">
        <f t="shared" si="31"/>
        <v>1</v>
      </c>
      <c r="E466">
        <v>0.76755816173026659</v>
      </c>
      <c r="F466">
        <f t="shared" si="32"/>
        <v>1</v>
      </c>
      <c r="G466" t="b">
        <f t="shared" si="33"/>
        <v>1</v>
      </c>
      <c r="H466">
        <v>0.49174358010819796</v>
      </c>
    </row>
    <row r="467" spans="1:8" x14ac:dyDescent="0.35">
      <c r="A467" s="13">
        <v>43040</v>
      </c>
      <c r="B467" s="14">
        <v>5514.29</v>
      </c>
      <c r="C467" s="2">
        <f t="shared" si="30"/>
        <v>1.9988043515788423E-3</v>
      </c>
      <c r="D467">
        <f t="shared" si="31"/>
        <v>1</v>
      </c>
      <c r="E467">
        <v>0.80744336838876485</v>
      </c>
      <c r="F467">
        <f t="shared" si="32"/>
        <v>1</v>
      </c>
      <c r="G467" t="b">
        <f t="shared" si="33"/>
        <v>1</v>
      </c>
      <c r="H467">
        <v>0.49174381545493029</v>
      </c>
    </row>
    <row r="468" spans="1:8" x14ac:dyDescent="0.35">
      <c r="A468" s="13">
        <v>43041</v>
      </c>
      <c r="B468" s="14">
        <v>5510.5</v>
      </c>
      <c r="C468" s="2">
        <f t="shared" si="30"/>
        <v>-6.8730516530690622E-4</v>
      </c>
      <c r="D468">
        <f t="shared" si="31"/>
        <v>0</v>
      </c>
      <c r="E468">
        <v>0.81898913747171698</v>
      </c>
      <c r="F468">
        <f t="shared" si="32"/>
        <v>1</v>
      </c>
      <c r="G468" t="b">
        <f t="shared" si="33"/>
        <v>0</v>
      </c>
      <c r="H468">
        <v>0.49174288606950667</v>
      </c>
    </row>
    <row r="469" spans="1:8" x14ac:dyDescent="0.35">
      <c r="A469" s="13">
        <v>43042</v>
      </c>
      <c r="B469" s="14">
        <v>5517.97</v>
      </c>
      <c r="C469" s="2">
        <f t="shared" si="30"/>
        <v>1.355593866255278E-3</v>
      </c>
      <c r="D469">
        <f t="shared" si="31"/>
        <v>1</v>
      </c>
      <c r="E469">
        <v>0.74365810625211071</v>
      </c>
      <c r="F469">
        <f t="shared" si="32"/>
        <v>1</v>
      </c>
      <c r="G469" t="b">
        <f t="shared" si="33"/>
        <v>1</v>
      </c>
      <c r="H469">
        <v>0.49174315963833354</v>
      </c>
    </row>
    <row r="470" spans="1:8" x14ac:dyDescent="0.35">
      <c r="A470" s="13">
        <v>43045</v>
      </c>
      <c r="B470" s="14">
        <v>5507.25</v>
      </c>
      <c r="C470" s="2">
        <f t="shared" si="30"/>
        <v>-1.9427434364449603E-3</v>
      </c>
      <c r="D470">
        <f t="shared" si="31"/>
        <v>0</v>
      </c>
      <c r="E470">
        <v>0.78097599788182448</v>
      </c>
      <c r="F470">
        <f t="shared" si="32"/>
        <v>1</v>
      </c>
      <c r="G470" t="b">
        <f t="shared" si="33"/>
        <v>0</v>
      </c>
      <c r="H470">
        <v>0.4917426503845827</v>
      </c>
    </row>
    <row r="471" spans="1:8" x14ac:dyDescent="0.35">
      <c r="A471" s="13">
        <v>43046</v>
      </c>
      <c r="B471" s="14">
        <v>5480.64</v>
      </c>
      <c r="C471" s="2">
        <f t="shared" si="30"/>
        <v>-4.8318126106495773E-3</v>
      </c>
      <c r="D471">
        <f t="shared" si="31"/>
        <v>0</v>
      </c>
      <c r="E471">
        <v>0.64918209646504876</v>
      </c>
      <c r="F471">
        <f t="shared" si="32"/>
        <v>1</v>
      </c>
      <c r="G471" t="b">
        <f t="shared" si="33"/>
        <v>0</v>
      </c>
      <c r="H471">
        <v>0.49174130834605573</v>
      </c>
    </row>
    <row r="472" spans="1:8" x14ac:dyDescent="0.35">
      <c r="A472" s="13">
        <v>43047</v>
      </c>
      <c r="B472" s="14">
        <v>5471.43</v>
      </c>
      <c r="C472" s="2">
        <f t="shared" si="30"/>
        <v>-1.6804606761253726E-3</v>
      </c>
      <c r="D472">
        <f t="shared" si="31"/>
        <v>0</v>
      </c>
      <c r="E472">
        <v>0.53665254565329279</v>
      </c>
      <c r="F472">
        <f t="shared" si="32"/>
        <v>1</v>
      </c>
      <c r="G472" t="b">
        <f t="shared" si="33"/>
        <v>0</v>
      </c>
      <c r="H472">
        <v>0.49174129326481464</v>
      </c>
    </row>
    <row r="473" spans="1:8" x14ac:dyDescent="0.35">
      <c r="A473" s="13">
        <v>43048</v>
      </c>
      <c r="B473" s="14">
        <v>5407.75</v>
      </c>
      <c r="C473" s="2">
        <f t="shared" si="30"/>
        <v>-1.163863925884101E-2</v>
      </c>
      <c r="D473">
        <f t="shared" si="31"/>
        <v>0</v>
      </c>
      <c r="E473">
        <v>0.36004238517745629</v>
      </c>
      <c r="F473">
        <f t="shared" si="32"/>
        <v>0</v>
      </c>
      <c r="G473" t="b">
        <f t="shared" si="33"/>
        <v>1</v>
      </c>
      <c r="H473">
        <v>0.49174101488119698</v>
      </c>
    </row>
    <row r="474" spans="1:8" x14ac:dyDescent="0.35">
      <c r="A474" s="13">
        <v>43049</v>
      </c>
      <c r="B474" s="14">
        <v>5380.72</v>
      </c>
      <c r="C474" s="2">
        <f t="shared" si="30"/>
        <v>-4.9983819518283346E-3</v>
      </c>
      <c r="D474">
        <f t="shared" si="31"/>
        <v>0</v>
      </c>
      <c r="E474">
        <v>0.28607000343840716</v>
      </c>
      <c r="F474">
        <f t="shared" si="32"/>
        <v>0</v>
      </c>
      <c r="G474" t="b">
        <f t="shared" si="33"/>
        <v>1</v>
      </c>
      <c r="H474">
        <v>0.49174064355188118</v>
      </c>
    </row>
    <row r="475" spans="1:8" x14ac:dyDescent="0.35">
      <c r="A475" s="13">
        <v>43052</v>
      </c>
      <c r="B475" s="14">
        <v>5341.63</v>
      </c>
      <c r="C475" s="2">
        <f t="shared" si="30"/>
        <v>-7.264827011998376E-3</v>
      </c>
      <c r="D475">
        <f t="shared" si="31"/>
        <v>0</v>
      </c>
      <c r="E475">
        <v>0.23058269417805188</v>
      </c>
      <c r="F475">
        <f t="shared" si="32"/>
        <v>0</v>
      </c>
      <c r="G475" t="b">
        <f t="shared" si="33"/>
        <v>1</v>
      </c>
      <c r="H475">
        <v>0.49174050945031844</v>
      </c>
    </row>
    <row r="476" spans="1:8" x14ac:dyDescent="0.35">
      <c r="A476" s="13">
        <v>43053</v>
      </c>
      <c r="B476" s="14">
        <v>5315.58</v>
      </c>
      <c r="C476" s="2">
        <f t="shared" si="30"/>
        <v>-4.8767885458184113E-3</v>
      </c>
      <c r="D476">
        <f t="shared" si="31"/>
        <v>0</v>
      </c>
      <c r="E476">
        <v>0.19685783557748845</v>
      </c>
      <c r="F476">
        <f t="shared" si="32"/>
        <v>0</v>
      </c>
      <c r="G476" t="b">
        <f t="shared" si="33"/>
        <v>1</v>
      </c>
      <c r="H476">
        <v>0.4917404262206071</v>
      </c>
    </row>
    <row r="477" spans="1:8" x14ac:dyDescent="0.35">
      <c r="A477" s="13">
        <v>43054</v>
      </c>
      <c r="B477" s="14">
        <v>5301.25</v>
      </c>
      <c r="C477" s="2">
        <f t="shared" si="30"/>
        <v>-2.6958488067153619E-3</v>
      </c>
      <c r="D477">
        <f t="shared" si="31"/>
        <v>0</v>
      </c>
      <c r="E477">
        <v>0.17825445554353889</v>
      </c>
      <c r="F477">
        <f t="shared" si="32"/>
        <v>0</v>
      </c>
      <c r="G477" t="b">
        <f t="shared" si="33"/>
        <v>1</v>
      </c>
      <c r="H477">
        <v>0.4917401710361316</v>
      </c>
    </row>
    <row r="478" spans="1:8" x14ac:dyDescent="0.35">
      <c r="A478" s="13">
        <v>43055</v>
      </c>
      <c r="B478" s="14">
        <v>5336.39</v>
      </c>
      <c r="C478" s="2">
        <f t="shared" si="30"/>
        <v>6.628625324216042E-3</v>
      </c>
      <c r="D478">
        <f t="shared" si="31"/>
        <v>1</v>
      </c>
      <c r="E478">
        <v>0.16722689044581113</v>
      </c>
      <c r="F478">
        <f t="shared" si="32"/>
        <v>0</v>
      </c>
      <c r="G478" t="b">
        <f t="shared" si="33"/>
        <v>0</v>
      </c>
      <c r="H478">
        <v>0.49174036674624266</v>
      </c>
    </row>
    <row r="479" spans="1:8" x14ac:dyDescent="0.35">
      <c r="A479" s="13">
        <v>43056</v>
      </c>
      <c r="B479" s="14">
        <v>5319.17</v>
      </c>
      <c r="C479" s="2">
        <f t="shared" si="30"/>
        <v>-3.2269005826036645E-3</v>
      </c>
      <c r="D479">
        <f t="shared" si="31"/>
        <v>0</v>
      </c>
      <c r="E479">
        <v>0.23503192373278026</v>
      </c>
      <c r="F479">
        <f t="shared" si="32"/>
        <v>0</v>
      </c>
      <c r="G479" t="b">
        <f t="shared" si="33"/>
        <v>1</v>
      </c>
      <c r="H479">
        <v>0.49174014627144913</v>
      </c>
    </row>
    <row r="480" spans="1:8" x14ac:dyDescent="0.35">
      <c r="A480" s="13">
        <v>43059</v>
      </c>
      <c r="B480" s="14">
        <v>5340.45</v>
      </c>
      <c r="C480" s="2">
        <f t="shared" si="30"/>
        <v>4.0006241575283319E-3</v>
      </c>
      <c r="D480">
        <f t="shared" si="31"/>
        <v>1</v>
      </c>
      <c r="E480">
        <v>0.2159861822267809</v>
      </c>
      <c r="F480">
        <f t="shared" si="32"/>
        <v>0</v>
      </c>
      <c r="G480" t="b">
        <f t="shared" si="33"/>
        <v>0</v>
      </c>
      <c r="H480">
        <v>0.491741262559523</v>
      </c>
    </row>
    <row r="481" spans="1:8" x14ac:dyDescent="0.35">
      <c r="A481" s="13">
        <v>43060</v>
      </c>
      <c r="B481" s="14">
        <v>5366.15</v>
      </c>
      <c r="C481" s="2">
        <f t="shared" si="30"/>
        <v>4.812328549092193E-3</v>
      </c>
      <c r="D481">
        <f t="shared" si="31"/>
        <v>1</v>
      </c>
      <c r="E481">
        <v>0.32061868012307759</v>
      </c>
      <c r="F481">
        <f t="shared" si="32"/>
        <v>0</v>
      </c>
      <c r="G481" t="b">
        <f t="shared" si="33"/>
        <v>0</v>
      </c>
      <c r="H481">
        <v>0.49174131564076123</v>
      </c>
    </row>
    <row r="482" spans="1:8" x14ac:dyDescent="0.35">
      <c r="A482" s="13">
        <v>43061</v>
      </c>
      <c r="B482" s="14">
        <v>5352.76</v>
      </c>
      <c r="C482" s="2">
        <f t="shared" si="30"/>
        <v>-2.495271283881273E-3</v>
      </c>
      <c r="D482">
        <f t="shared" si="31"/>
        <v>0</v>
      </c>
      <c r="E482">
        <v>0.4314289571587151</v>
      </c>
      <c r="F482">
        <f t="shared" si="32"/>
        <v>0</v>
      </c>
      <c r="G482" t="b">
        <f t="shared" si="33"/>
        <v>1</v>
      </c>
      <c r="H482">
        <v>0.49174024296935803</v>
      </c>
    </row>
    <row r="483" spans="1:8" x14ac:dyDescent="0.35">
      <c r="A483" s="13">
        <v>43062</v>
      </c>
      <c r="B483" s="14">
        <v>5379.54</v>
      </c>
      <c r="C483" s="2">
        <f t="shared" si="30"/>
        <v>5.0030264760609899E-3</v>
      </c>
      <c r="D483">
        <f t="shared" si="31"/>
        <v>1</v>
      </c>
      <c r="E483">
        <v>0.36309974221768188</v>
      </c>
      <c r="F483">
        <f t="shared" si="32"/>
        <v>0</v>
      </c>
      <c r="G483" t="b">
        <f t="shared" si="33"/>
        <v>0</v>
      </c>
      <c r="H483">
        <v>0.49174025220706941</v>
      </c>
    </row>
    <row r="484" spans="1:8" x14ac:dyDescent="0.35">
      <c r="A484" s="13">
        <v>43063</v>
      </c>
      <c r="B484" s="14">
        <v>5390.46</v>
      </c>
      <c r="C484" s="2">
        <f t="shared" si="30"/>
        <v>2.029913338315259E-3</v>
      </c>
      <c r="D484">
        <f t="shared" si="31"/>
        <v>1</v>
      </c>
      <c r="E484">
        <v>0.49101401105530806</v>
      </c>
      <c r="F484">
        <f t="shared" si="32"/>
        <v>0</v>
      </c>
      <c r="G484" t="b">
        <f t="shared" si="33"/>
        <v>0</v>
      </c>
      <c r="H484">
        <v>0.49174108971815017</v>
      </c>
    </row>
    <row r="485" spans="1:8" x14ac:dyDescent="0.35">
      <c r="A485" s="13">
        <v>43066</v>
      </c>
      <c r="B485" s="14">
        <v>5360.09</v>
      </c>
      <c r="C485" s="2">
        <f t="shared" si="30"/>
        <v>-5.6340275226974823E-3</v>
      </c>
      <c r="D485">
        <f t="shared" si="31"/>
        <v>0</v>
      </c>
      <c r="E485">
        <v>0.62804172872755692</v>
      </c>
      <c r="F485">
        <f t="shared" si="32"/>
        <v>1</v>
      </c>
      <c r="G485" t="b">
        <f t="shared" si="33"/>
        <v>0</v>
      </c>
      <c r="H485">
        <v>0.49174044174491438</v>
      </c>
    </row>
    <row r="486" spans="1:8" x14ac:dyDescent="0.35">
      <c r="A486" s="13">
        <v>43067</v>
      </c>
      <c r="B486" s="14">
        <v>5390.48</v>
      </c>
      <c r="C486" s="2">
        <f t="shared" si="30"/>
        <v>5.6696809195366793E-3</v>
      </c>
      <c r="D486">
        <f t="shared" si="31"/>
        <v>1</v>
      </c>
      <c r="E486">
        <v>0.47879354357085918</v>
      </c>
      <c r="F486">
        <f t="shared" si="32"/>
        <v>0</v>
      </c>
      <c r="G486" t="b">
        <f t="shared" si="33"/>
        <v>0</v>
      </c>
      <c r="H486">
        <v>0.4917415611385606</v>
      </c>
    </row>
    <row r="487" spans="1:8" x14ac:dyDescent="0.35">
      <c r="A487" s="13">
        <v>43068</v>
      </c>
      <c r="B487" s="14">
        <v>5398.05</v>
      </c>
      <c r="C487" s="2">
        <f t="shared" si="30"/>
        <v>1.4043276294506413E-3</v>
      </c>
      <c r="D487">
        <f t="shared" si="31"/>
        <v>1</v>
      </c>
      <c r="E487">
        <v>0.56444955395895491</v>
      </c>
      <c r="F487">
        <f t="shared" si="32"/>
        <v>1</v>
      </c>
      <c r="G487" t="b">
        <f t="shared" si="33"/>
        <v>1</v>
      </c>
      <c r="H487">
        <v>0.49174164022960432</v>
      </c>
    </row>
    <row r="488" spans="1:8" x14ac:dyDescent="0.35">
      <c r="A488" s="13">
        <v>43069</v>
      </c>
      <c r="B488" s="14">
        <v>5372.79</v>
      </c>
      <c r="C488" s="2">
        <f t="shared" si="30"/>
        <v>-4.679467585517072E-3</v>
      </c>
      <c r="D488">
        <f t="shared" si="31"/>
        <v>0</v>
      </c>
      <c r="E488">
        <v>0.70597167013757578</v>
      </c>
      <c r="F488">
        <f t="shared" si="32"/>
        <v>1</v>
      </c>
      <c r="G488" t="b">
        <f t="shared" si="33"/>
        <v>0</v>
      </c>
      <c r="H488">
        <v>0.49174106237011761</v>
      </c>
    </row>
    <row r="489" spans="1:8" x14ac:dyDescent="0.35">
      <c r="A489" s="13">
        <v>43070</v>
      </c>
      <c r="B489" s="14">
        <v>5316.89</v>
      </c>
      <c r="C489" s="2">
        <f t="shared" si="30"/>
        <v>-1.0404277851916666E-2</v>
      </c>
      <c r="D489">
        <f t="shared" si="31"/>
        <v>0</v>
      </c>
      <c r="E489">
        <v>0.57870830131304518</v>
      </c>
      <c r="F489">
        <f t="shared" si="32"/>
        <v>1</v>
      </c>
      <c r="G489" t="b">
        <f t="shared" si="33"/>
        <v>0</v>
      </c>
      <c r="H489">
        <v>0.49174080838255069</v>
      </c>
    </row>
    <row r="490" spans="1:8" x14ac:dyDescent="0.35">
      <c r="A490" s="13">
        <v>43073</v>
      </c>
      <c r="B490" s="14">
        <v>5389.29</v>
      </c>
      <c r="C490" s="2">
        <f t="shared" si="30"/>
        <v>1.3616982860281013E-2</v>
      </c>
      <c r="D490">
        <f t="shared" si="31"/>
        <v>1</v>
      </c>
      <c r="E490">
        <v>0.44540075208648006</v>
      </c>
      <c r="F490">
        <f t="shared" si="32"/>
        <v>0</v>
      </c>
      <c r="G490" t="b">
        <f t="shared" si="33"/>
        <v>0</v>
      </c>
      <c r="H490">
        <v>0.49174194345074418</v>
      </c>
    </row>
    <row r="491" spans="1:8" x14ac:dyDescent="0.35">
      <c r="A491" s="13">
        <v>43074</v>
      </c>
      <c r="B491" s="14">
        <v>5375.53</v>
      </c>
      <c r="C491" s="2">
        <f t="shared" si="30"/>
        <v>-2.5532120186518847E-3</v>
      </c>
      <c r="D491">
        <f t="shared" si="31"/>
        <v>0</v>
      </c>
      <c r="E491">
        <v>0.62907071043745266</v>
      </c>
      <c r="F491">
        <f t="shared" si="32"/>
        <v>1</v>
      </c>
      <c r="G491" t="b">
        <f t="shared" si="33"/>
        <v>0</v>
      </c>
      <c r="H491">
        <v>0.49174126226691867</v>
      </c>
    </row>
    <row r="492" spans="1:8" x14ac:dyDescent="0.35">
      <c r="A492" s="13">
        <v>43075</v>
      </c>
      <c r="B492" s="14">
        <v>5374.35</v>
      </c>
      <c r="C492" s="2">
        <f t="shared" si="30"/>
        <v>-2.1951323869451311E-4</v>
      </c>
      <c r="D492">
        <f t="shared" si="31"/>
        <v>0</v>
      </c>
      <c r="E492">
        <v>0.49968061322638524</v>
      </c>
      <c r="F492">
        <f t="shared" si="32"/>
        <v>0</v>
      </c>
      <c r="G492" t="b">
        <f t="shared" si="33"/>
        <v>1</v>
      </c>
      <c r="H492">
        <v>0.49174007475062903</v>
      </c>
    </row>
    <row r="493" spans="1:8" x14ac:dyDescent="0.35">
      <c r="A493" s="13">
        <v>43076</v>
      </c>
      <c r="B493" s="14">
        <v>5383.86</v>
      </c>
      <c r="C493" s="2">
        <f t="shared" si="30"/>
        <v>1.769516313600672E-3</v>
      </c>
      <c r="D493">
        <f t="shared" si="31"/>
        <v>1</v>
      </c>
      <c r="E493">
        <v>0.39406156235337053</v>
      </c>
      <c r="F493">
        <f t="shared" si="32"/>
        <v>0</v>
      </c>
      <c r="G493" t="b">
        <f t="shared" si="33"/>
        <v>0</v>
      </c>
      <c r="H493">
        <v>0.49174148682163576</v>
      </c>
    </row>
    <row r="494" spans="1:8" x14ac:dyDescent="0.35">
      <c r="A494" s="13">
        <v>43077</v>
      </c>
      <c r="B494" s="14">
        <v>5399.09</v>
      </c>
      <c r="C494" s="2">
        <f t="shared" si="30"/>
        <v>2.8288254152226688E-3</v>
      </c>
      <c r="D494">
        <f t="shared" si="31"/>
        <v>1</v>
      </c>
      <c r="E494">
        <v>0.53005359161290866</v>
      </c>
      <c r="F494">
        <f t="shared" si="32"/>
        <v>1</v>
      </c>
      <c r="G494" t="b">
        <f t="shared" si="33"/>
        <v>1</v>
      </c>
      <c r="H494">
        <v>0.4917419396400764</v>
      </c>
    </row>
    <row r="495" spans="1:8" x14ac:dyDescent="0.35">
      <c r="A495" s="13">
        <v>43080</v>
      </c>
      <c r="B495" s="14">
        <v>5386.83</v>
      </c>
      <c r="C495" s="2">
        <f t="shared" si="30"/>
        <v>-2.2707530343076821E-3</v>
      </c>
      <c r="D495">
        <f t="shared" si="31"/>
        <v>0</v>
      </c>
      <c r="E495">
        <v>0.62073402154841728</v>
      </c>
      <c r="F495">
        <f t="shared" si="32"/>
        <v>1</v>
      </c>
      <c r="G495" t="b">
        <f t="shared" si="33"/>
        <v>0</v>
      </c>
      <c r="H495">
        <v>0.49174166836295885</v>
      </c>
    </row>
    <row r="496" spans="1:8" x14ac:dyDescent="0.35">
      <c r="A496" s="13">
        <v>43081</v>
      </c>
      <c r="B496" s="14">
        <v>5427.19</v>
      </c>
      <c r="C496" s="2">
        <f t="shared" si="30"/>
        <v>7.4923470761096844E-3</v>
      </c>
      <c r="D496">
        <f t="shared" si="31"/>
        <v>1</v>
      </c>
      <c r="E496">
        <v>0.4494174857685963</v>
      </c>
      <c r="F496">
        <f t="shared" si="32"/>
        <v>0</v>
      </c>
      <c r="G496" t="b">
        <f t="shared" si="33"/>
        <v>0</v>
      </c>
      <c r="H496">
        <v>0.49174223672396788</v>
      </c>
    </row>
    <row r="497" spans="1:8" x14ac:dyDescent="0.35">
      <c r="A497" s="13">
        <v>43082</v>
      </c>
      <c r="B497" s="14">
        <v>5399.45</v>
      </c>
      <c r="C497" s="2">
        <f t="shared" si="30"/>
        <v>-5.1113006915179948E-3</v>
      </c>
      <c r="D497">
        <f t="shared" si="31"/>
        <v>0</v>
      </c>
      <c r="E497">
        <v>0.58038779959062869</v>
      </c>
      <c r="F497">
        <f t="shared" si="32"/>
        <v>1</v>
      </c>
      <c r="G497" t="b">
        <f t="shared" si="33"/>
        <v>0</v>
      </c>
      <c r="H497">
        <v>0.49174206931842035</v>
      </c>
    </row>
    <row r="498" spans="1:8" x14ac:dyDescent="0.35">
      <c r="A498" s="13">
        <v>43083</v>
      </c>
      <c r="B498" s="14">
        <v>5357.14</v>
      </c>
      <c r="C498" s="2">
        <f t="shared" si="30"/>
        <v>-7.8359832945946728E-3</v>
      </c>
      <c r="D498">
        <f t="shared" si="31"/>
        <v>0</v>
      </c>
      <c r="E498">
        <v>0.4754985011791143</v>
      </c>
      <c r="F498">
        <f t="shared" si="32"/>
        <v>0</v>
      </c>
      <c r="G498" t="b">
        <f t="shared" si="33"/>
        <v>1</v>
      </c>
      <c r="H498">
        <v>0.49174193965677615</v>
      </c>
    </row>
    <row r="499" spans="1:8" x14ac:dyDescent="0.35">
      <c r="A499" s="13">
        <v>43084</v>
      </c>
      <c r="B499" s="14">
        <v>5349.3</v>
      </c>
      <c r="C499" s="2">
        <f t="shared" si="30"/>
        <v>-1.4634674471826203E-3</v>
      </c>
      <c r="D499">
        <f t="shared" si="31"/>
        <v>0</v>
      </c>
      <c r="E499">
        <v>0.37377401740399185</v>
      </c>
      <c r="F499">
        <f t="shared" si="32"/>
        <v>0</v>
      </c>
      <c r="G499" t="b">
        <f t="shared" si="33"/>
        <v>1</v>
      </c>
      <c r="H499">
        <v>0.49174140063951677</v>
      </c>
    </row>
    <row r="500" spans="1:8" x14ac:dyDescent="0.35">
      <c r="A500" s="13">
        <v>43087</v>
      </c>
      <c r="B500" s="14">
        <v>5420.58</v>
      </c>
      <c r="C500" s="2">
        <f t="shared" si="30"/>
        <v>1.332510795805053E-2</v>
      </c>
      <c r="D500">
        <f t="shared" si="31"/>
        <v>1</v>
      </c>
      <c r="E500">
        <v>0.28079628386429439</v>
      </c>
      <c r="F500">
        <f t="shared" si="32"/>
        <v>0</v>
      </c>
      <c r="G500" t="b">
        <f t="shared" si="33"/>
        <v>0</v>
      </c>
      <c r="H500">
        <v>0.49174211584149868</v>
      </c>
    </row>
    <row r="501" spans="1:8" x14ac:dyDescent="0.35">
      <c r="A501" s="13">
        <v>43088</v>
      </c>
      <c r="B501" s="14">
        <v>5382.91</v>
      </c>
      <c r="C501" s="2">
        <f t="shared" si="30"/>
        <v>-6.9494408347445802E-3</v>
      </c>
      <c r="D501">
        <f t="shared" si="31"/>
        <v>0</v>
      </c>
      <c r="E501">
        <v>0.39944160108259813</v>
      </c>
      <c r="F501">
        <f t="shared" si="32"/>
        <v>0</v>
      </c>
      <c r="G501" t="b">
        <f t="shared" si="33"/>
        <v>1</v>
      </c>
      <c r="H501">
        <v>0.49174141615618883</v>
      </c>
    </row>
    <row r="502" spans="1:8" x14ac:dyDescent="0.35">
      <c r="A502" s="13">
        <v>43089</v>
      </c>
      <c r="B502" s="14">
        <v>5352.77</v>
      </c>
      <c r="C502" s="2">
        <f t="shared" si="30"/>
        <v>-5.599201918664698E-3</v>
      </c>
      <c r="D502">
        <f t="shared" si="31"/>
        <v>0</v>
      </c>
      <c r="E502">
        <v>0.29141590229403125</v>
      </c>
      <c r="F502">
        <f t="shared" si="32"/>
        <v>0</v>
      </c>
      <c r="G502" t="b">
        <f t="shared" si="33"/>
        <v>1</v>
      </c>
      <c r="H502">
        <v>0.49174103320996992</v>
      </c>
    </row>
    <row r="503" spans="1:8" x14ac:dyDescent="0.35">
      <c r="A503" s="13">
        <v>43090</v>
      </c>
      <c r="B503" s="14">
        <v>5385.97</v>
      </c>
      <c r="C503" s="2">
        <f t="shared" si="30"/>
        <v>6.2023961425579088E-3</v>
      </c>
      <c r="D503">
        <f t="shared" si="31"/>
        <v>1</v>
      </c>
      <c r="E503">
        <v>0.24814659221334615</v>
      </c>
      <c r="F503">
        <f t="shared" si="32"/>
        <v>0</v>
      </c>
      <c r="G503" t="b">
        <f t="shared" si="33"/>
        <v>0</v>
      </c>
      <c r="H503">
        <v>0.49174146721753004</v>
      </c>
    </row>
    <row r="504" spans="1:8" x14ac:dyDescent="0.35">
      <c r="A504" s="13">
        <v>43091</v>
      </c>
      <c r="B504" s="14">
        <v>5364.72</v>
      </c>
      <c r="C504" s="2">
        <f t="shared" si="30"/>
        <v>-3.9454360124545618E-3</v>
      </c>
      <c r="D504">
        <f t="shared" si="31"/>
        <v>0</v>
      </c>
      <c r="E504">
        <v>0.39374473562670942</v>
      </c>
      <c r="F504">
        <f t="shared" si="32"/>
        <v>0</v>
      </c>
      <c r="G504" t="b">
        <f t="shared" si="33"/>
        <v>1</v>
      </c>
      <c r="H504">
        <v>0.49174074022374453</v>
      </c>
    </row>
    <row r="505" spans="1:8" x14ac:dyDescent="0.35">
      <c r="A505" s="13">
        <v>43096</v>
      </c>
      <c r="B505" s="14">
        <v>5368.84</v>
      </c>
      <c r="C505" s="2">
        <f t="shared" si="30"/>
        <v>7.679804351392594E-4</v>
      </c>
      <c r="D505">
        <f t="shared" si="31"/>
        <v>1</v>
      </c>
      <c r="E505">
        <v>0.29796790193809541</v>
      </c>
      <c r="F505">
        <f t="shared" si="32"/>
        <v>0</v>
      </c>
      <c r="G505" t="b">
        <f t="shared" si="33"/>
        <v>0</v>
      </c>
      <c r="H505">
        <v>0.4917417969464149</v>
      </c>
    </row>
    <row r="506" spans="1:8" x14ac:dyDescent="0.35">
      <c r="A506" s="13">
        <v>43097</v>
      </c>
      <c r="B506" s="14">
        <v>5339.42</v>
      </c>
      <c r="C506" s="2">
        <f t="shared" si="30"/>
        <v>-5.4797684416000303E-3</v>
      </c>
      <c r="D506">
        <f t="shared" si="31"/>
        <v>0</v>
      </c>
      <c r="E506">
        <v>0.48463836186305453</v>
      </c>
      <c r="F506">
        <f t="shared" si="32"/>
        <v>0</v>
      </c>
      <c r="G506" t="b">
        <f t="shared" si="33"/>
        <v>1</v>
      </c>
      <c r="H506">
        <v>0.49174099634830332</v>
      </c>
    </row>
    <row r="507" spans="1:8" x14ac:dyDescent="0.35">
      <c r="A507" s="13">
        <v>43098</v>
      </c>
      <c r="B507" s="14">
        <v>5312.56</v>
      </c>
      <c r="C507" s="2">
        <f t="shared" si="30"/>
        <v>-5.0305089316816654E-3</v>
      </c>
      <c r="D507">
        <f t="shared" si="31"/>
        <v>0</v>
      </c>
      <c r="E507">
        <v>0.32860985368887652</v>
      </c>
      <c r="F507">
        <f t="shared" si="32"/>
        <v>0</v>
      </c>
      <c r="G507" t="b">
        <f t="shared" si="33"/>
        <v>1</v>
      </c>
      <c r="H507">
        <v>0.49174046447113962</v>
      </c>
    </row>
    <row r="508" spans="1:8" x14ac:dyDescent="0.35">
      <c r="A508" s="13">
        <v>43102</v>
      </c>
      <c r="B508" s="14">
        <v>5288.6</v>
      </c>
      <c r="C508" s="2">
        <f t="shared" si="30"/>
        <v>-4.5100667098347813E-3</v>
      </c>
      <c r="D508">
        <f t="shared" si="31"/>
        <v>0</v>
      </c>
      <c r="E508">
        <v>0.26490528503702421</v>
      </c>
      <c r="F508">
        <f t="shared" si="32"/>
        <v>0</v>
      </c>
      <c r="G508" t="b">
        <f t="shared" si="33"/>
        <v>1</v>
      </c>
      <c r="H508">
        <v>0.49174031236579124</v>
      </c>
    </row>
    <row r="509" spans="1:8" x14ac:dyDescent="0.35">
      <c r="A509" s="13">
        <v>43103</v>
      </c>
      <c r="B509" s="14">
        <v>5331.28</v>
      </c>
      <c r="C509" s="2">
        <f t="shared" si="30"/>
        <v>8.0701887077865297E-3</v>
      </c>
      <c r="D509">
        <f t="shared" si="31"/>
        <v>1</v>
      </c>
      <c r="E509">
        <v>0.2233698270398832</v>
      </c>
      <c r="F509">
        <f t="shared" si="32"/>
        <v>0</v>
      </c>
      <c r="G509" t="b">
        <f t="shared" si="33"/>
        <v>0</v>
      </c>
      <c r="H509">
        <v>0.49174075246037002</v>
      </c>
    </row>
    <row r="510" spans="1:8" x14ac:dyDescent="0.35">
      <c r="A510" s="13">
        <v>43104</v>
      </c>
      <c r="B510" s="14">
        <v>5413.69</v>
      </c>
      <c r="C510" s="2">
        <f t="shared" si="30"/>
        <v>1.5457826263111318E-2</v>
      </c>
      <c r="D510">
        <f t="shared" si="31"/>
        <v>1</v>
      </c>
      <c r="E510">
        <v>0.3438241687311766</v>
      </c>
      <c r="F510">
        <f t="shared" si="32"/>
        <v>0</v>
      </c>
      <c r="G510" t="b">
        <f t="shared" si="33"/>
        <v>0</v>
      </c>
      <c r="H510">
        <v>0.49174186140187648</v>
      </c>
    </row>
    <row r="511" spans="1:8" x14ac:dyDescent="0.35">
      <c r="A511" s="13">
        <v>43105</v>
      </c>
      <c r="B511" s="14">
        <v>5470.75</v>
      </c>
      <c r="C511" s="2">
        <f t="shared" si="30"/>
        <v>1.0539945951836938E-2</v>
      </c>
      <c r="D511">
        <f t="shared" si="31"/>
        <v>1</v>
      </c>
      <c r="E511">
        <v>0.50309739758303496</v>
      </c>
      <c r="F511">
        <f t="shared" si="32"/>
        <v>1</v>
      </c>
      <c r="G511" t="b">
        <f t="shared" si="33"/>
        <v>1</v>
      </c>
      <c r="H511">
        <v>0.49174187038885231</v>
      </c>
    </row>
    <row r="512" spans="1:8" x14ac:dyDescent="0.35">
      <c r="A512" s="13">
        <v>43108</v>
      </c>
      <c r="B512" s="14">
        <v>5487.42</v>
      </c>
      <c r="C512" s="2">
        <f t="shared" si="30"/>
        <v>3.0471141982360006E-3</v>
      </c>
      <c r="D512">
        <f t="shared" si="31"/>
        <v>1</v>
      </c>
      <c r="E512">
        <v>0.6387610280343563</v>
      </c>
      <c r="F512">
        <f t="shared" si="32"/>
        <v>1</v>
      </c>
      <c r="G512" t="b">
        <f t="shared" si="33"/>
        <v>1</v>
      </c>
      <c r="H512">
        <v>0.49174205570116414</v>
      </c>
    </row>
    <row r="513" spans="1:8" x14ac:dyDescent="0.35">
      <c r="A513" s="13">
        <v>43109</v>
      </c>
      <c r="B513" s="14">
        <v>5523.94</v>
      </c>
      <c r="C513" s="2">
        <f t="shared" si="30"/>
        <v>6.6552223084801465E-3</v>
      </c>
      <c r="D513">
        <f t="shared" si="31"/>
        <v>1</v>
      </c>
      <c r="E513">
        <v>0.70972884448497764</v>
      </c>
      <c r="F513">
        <f t="shared" si="32"/>
        <v>1</v>
      </c>
      <c r="G513" t="b">
        <f t="shared" si="33"/>
        <v>1</v>
      </c>
      <c r="H513">
        <v>0.49174254069755269</v>
      </c>
    </row>
    <row r="514" spans="1:8" x14ac:dyDescent="0.35">
      <c r="A514" s="13">
        <v>43110</v>
      </c>
      <c r="B514" s="14">
        <v>5504.68</v>
      </c>
      <c r="C514" s="2">
        <f t="shared" si="30"/>
        <v>-3.486641781047406E-3</v>
      </c>
      <c r="D514">
        <f t="shared" si="31"/>
        <v>0</v>
      </c>
      <c r="E514">
        <v>0.75279792040682914</v>
      </c>
      <c r="F514">
        <f t="shared" si="32"/>
        <v>1</v>
      </c>
      <c r="G514" t="b">
        <f t="shared" si="33"/>
        <v>0</v>
      </c>
      <c r="H514">
        <v>0.4917416103907703</v>
      </c>
    </row>
    <row r="515" spans="1:8" x14ac:dyDescent="0.35">
      <c r="A515" s="13">
        <v>43111</v>
      </c>
      <c r="B515" s="14">
        <v>5488.55</v>
      </c>
      <c r="C515" s="2">
        <f t="shared" si="30"/>
        <v>-2.9302339100547581E-3</v>
      </c>
      <c r="D515">
        <f t="shared" si="31"/>
        <v>0</v>
      </c>
      <c r="E515">
        <v>0.58092598692639308</v>
      </c>
      <c r="F515">
        <f t="shared" si="32"/>
        <v>1</v>
      </c>
      <c r="G515" t="b">
        <f t="shared" si="33"/>
        <v>0</v>
      </c>
      <c r="H515">
        <v>0.49174148319037453</v>
      </c>
    </row>
    <row r="516" spans="1:8" x14ac:dyDescent="0.35">
      <c r="A516" s="13">
        <v>43112</v>
      </c>
      <c r="B516" s="14">
        <v>5517.06</v>
      </c>
      <c r="C516" s="2">
        <f t="shared" ref="C516:C579" si="34">(B516/B515)-1</f>
        <v>5.1944502646419366E-3</v>
      </c>
      <c r="D516">
        <f t="shared" si="31"/>
        <v>1</v>
      </c>
      <c r="E516">
        <v>0.45022866779003456</v>
      </c>
      <c r="F516">
        <f t="shared" si="32"/>
        <v>0</v>
      </c>
      <c r="G516" t="b">
        <f t="shared" si="33"/>
        <v>0</v>
      </c>
      <c r="H516">
        <v>0.49174232782961474</v>
      </c>
    </row>
    <row r="517" spans="1:8" x14ac:dyDescent="0.35">
      <c r="A517" s="13">
        <v>43116</v>
      </c>
      <c r="B517" s="14">
        <v>5513.82</v>
      </c>
      <c r="C517" s="2">
        <f t="shared" si="34"/>
        <v>-5.8726930647856612E-4</v>
      </c>
      <c r="D517">
        <f t="shared" si="31"/>
        <v>0</v>
      </c>
      <c r="E517">
        <v>0.57743766601481017</v>
      </c>
      <c r="F517">
        <f t="shared" si="32"/>
        <v>1</v>
      </c>
      <c r="G517" t="b">
        <f t="shared" si="33"/>
        <v>0</v>
      </c>
      <c r="H517">
        <v>0.49174229918728785</v>
      </c>
    </row>
    <row r="518" spans="1:8" x14ac:dyDescent="0.35">
      <c r="A518" s="13">
        <v>43117</v>
      </c>
      <c r="B518" s="14">
        <v>5493.99</v>
      </c>
      <c r="C518" s="2">
        <f t="shared" si="34"/>
        <v>-3.5964177285439103E-3</v>
      </c>
      <c r="D518">
        <f t="shared" ref="D518:D581" si="35">IF(C518&gt;=0,1,0)</f>
        <v>0</v>
      </c>
      <c r="E518">
        <v>0.44259939595407727</v>
      </c>
      <c r="F518">
        <f t="shared" si="32"/>
        <v>0</v>
      </c>
      <c r="G518" t="b">
        <f t="shared" si="33"/>
        <v>1</v>
      </c>
      <c r="H518">
        <v>0.49174135601942265</v>
      </c>
    </row>
    <row r="519" spans="1:8" x14ac:dyDescent="0.35">
      <c r="A519" s="13">
        <v>43118</v>
      </c>
      <c r="B519" s="14">
        <v>5494.83</v>
      </c>
      <c r="C519" s="2">
        <f t="shared" si="34"/>
        <v>1.5289434454746065E-4</v>
      </c>
      <c r="D519">
        <f t="shared" si="35"/>
        <v>1</v>
      </c>
      <c r="E519">
        <v>0.31534580210293917</v>
      </c>
      <c r="F519">
        <f t="shared" si="32"/>
        <v>0</v>
      </c>
      <c r="G519" t="b">
        <f t="shared" si="33"/>
        <v>0</v>
      </c>
      <c r="H519">
        <v>0.49174232927254935</v>
      </c>
    </row>
    <row r="520" spans="1:8" x14ac:dyDescent="0.35">
      <c r="A520" s="13">
        <v>43123</v>
      </c>
      <c r="B520" s="14">
        <v>5535.26</v>
      </c>
      <c r="C520" s="2">
        <f t="shared" si="34"/>
        <v>7.3578254468291693E-3</v>
      </c>
      <c r="D520">
        <f t="shared" si="35"/>
        <v>1</v>
      </c>
      <c r="E520">
        <v>0.4652200511964768</v>
      </c>
      <c r="F520">
        <f t="shared" si="32"/>
        <v>0</v>
      </c>
      <c r="G520" t="b">
        <f t="shared" si="33"/>
        <v>0</v>
      </c>
      <c r="H520">
        <v>0.49174314394911306</v>
      </c>
    </row>
    <row r="521" spans="1:8" x14ac:dyDescent="0.35">
      <c r="A521" s="13">
        <v>43124</v>
      </c>
      <c r="B521" s="14">
        <v>5495.16</v>
      </c>
      <c r="C521" s="2">
        <f t="shared" si="34"/>
        <v>-7.2444654812963138E-3</v>
      </c>
      <c r="D521">
        <f t="shared" si="35"/>
        <v>0</v>
      </c>
      <c r="E521">
        <v>0.5692106135210967</v>
      </c>
      <c r="F521">
        <f t="shared" ref="F521:F584" si="36">IF(E521&gt;=0.5,1,0)</f>
        <v>1</v>
      </c>
      <c r="G521" t="b">
        <f t="shared" ref="G521:G584" si="37">IF(D521=F521,TRUE,FALSE)</f>
        <v>0</v>
      </c>
      <c r="H521">
        <v>0.49174206474933851</v>
      </c>
    </row>
    <row r="522" spans="1:8" x14ac:dyDescent="0.35">
      <c r="A522" s="13">
        <v>43125</v>
      </c>
      <c r="B522" s="14">
        <v>5481.21</v>
      </c>
      <c r="C522" s="2">
        <f t="shared" si="34"/>
        <v>-2.5385976022536116E-3</v>
      </c>
      <c r="D522">
        <f t="shared" si="35"/>
        <v>0</v>
      </c>
      <c r="E522">
        <v>0.41078037271685713</v>
      </c>
      <c r="F522">
        <f t="shared" si="36"/>
        <v>0</v>
      </c>
      <c r="G522" t="b">
        <f t="shared" si="37"/>
        <v>1</v>
      </c>
      <c r="H522">
        <v>0.49174123158600114</v>
      </c>
    </row>
    <row r="523" spans="1:8" x14ac:dyDescent="0.35">
      <c r="A523" s="13">
        <v>43126</v>
      </c>
      <c r="B523" s="14">
        <v>5529.15</v>
      </c>
      <c r="C523" s="2">
        <f t="shared" si="34"/>
        <v>8.7462439862731056E-3</v>
      </c>
      <c r="D523">
        <f t="shared" si="35"/>
        <v>1</v>
      </c>
      <c r="E523">
        <v>0.32786827160691684</v>
      </c>
      <c r="F523">
        <f t="shared" si="36"/>
        <v>0</v>
      </c>
      <c r="G523" t="b">
        <f t="shared" si="37"/>
        <v>0</v>
      </c>
      <c r="H523">
        <v>0.49174250064164615</v>
      </c>
    </row>
    <row r="524" spans="1:8" x14ac:dyDescent="0.35">
      <c r="A524" s="13">
        <v>43129</v>
      </c>
      <c r="B524" s="14">
        <v>5521.59</v>
      </c>
      <c r="C524" s="2">
        <f t="shared" si="34"/>
        <v>-1.3672987710587892E-3</v>
      </c>
      <c r="D524">
        <f t="shared" si="35"/>
        <v>0</v>
      </c>
      <c r="E524">
        <v>0.48589321039761574</v>
      </c>
      <c r="F524">
        <f t="shared" si="36"/>
        <v>0</v>
      </c>
      <c r="G524" t="b">
        <f t="shared" si="37"/>
        <v>1</v>
      </c>
      <c r="H524">
        <v>0.49174141625220563</v>
      </c>
    </row>
    <row r="525" spans="1:8" x14ac:dyDescent="0.35">
      <c r="A525" s="13">
        <v>43130</v>
      </c>
      <c r="B525" s="14">
        <v>5473.78</v>
      </c>
      <c r="C525" s="2">
        <f t="shared" si="34"/>
        <v>-8.6587377911073737E-3</v>
      </c>
      <c r="D525">
        <f t="shared" si="35"/>
        <v>0</v>
      </c>
      <c r="E525">
        <v>0.36610373970855581</v>
      </c>
      <c r="F525">
        <f t="shared" si="36"/>
        <v>0</v>
      </c>
      <c r="G525" t="b">
        <f t="shared" si="37"/>
        <v>1</v>
      </c>
      <c r="H525">
        <v>0.49174093210082803</v>
      </c>
    </row>
    <row r="526" spans="1:8" x14ac:dyDescent="0.35">
      <c r="A526" s="13">
        <v>43131</v>
      </c>
      <c r="B526" s="14">
        <v>5481.93</v>
      </c>
      <c r="C526" s="2">
        <f t="shared" si="34"/>
        <v>1.4889162516580345E-3</v>
      </c>
      <c r="D526">
        <f t="shared" si="35"/>
        <v>1</v>
      </c>
      <c r="E526">
        <v>0.27301259585636894</v>
      </c>
      <c r="F526">
        <f t="shared" si="36"/>
        <v>0</v>
      </c>
      <c r="G526" t="b">
        <f t="shared" si="37"/>
        <v>0</v>
      </c>
      <c r="H526">
        <v>0.49174181338651185</v>
      </c>
    </row>
    <row r="527" spans="1:8" x14ac:dyDescent="0.35">
      <c r="A527" s="13">
        <v>43132</v>
      </c>
      <c r="B527" s="14">
        <v>5454.55</v>
      </c>
      <c r="C527" s="2">
        <f t="shared" si="34"/>
        <v>-4.994591320939934E-3</v>
      </c>
      <c r="D527">
        <f t="shared" si="35"/>
        <v>0</v>
      </c>
      <c r="E527">
        <v>0.34577849503207736</v>
      </c>
      <c r="F527">
        <f t="shared" si="36"/>
        <v>0</v>
      </c>
      <c r="G527" t="b">
        <f t="shared" si="37"/>
        <v>1</v>
      </c>
      <c r="H527">
        <v>0.49174120533227478</v>
      </c>
    </row>
    <row r="528" spans="1:8" x14ac:dyDescent="0.35">
      <c r="A528" s="13">
        <v>43133</v>
      </c>
      <c r="B528" s="14">
        <v>5364.98</v>
      </c>
      <c r="C528" s="2">
        <f t="shared" si="34"/>
        <v>-1.6421152982372678E-2</v>
      </c>
      <c r="D528">
        <f t="shared" si="35"/>
        <v>0</v>
      </c>
      <c r="E528">
        <v>0.2683942410368263</v>
      </c>
      <c r="F528">
        <f t="shared" si="36"/>
        <v>0</v>
      </c>
      <c r="G528" t="b">
        <f t="shared" si="37"/>
        <v>1</v>
      </c>
      <c r="H528">
        <v>0.49174085697998754</v>
      </c>
    </row>
    <row r="529" spans="1:8" x14ac:dyDescent="0.35">
      <c r="A529" s="13">
        <v>43136</v>
      </c>
      <c r="B529" s="14">
        <v>5285.83</v>
      </c>
      <c r="C529" s="2">
        <f t="shared" si="34"/>
        <v>-1.4753083888476737E-2</v>
      </c>
      <c r="D529">
        <f t="shared" si="35"/>
        <v>0</v>
      </c>
      <c r="E529">
        <v>0.2316785848264831</v>
      </c>
      <c r="F529">
        <f t="shared" si="36"/>
        <v>0</v>
      </c>
      <c r="G529" t="b">
        <f t="shared" si="37"/>
        <v>1</v>
      </c>
      <c r="H529">
        <v>0.4917404597319821</v>
      </c>
    </row>
    <row r="530" spans="1:8" x14ac:dyDescent="0.35">
      <c r="A530" s="13">
        <v>43137</v>
      </c>
      <c r="B530" s="14">
        <v>5161.8100000000004</v>
      </c>
      <c r="C530" s="2">
        <f t="shared" si="34"/>
        <v>-2.3462729599703303E-2</v>
      </c>
      <c r="D530">
        <f t="shared" si="35"/>
        <v>0</v>
      </c>
      <c r="E530">
        <v>0.19606627717596889</v>
      </c>
      <c r="F530">
        <f t="shared" si="36"/>
        <v>0</v>
      </c>
      <c r="G530" t="b">
        <f t="shared" si="37"/>
        <v>1</v>
      </c>
      <c r="H530">
        <v>0.49174015607943017</v>
      </c>
    </row>
    <row r="531" spans="1:8" x14ac:dyDescent="0.35">
      <c r="A531" s="13">
        <v>43138</v>
      </c>
      <c r="B531" s="14">
        <v>5255.9</v>
      </c>
      <c r="C531" s="2">
        <f t="shared" si="34"/>
        <v>1.8228102157963777E-2</v>
      </c>
      <c r="D531">
        <f t="shared" si="35"/>
        <v>1</v>
      </c>
      <c r="E531">
        <v>0.17865225475239499</v>
      </c>
      <c r="F531">
        <f t="shared" si="36"/>
        <v>0</v>
      </c>
      <c r="G531" t="b">
        <f t="shared" si="37"/>
        <v>0</v>
      </c>
      <c r="H531">
        <v>0.49174080081449001</v>
      </c>
    </row>
    <row r="532" spans="1:8" x14ac:dyDescent="0.35">
      <c r="A532" s="13">
        <v>43139</v>
      </c>
      <c r="B532" s="14">
        <v>5151.68</v>
      </c>
      <c r="C532" s="2">
        <f t="shared" si="34"/>
        <v>-1.9829144390113851E-2</v>
      </c>
      <c r="D532">
        <f t="shared" si="35"/>
        <v>0</v>
      </c>
      <c r="E532">
        <v>0.23079881577258024</v>
      </c>
      <c r="F532">
        <f t="shared" si="36"/>
        <v>0</v>
      </c>
      <c r="G532" t="b">
        <f t="shared" si="37"/>
        <v>1</v>
      </c>
      <c r="H532">
        <v>0.49174058139876853</v>
      </c>
    </row>
    <row r="533" spans="1:8" x14ac:dyDescent="0.35">
      <c r="A533" s="13">
        <v>43140</v>
      </c>
      <c r="B533" s="14">
        <v>5079.21</v>
      </c>
      <c r="C533" s="2">
        <f t="shared" si="34"/>
        <v>-1.4067255730169648E-2</v>
      </c>
      <c r="D533">
        <f t="shared" si="35"/>
        <v>0</v>
      </c>
      <c r="E533">
        <v>0.20633348508796037</v>
      </c>
      <c r="F533">
        <f t="shared" si="36"/>
        <v>0</v>
      </c>
      <c r="G533" t="b">
        <f t="shared" si="37"/>
        <v>1</v>
      </c>
      <c r="H533">
        <v>0.4917403700808492</v>
      </c>
    </row>
    <row r="534" spans="1:8" x14ac:dyDescent="0.35">
      <c r="A534" s="13">
        <v>43143</v>
      </c>
      <c r="B534" s="14">
        <v>5140.0600000000004</v>
      </c>
      <c r="C534" s="2">
        <f t="shared" si="34"/>
        <v>1.1980209520771945E-2</v>
      </c>
      <c r="D534">
        <f t="shared" si="35"/>
        <v>1</v>
      </c>
      <c r="E534">
        <v>0.17813841636863612</v>
      </c>
      <c r="F534">
        <f t="shared" si="36"/>
        <v>0</v>
      </c>
      <c r="G534" t="b">
        <f t="shared" si="37"/>
        <v>0</v>
      </c>
      <c r="H534">
        <v>0.49174110870484766</v>
      </c>
    </row>
    <row r="535" spans="1:8" x14ac:dyDescent="0.35">
      <c r="A535" s="13">
        <v>43144</v>
      </c>
      <c r="B535" s="14">
        <v>5109.24</v>
      </c>
      <c r="C535" s="2">
        <f t="shared" si="34"/>
        <v>-5.9960389567438321E-3</v>
      </c>
      <c r="D535">
        <f t="shared" si="35"/>
        <v>0</v>
      </c>
      <c r="E535">
        <v>0.29535069579908357</v>
      </c>
      <c r="F535">
        <f t="shared" si="36"/>
        <v>0</v>
      </c>
      <c r="G535" t="b">
        <f t="shared" si="37"/>
        <v>1</v>
      </c>
      <c r="H535">
        <v>0.49174056096376617</v>
      </c>
    </row>
    <row r="536" spans="1:8" x14ac:dyDescent="0.35">
      <c r="A536" s="13">
        <v>43145</v>
      </c>
      <c r="B536" s="14">
        <v>5165.26</v>
      </c>
      <c r="C536" s="2">
        <f t="shared" si="34"/>
        <v>1.0964448724272158E-2</v>
      </c>
      <c r="D536">
        <f t="shared" si="35"/>
        <v>1</v>
      </c>
      <c r="E536">
        <v>0.25590141581921866</v>
      </c>
      <c r="F536">
        <f t="shared" si="36"/>
        <v>0</v>
      </c>
      <c r="G536" t="b">
        <f t="shared" si="37"/>
        <v>0</v>
      </c>
      <c r="H536">
        <v>0.4917420250711747</v>
      </c>
    </row>
    <row r="537" spans="1:8" x14ac:dyDescent="0.35">
      <c r="A537" s="13">
        <v>43146</v>
      </c>
      <c r="B537" s="14">
        <v>5222.5200000000004</v>
      </c>
      <c r="C537" s="2">
        <f t="shared" si="34"/>
        <v>1.1085598788831641E-2</v>
      </c>
      <c r="D537">
        <f t="shared" si="35"/>
        <v>1</v>
      </c>
      <c r="E537">
        <v>0.40919283459280481</v>
      </c>
      <c r="F537">
        <f t="shared" si="36"/>
        <v>0</v>
      </c>
      <c r="G537" t="b">
        <f t="shared" si="37"/>
        <v>0</v>
      </c>
      <c r="H537">
        <v>0.49174209390251106</v>
      </c>
    </row>
    <row r="538" spans="1:8" x14ac:dyDescent="0.35">
      <c r="A538" s="13">
        <v>43147</v>
      </c>
      <c r="B538" s="14">
        <v>5281.58</v>
      </c>
      <c r="C538" s="2">
        <f t="shared" si="34"/>
        <v>1.1308716864655288E-2</v>
      </c>
      <c r="D538">
        <f t="shared" si="35"/>
        <v>1</v>
      </c>
      <c r="E538">
        <v>0.5420721922653613</v>
      </c>
      <c r="F538">
        <f t="shared" si="36"/>
        <v>1</v>
      </c>
      <c r="G538" t="b">
        <f t="shared" si="37"/>
        <v>1</v>
      </c>
      <c r="H538">
        <v>0.49174268919680408</v>
      </c>
    </row>
    <row r="539" spans="1:8" x14ac:dyDescent="0.35">
      <c r="A539" s="13">
        <v>43150</v>
      </c>
      <c r="B539" s="14">
        <v>5256.18</v>
      </c>
      <c r="C539" s="2">
        <f t="shared" si="34"/>
        <v>-4.809166953828159E-3</v>
      </c>
      <c r="D539">
        <f t="shared" si="35"/>
        <v>0</v>
      </c>
      <c r="E539">
        <v>0.66492700689703832</v>
      </c>
      <c r="F539">
        <f t="shared" si="36"/>
        <v>1</v>
      </c>
      <c r="G539" t="b">
        <f t="shared" si="37"/>
        <v>0</v>
      </c>
      <c r="H539">
        <v>0.49174234330379812</v>
      </c>
    </row>
    <row r="540" spans="1:8" x14ac:dyDescent="0.35">
      <c r="A540" s="13">
        <v>43151</v>
      </c>
      <c r="B540" s="14">
        <v>5289.86</v>
      </c>
      <c r="C540" s="2">
        <f t="shared" si="34"/>
        <v>6.4076953224583288E-3</v>
      </c>
      <c r="D540">
        <f t="shared" si="35"/>
        <v>1</v>
      </c>
      <c r="E540">
        <v>0.50036395052543048</v>
      </c>
      <c r="F540">
        <f t="shared" si="36"/>
        <v>1</v>
      </c>
      <c r="G540" t="b">
        <f t="shared" si="37"/>
        <v>1</v>
      </c>
      <c r="H540">
        <v>0.49174262751914094</v>
      </c>
    </row>
    <row r="541" spans="1:8" x14ac:dyDescent="0.35">
      <c r="A541" s="13">
        <v>43152</v>
      </c>
      <c r="B541" s="14">
        <v>5302.17</v>
      </c>
      <c r="C541" s="2">
        <f t="shared" si="34"/>
        <v>2.3270937227073407E-3</v>
      </c>
      <c r="D541">
        <f t="shared" si="35"/>
        <v>1</v>
      </c>
      <c r="E541">
        <v>0.6040363738293496</v>
      </c>
      <c r="F541">
        <f t="shared" si="36"/>
        <v>1</v>
      </c>
      <c r="G541" t="b">
        <f t="shared" si="37"/>
        <v>1</v>
      </c>
      <c r="H541">
        <v>0.49174271207848358</v>
      </c>
    </row>
    <row r="542" spans="1:8" x14ac:dyDescent="0.35">
      <c r="A542" s="13">
        <v>43153</v>
      </c>
      <c r="B542" s="14">
        <v>5309.23</v>
      </c>
      <c r="C542" s="2">
        <f t="shared" si="34"/>
        <v>1.3315302979721721E-3</v>
      </c>
      <c r="D542">
        <f t="shared" si="35"/>
        <v>1</v>
      </c>
      <c r="E542">
        <v>0.65777272936532849</v>
      </c>
      <c r="F542">
        <f t="shared" si="36"/>
        <v>1</v>
      </c>
      <c r="G542" t="b">
        <f t="shared" si="37"/>
        <v>1</v>
      </c>
      <c r="H542">
        <v>0.49174295284792746</v>
      </c>
    </row>
    <row r="543" spans="1:8" x14ac:dyDescent="0.35">
      <c r="A543" s="13">
        <v>43154</v>
      </c>
      <c r="B543" s="14">
        <v>5317.37</v>
      </c>
      <c r="C543" s="2">
        <f t="shared" si="34"/>
        <v>1.5331790108923382E-3</v>
      </c>
      <c r="D543">
        <f t="shared" si="35"/>
        <v>1</v>
      </c>
      <c r="E543">
        <v>0.73876489126806377</v>
      </c>
      <c r="F543">
        <f t="shared" si="36"/>
        <v>1</v>
      </c>
      <c r="G543" t="b">
        <f t="shared" si="37"/>
        <v>1</v>
      </c>
      <c r="H543">
        <v>0.49174326433385357</v>
      </c>
    </row>
    <row r="544" spans="1:8" x14ac:dyDescent="0.35">
      <c r="A544" s="13">
        <v>43157</v>
      </c>
      <c r="B544" s="14">
        <v>5344.26</v>
      </c>
      <c r="C544" s="2">
        <f t="shared" si="34"/>
        <v>5.0570112668482103E-3</v>
      </c>
      <c r="D544">
        <f t="shared" si="35"/>
        <v>1</v>
      </c>
      <c r="E544">
        <v>0.77259260989560741</v>
      </c>
      <c r="F544">
        <f t="shared" si="36"/>
        <v>1</v>
      </c>
      <c r="G544" t="b">
        <f t="shared" si="37"/>
        <v>1</v>
      </c>
      <c r="H544">
        <v>0.49174355532758385</v>
      </c>
    </row>
    <row r="545" spans="1:8" x14ac:dyDescent="0.35">
      <c r="A545" s="13">
        <v>43158</v>
      </c>
      <c r="B545" s="14">
        <v>5343.93</v>
      </c>
      <c r="C545" s="2">
        <f t="shared" si="34"/>
        <v>-6.1748492775404173E-5</v>
      </c>
      <c r="D545">
        <f t="shared" si="35"/>
        <v>0</v>
      </c>
      <c r="E545">
        <v>0.79555440300703151</v>
      </c>
      <c r="F545">
        <f t="shared" si="36"/>
        <v>1</v>
      </c>
      <c r="G545" t="b">
        <f t="shared" si="37"/>
        <v>0</v>
      </c>
      <c r="H545">
        <v>0.49174300130134818</v>
      </c>
    </row>
    <row r="546" spans="1:8" x14ac:dyDescent="0.35">
      <c r="A546" s="13">
        <v>43159</v>
      </c>
      <c r="B546" s="14">
        <v>5320.49</v>
      </c>
      <c r="C546" s="2">
        <f t="shared" si="34"/>
        <v>-4.3862849999907194E-3</v>
      </c>
      <c r="D546">
        <f t="shared" si="35"/>
        <v>0</v>
      </c>
      <c r="E546">
        <v>0.72470254786049504</v>
      </c>
      <c r="F546">
        <f t="shared" si="36"/>
        <v>1</v>
      </c>
      <c r="G546" t="b">
        <f t="shared" si="37"/>
        <v>0</v>
      </c>
      <c r="H546">
        <v>0.49174172797037013</v>
      </c>
    </row>
    <row r="547" spans="1:8" x14ac:dyDescent="0.35">
      <c r="A547" s="13">
        <v>43160</v>
      </c>
      <c r="B547" s="14">
        <v>5262.56</v>
      </c>
      <c r="C547" s="2">
        <f t="shared" si="34"/>
        <v>-1.0888094893515277E-2</v>
      </c>
      <c r="D547">
        <f t="shared" si="35"/>
        <v>0</v>
      </c>
      <c r="E547">
        <v>0.57128286447515775</v>
      </c>
      <c r="F547">
        <f t="shared" si="36"/>
        <v>1</v>
      </c>
      <c r="G547" t="b">
        <f t="shared" si="37"/>
        <v>0</v>
      </c>
      <c r="H547">
        <v>0.49174076437236708</v>
      </c>
    </row>
    <row r="548" spans="1:8" x14ac:dyDescent="0.35">
      <c r="A548" s="13">
        <v>43161</v>
      </c>
      <c r="B548" s="14">
        <v>5136.58</v>
      </c>
      <c r="C548" s="2">
        <f t="shared" si="34"/>
        <v>-2.3938919461250929E-2</v>
      </c>
      <c r="D548">
        <f t="shared" si="35"/>
        <v>0</v>
      </c>
      <c r="E548">
        <v>0.42436561386975002</v>
      </c>
      <c r="F548">
        <f t="shared" si="36"/>
        <v>0</v>
      </c>
      <c r="G548" t="b">
        <f t="shared" si="37"/>
        <v>1</v>
      </c>
      <c r="H548">
        <v>0.49174011939692497</v>
      </c>
    </row>
    <row r="549" spans="1:8" x14ac:dyDescent="0.35">
      <c r="A549" s="13">
        <v>43164</v>
      </c>
      <c r="B549" s="14">
        <v>5167.2299999999996</v>
      </c>
      <c r="C549" s="2">
        <f t="shared" si="34"/>
        <v>5.9670052836711118E-3</v>
      </c>
      <c r="D549">
        <f t="shared" si="35"/>
        <v>1</v>
      </c>
      <c r="E549">
        <v>0.32788025856020991</v>
      </c>
      <c r="F549">
        <f t="shared" si="36"/>
        <v>0</v>
      </c>
      <c r="G549" t="b">
        <f t="shared" si="37"/>
        <v>0</v>
      </c>
      <c r="H549">
        <v>0.49174104991384038</v>
      </c>
    </row>
    <row r="550" spans="1:8" x14ac:dyDescent="0.35">
      <c r="A550" s="13">
        <v>43165</v>
      </c>
      <c r="B550" s="14">
        <v>5170.2299999999996</v>
      </c>
      <c r="C550" s="2">
        <f t="shared" si="34"/>
        <v>5.8058185913933968E-4</v>
      </c>
      <c r="D550">
        <f t="shared" si="35"/>
        <v>1</v>
      </c>
      <c r="E550">
        <v>0.54293256379454624</v>
      </c>
      <c r="F550">
        <f t="shared" si="36"/>
        <v>1</v>
      </c>
      <c r="G550" t="b">
        <f t="shared" si="37"/>
        <v>1</v>
      </c>
      <c r="H550">
        <v>0.49174114259367424</v>
      </c>
    </row>
    <row r="551" spans="1:8" x14ac:dyDescent="0.35">
      <c r="A551" s="13">
        <v>43166</v>
      </c>
      <c r="B551" s="14">
        <v>5187.83</v>
      </c>
      <c r="C551" s="2">
        <f t="shared" si="34"/>
        <v>3.4041038793246603E-3</v>
      </c>
      <c r="D551">
        <f t="shared" si="35"/>
        <v>1</v>
      </c>
      <c r="E551">
        <v>0.65976138040685339</v>
      </c>
      <c r="F551">
        <f t="shared" si="36"/>
        <v>1</v>
      </c>
      <c r="G551" t="b">
        <f t="shared" si="37"/>
        <v>1</v>
      </c>
      <c r="H551">
        <v>0.49174172959096635</v>
      </c>
    </row>
    <row r="552" spans="1:8" x14ac:dyDescent="0.35">
      <c r="A552" s="13">
        <v>43167</v>
      </c>
      <c r="B552" s="14">
        <v>5254.1</v>
      </c>
      <c r="C552" s="2">
        <f t="shared" si="34"/>
        <v>1.2774127139864033E-2</v>
      </c>
      <c r="D552">
        <f t="shared" si="35"/>
        <v>1</v>
      </c>
      <c r="E552">
        <v>0.70714187227065883</v>
      </c>
      <c r="F552">
        <f t="shared" si="36"/>
        <v>1</v>
      </c>
      <c r="G552" t="b">
        <f t="shared" si="37"/>
        <v>1</v>
      </c>
      <c r="H552">
        <v>0.49174192131048033</v>
      </c>
    </row>
    <row r="553" spans="1:8" x14ac:dyDescent="0.35">
      <c r="A553" s="13">
        <v>43168</v>
      </c>
      <c r="B553" s="14">
        <v>5274.4</v>
      </c>
      <c r="C553" s="2">
        <f t="shared" si="34"/>
        <v>3.8636493405148631E-3</v>
      </c>
      <c r="D553">
        <f t="shared" si="35"/>
        <v>1</v>
      </c>
      <c r="E553">
        <v>0.76894624244344756</v>
      </c>
      <c r="F553">
        <f t="shared" si="36"/>
        <v>1</v>
      </c>
      <c r="G553" t="b">
        <f t="shared" si="37"/>
        <v>1</v>
      </c>
      <c r="H553">
        <v>0.49174214108727349</v>
      </c>
    </row>
    <row r="554" spans="1:8" x14ac:dyDescent="0.35">
      <c r="A554" s="13">
        <v>43171</v>
      </c>
      <c r="B554" s="14">
        <v>5276.71</v>
      </c>
      <c r="C554" s="2">
        <f t="shared" si="34"/>
        <v>4.3796450781141694E-4</v>
      </c>
      <c r="D554">
        <f t="shared" si="35"/>
        <v>1</v>
      </c>
      <c r="E554">
        <v>0.79356165324076477</v>
      </c>
      <c r="F554">
        <f t="shared" si="36"/>
        <v>1</v>
      </c>
      <c r="G554" t="b">
        <f t="shared" si="37"/>
        <v>1</v>
      </c>
      <c r="H554">
        <v>0.49174230138138675</v>
      </c>
    </row>
    <row r="555" spans="1:8" x14ac:dyDescent="0.35">
      <c r="A555" s="13">
        <v>43172</v>
      </c>
      <c r="B555" s="14">
        <v>5242.79</v>
      </c>
      <c r="C555" s="2">
        <f t="shared" si="34"/>
        <v>-6.4282479044708296E-3</v>
      </c>
      <c r="D555">
        <f t="shared" si="35"/>
        <v>0</v>
      </c>
      <c r="E555">
        <v>0.81647655388696039</v>
      </c>
      <c r="F555">
        <f t="shared" si="36"/>
        <v>1</v>
      </c>
      <c r="G555" t="b">
        <f t="shared" si="37"/>
        <v>0</v>
      </c>
      <c r="H555">
        <v>0.49174215872720622</v>
      </c>
    </row>
    <row r="556" spans="1:8" x14ac:dyDescent="0.35">
      <c r="A556" s="13">
        <v>43173</v>
      </c>
      <c r="B556" s="14">
        <v>5233.3599999999997</v>
      </c>
      <c r="C556" s="2">
        <f t="shared" si="34"/>
        <v>-1.7986606367984548E-3</v>
      </c>
      <c r="D556">
        <f t="shared" si="35"/>
        <v>0</v>
      </c>
      <c r="E556">
        <v>0.7022568624480674</v>
      </c>
      <c r="F556">
        <f t="shared" si="36"/>
        <v>1</v>
      </c>
      <c r="G556" t="b">
        <f t="shared" si="37"/>
        <v>0</v>
      </c>
      <c r="H556">
        <v>0.49174133496705841</v>
      </c>
    </row>
    <row r="557" spans="1:8" x14ac:dyDescent="0.35">
      <c r="A557" s="13">
        <v>43174</v>
      </c>
      <c r="B557" s="14">
        <v>5267.26</v>
      </c>
      <c r="C557" s="2">
        <f t="shared" si="34"/>
        <v>6.4776739991134757E-3</v>
      </c>
      <c r="D557">
        <f t="shared" si="35"/>
        <v>1</v>
      </c>
      <c r="E557">
        <v>0.50689196094218159</v>
      </c>
      <c r="F557">
        <f t="shared" si="36"/>
        <v>1</v>
      </c>
      <c r="G557" t="b">
        <f t="shared" si="37"/>
        <v>1</v>
      </c>
      <c r="H557">
        <v>0.49174205674052668</v>
      </c>
    </row>
    <row r="558" spans="1:8" x14ac:dyDescent="0.35">
      <c r="A558" s="13">
        <v>43175</v>
      </c>
      <c r="B558" s="14">
        <v>5282.75</v>
      </c>
      <c r="C558" s="2">
        <f t="shared" si="34"/>
        <v>2.9408079342960747E-3</v>
      </c>
      <c r="D558">
        <f t="shared" si="35"/>
        <v>1</v>
      </c>
      <c r="E558">
        <v>0.61988385815395619</v>
      </c>
      <c r="F558">
        <f t="shared" si="36"/>
        <v>1</v>
      </c>
      <c r="G558" t="b">
        <f t="shared" si="37"/>
        <v>1</v>
      </c>
      <c r="H558">
        <v>0.4917427048632948</v>
      </c>
    </row>
    <row r="559" spans="1:8" x14ac:dyDescent="0.35">
      <c r="A559" s="13">
        <v>43178</v>
      </c>
      <c r="B559" s="14">
        <v>5222.84</v>
      </c>
      <c r="C559" s="2">
        <f t="shared" si="34"/>
        <v>-1.1340684302683202E-2</v>
      </c>
      <c r="D559">
        <f t="shared" si="35"/>
        <v>0</v>
      </c>
      <c r="E559">
        <v>0.72528615632111548</v>
      </c>
      <c r="F559">
        <f t="shared" si="36"/>
        <v>1</v>
      </c>
      <c r="G559" t="b">
        <f t="shared" si="37"/>
        <v>0</v>
      </c>
      <c r="H559">
        <v>0.49174156917076789</v>
      </c>
    </row>
    <row r="560" spans="1:8" x14ac:dyDescent="0.35">
      <c r="A560" s="13">
        <v>43179</v>
      </c>
      <c r="B560" s="14">
        <v>5252.43</v>
      </c>
      <c r="C560" s="2">
        <f t="shared" si="34"/>
        <v>5.6654999961707198E-3</v>
      </c>
      <c r="D560">
        <f t="shared" si="35"/>
        <v>1</v>
      </c>
      <c r="E560">
        <v>0.54971764678585311</v>
      </c>
      <c r="F560">
        <f t="shared" si="36"/>
        <v>1</v>
      </c>
      <c r="G560" t="b">
        <f t="shared" si="37"/>
        <v>1</v>
      </c>
      <c r="H560">
        <v>0.491741917427299</v>
      </c>
    </row>
    <row r="561" spans="1:8" x14ac:dyDescent="0.35">
      <c r="A561" s="13">
        <v>43180</v>
      </c>
      <c r="B561" s="14">
        <v>5239.74</v>
      </c>
      <c r="C561" s="2">
        <f t="shared" si="34"/>
        <v>-2.4160245829074611E-3</v>
      </c>
      <c r="D561">
        <f t="shared" si="35"/>
        <v>0</v>
      </c>
      <c r="E561">
        <v>0.69703617409432195</v>
      </c>
      <c r="F561">
        <f t="shared" si="36"/>
        <v>1</v>
      </c>
      <c r="G561" t="b">
        <f t="shared" si="37"/>
        <v>0</v>
      </c>
      <c r="H561">
        <v>0.49174054837486114</v>
      </c>
    </row>
    <row r="562" spans="1:8" x14ac:dyDescent="0.35">
      <c r="A562" s="13">
        <v>43181</v>
      </c>
      <c r="B562" s="14">
        <v>5167.21</v>
      </c>
      <c r="C562" s="2">
        <f t="shared" si="34"/>
        <v>-1.3842289884612557E-2</v>
      </c>
      <c r="D562">
        <f t="shared" si="35"/>
        <v>0</v>
      </c>
      <c r="E562">
        <v>0.53580300974053452</v>
      </c>
      <c r="F562">
        <f t="shared" si="36"/>
        <v>1</v>
      </c>
      <c r="G562" t="b">
        <f t="shared" si="37"/>
        <v>0</v>
      </c>
      <c r="H562">
        <v>0.491739730543644</v>
      </c>
    </row>
    <row r="563" spans="1:8" x14ac:dyDescent="0.35">
      <c r="A563" s="13">
        <v>43182</v>
      </c>
      <c r="B563" s="14">
        <v>5095.22</v>
      </c>
      <c r="C563" s="2">
        <f t="shared" si="34"/>
        <v>-1.3932083271243068E-2</v>
      </c>
      <c r="D563">
        <f t="shared" si="35"/>
        <v>0</v>
      </c>
      <c r="E563">
        <v>0.37757357645806605</v>
      </c>
      <c r="F563">
        <f t="shared" si="36"/>
        <v>0</v>
      </c>
      <c r="G563" t="b">
        <f t="shared" si="37"/>
        <v>1</v>
      </c>
      <c r="H563">
        <v>0.49173896714643761</v>
      </c>
    </row>
    <row r="564" spans="1:8" x14ac:dyDescent="0.35">
      <c r="A564" s="13">
        <v>43185</v>
      </c>
      <c r="B564" s="14">
        <v>5066.28</v>
      </c>
      <c r="C564" s="2">
        <f t="shared" si="34"/>
        <v>-5.6798332554827136E-3</v>
      </c>
      <c r="D564">
        <f t="shared" si="35"/>
        <v>0</v>
      </c>
      <c r="E564">
        <v>0.28047305956241142</v>
      </c>
      <c r="F564">
        <f t="shared" si="36"/>
        <v>0</v>
      </c>
      <c r="G564" t="b">
        <f t="shared" si="37"/>
        <v>1</v>
      </c>
      <c r="H564">
        <v>0.49173883834711213</v>
      </c>
    </row>
    <row r="565" spans="1:8" x14ac:dyDescent="0.35">
      <c r="A565" s="13">
        <v>43186</v>
      </c>
      <c r="B565" s="14">
        <v>5115.74</v>
      </c>
      <c r="C565" s="2">
        <f t="shared" si="34"/>
        <v>9.7625871448083767E-3</v>
      </c>
      <c r="D565">
        <f t="shared" si="35"/>
        <v>1</v>
      </c>
      <c r="E565">
        <v>0.21859525093801296</v>
      </c>
      <c r="F565">
        <f t="shared" si="36"/>
        <v>0</v>
      </c>
      <c r="G565" t="b">
        <f t="shared" si="37"/>
        <v>0</v>
      </c>
      <c r="H565">
        <v>0.49173964109260399</v>
      </c>
    </row>
    <row r="566" spans="1:8" x14ac:dyDescent="0.35">
      <c r="A566" s="13">
        <v>43187</v>
      </c>
      <c r="B566" s="14">
        <v>5130.4399999999996</v>
      </c>
      <c r="C566" s="2">
        <f t="shared" si="34"/>
        <v>2.873484578965968E-3</v>
      </c>
      <c r="D566">
        <f t="shared" si="35"/>
        <v>1</v>
      </c>
      <c r="E566">
        <v>0.37392290508503967</v>
      </c>
      <c r="F566">
        <f t="shared" si="36"/>
        <v>0</v>
      </c>
      <c r="G566" t="b">
        <f t="shared" si="37"/>
        <v>0</v>
      </c>
      <c r="H566">
        <v>0.49174068884480754</v>
      </c>
    </row>
    <row r="567" spans="1:8" x14ac:dyDescent="0.35">
      <c r="A567" s="13">
        <v>43188</v>
      </c>
      <c r="B567" s="14">
        <v>5167.3</v>
      </c>
      <c r="C567" s="2">
        <f t="shared" si="34"/>
        <v>7.184568964845317E-3</v>
      </c>
      <c r="D567">
        <f t="shared" si="35"/>
        <v>1</v>
      </c>
      <c r="E567">
        <v>0.51137984350476806</v>
      </c>
      <c r="F567">
        <f t="shared" si="36"/>
        <v>1</v>
      </c>
      <c r="G567" t="b">
        <f t="shared" si="37"/>
        <v>1</v>
      </c>
      <c r="H567">
        <v>0.49174176625013127</v>
      </c>
    </row>
    <row r="568" spans="1:8" x14ac:dyDescent="0.35">
      <c r="A568" s="13">
        <v>43193</v>
      </c>
      <c r="B568" s="14">
        <v>5152.12</v>
      </c>
      <c r="C568" s="2">
        <f t="shared" si="34"/>
        <v>-2.9377044104271777E-3</v>
      </c>
      <c r="D568">
        <f t="shared" si="35"/>
        <v>0</v>
      </c>
      <c r="E568">
        <v>0.6281309573979168</v>
      </c>
      <c r="F568">
        <f t="shared" si="36"/>
        <v>1</v>
      </c>
      <c r="G568" t="b">
        <f t="shared" si="37"/>
        <v>0</v>
      </c>
      <c r="H568">
        <v>0.49174051152509918</v>
      </c>
    </row>
    <row r="569" spans="1:8" x14ac:dyDescent="0.35">
      <c r="A569" s="13">
        <v>43194</v>
      </c>
      <c r="B569" s="14">
        <v>5141.8</v>
      </c>
      <c r="C569" s="2">
        <f t="shared" si="34"/>
        <v>-2.0030589349626648E-3</v>
      </c>
      <c r="D569">
        <f t="shared" si="35"/>
        <v>0</v>
      </c>
      <c r="E569">
        <v>0.46327005478941191</v>
      </c>
      <c r="F569">
        <f t="shared" si="36"/>
        <v>0</v>
      </c>
      <c r="G569" t="b">
        <f t="shared" si="37"/>
        <v>1</v>
      </c>
      <c r="H569">
        <v>0.49174012827057167</v>
      </c>
    </row>
    <row r="570" spans="1:8" x14ac:dyDescent="0.35">
      <c r="A570" s="13">
        <v>43195</v>
      </c>
      <c r="B570" s="14">
        <v>5276.67</v>
      </c>
      <c r="C570" s="2">
        <f t="shared" si="34"/>
        <v>2.6230113967871116E-2</v>
      </c>
      <c r="D570">
        <f t="shared" si="35"/>
        <v>1</v>
      </c>
      <c r="E570">
        <v>0.35335272382199995</v>
      </c>
      <c r="F570">
        <f t="shared" si="36"/>
        <v>0</v>
      </c>
      <c r="G570" t="b">
        <f t="shared" si="37"/>
        <v>0</v>
      </c>
      <c r="H570">
        <v>0.49174084346080349</v>
      </c>
    </row>
    <row r="571" spans="1:8" x14ac:dyDescent="0.35">
      <c r="A571" s="13">
        <v>43196</v>
      </c>
      <c r="B571" s="14">
        <v>5258.24</v>
      </c>
      <c r="C571" s="2">
        <f t="shared" si="34"/>
        <v>-3.4927331062962752E-3</v>
      </c>
      <c r="D571">
        <f t="shared" si="35"/>
        <v>0</v>
      </c>
      <c r="E571">
        <v>0.49359705593593917</v>
      </c>
      <c r="F571">
        <f t="shared" si="36"/>
        <v>0</v>
      </c>
      <c r="G571" t="b">
        <f t="shared" si="37"/>
        <v>1</v>
      </c>
      <c r="H571">
        <v>0.49174015595389425</v>
      </c>
    </row>
    <row r="572" spans="1:8" x14ac:dyDescent="0.35">
      <c r="A572" s="13">
        <v>43199</v>
      </c>
      <c r="B572" s="14">
        <v>5263.39</v>
      </c>
      <c r="C572" s="2">
        <f t="shared" si="34"/>
        <v>9.7941516553068375E-4</v>
      </c>
      <c r="D572">
        <f t="shared" si="35"/>
        <v>1</v>
      </c>
      <c r="E572">
        <v>0.39203677525811248</v>
      </c>
      <c r="F572">
        <f t="shared" si="36"/>
        <v>0</v>
      </c>
      <c r="G572" t="b">
        <f t="shared" si="37"/>
        <v>0</v>
      </c>
      <c r="H572">
        <v>0.49174035384827608</v>
      </c>
    </row>
    <row r="573" spans="1:8" x14ac:dyDescent="0.35">
      <c r="A573" s="13">
        <v>43200</v>
      </c>
      <c r="B573" s="14">
        <v>5307.56</v>
      </c>
      <c r="C573" s="2">
        <f t="shared" si="34"/>
        <v>8.3919299158907723E-3</v>
      </c>
      <c r="D573">
        <f t="shared" si="35"/>
        <v>1</v>
      </c>
      <c r="E573">
        <v>0.54272580195873998</v>
      </c>
      <c r="F573">
        <f t="shared" si="36"/>
        <v>1</v>
      </c>
      <c r="G573" t="b">
        <f t="shared" si="37"/>
        <v>1</v>
      </c>
      <c r="H573">
        <v>0.49174101402255771</v>
      </c>
    </row>
    <row r="574" spans="1:8" x14ac:dyDescent="0.35">
      <c r="A574" s="13">
        <v>43201</v>
      </c>
      <c r="B574" s="14">
        <v>5277.94</v>
      </c>
      <c r="C574" s="2">
        <f t="shared" si="34"/>
        <v>-5.5807188237158023E-3</v>
      </c>
      <c r="D574">
        <f t="shared" si="35"/>
        <v>0</v>
      </c>
      <c r="E574">
        <v>0.62446366818724575</v>
      </c>
      <c r="F574">
        <f t="shared" si="36"/>
        <v>1</v>
      </c>
      <c r="G574" t="b">
        <f t="shared" si="37"/>
        <v>0</v>
      </c>
      <c r="H574">
        <v>0.49174067740012462</v>
      </c>
    </row>
    <row r="575" spans="1:8" x14ac:dyDescent="0.35">
      <c r="A575" s="13">
        <v>43202</v>
      </c>
      <c r="B575" s="14">
        <v>5309.22</v>
      </c>
      <c r="C575" s="2">
        <f t="shared" si="34"/>
        <v>5.9265546785300938E-3</v>
      </c>
      <c r="D575">
        <f t="shared" si="35"/>
        <v>1</v>
      </c>
      <c r="E575">
        <v>0.5073415129926151</v>
      </c>
      <c r="F575">
        <f t="shared" si="36"/>
        <v>1</v>
      </c>
      <c r="G575" t="b">
        <f t="shared" si="37"/>
        <v>1</v>
      </c>
      <c r="H575">
        <v>0.49174092122309232</v>
      </c>
    </row>
    <row r="576" spans="1:8" x14ac:dyDescent="0.35">
      <c r="A576" s="13">
        <v>43203</v>
      </c>
      <c r="B576" s="14">
        <v>5315.02</v>
      </c>
      <c r="C576" s="2">
        <f t="shared" si="34"/>
        <v>1.0924391906910191E-3</v>
      </c>
      <c r="D576">
        <f t="shared" si="35"/>
        <v>1</v>
      </c>
      <c r="E576">
        <v>0.60076925005670034</v>
      </c>
      <c r="F576">
        <f t="shared" si="36"/>
        <v>1</v>
      </c>
      <c r="G576" t="b">
        <f t="shared" si="37"/>
        <v>1</v>
      </c>
      <c r="H576">
        <v>0.49174153372449148</v>
      </c>
    </row>
    <row r="577" spans="1:8" x14ac:dyDescent="0.35">
      <c r="A577" s="13">
        <v>43206</v>
      </c>
      <c r="B577" s="14">
        <v>5312.96</v>
      </c>
      <c r="C577" s="2">
        <f t="shared" si="34"/>
        <v>-3.8758085576351409E-4</v>
      </c>
      <c r="D577">
        <f t="shared" si="35"/>
        <v>0</v>
      </c>
      <c r="E577">
        <v>0.68739818763734606</v>
      </c>
      <c r="F577">
        <f t="shared" si="36"/>
        <v>1</v>
      </c>
      <c r="G577" t="b">
        <f t="shared" si="37"/>
        <v>0</v>
      </c>
      <c r="H577">
        <v>0.49174015058194165</v>
      </c>
    </row>
    <row r="578" spans="1:8" x14ac:dyDescent="0.35">
      <c r="A578" s="13">
        <v>43207</v>
      </c>
      <c r="B578" s="14">
        <v>5353.54</v>
      </c>
      <c r="C578" s="2">
        <f t="shared" si="34"/>
        <v>7.6379268806840983E-3</v>
      </c>
      <c r="D578">
        <f t="shared" si="35"/>
        <v>1</v>
      </c>
      <c r="E578">
        <v>0.57166919647629644</v>
      </c>
      <c r="F578">
        <f t="shared" si="36"/>
        <v>1</v>
      </c>
      <c r="G578" t="b">
        <f t="shared" si="37"/>
        <v>1</v>
      </c>
      <c r="H578">
        <v>0.49174094974531574</v>
      </c>
    </row>
    <row r="579" spans="1:8" x14ac:dyDescent="0.35">
      <c r="A579" s="13">
        <v>43208</v>
      </c>
      <c r="B579" s="14">
        <v>5380.17</v>
      </c>
      <c r="C579" s="2">
        <f t="shared" si="34"/>
        <v>4.9742787015694123E-3</v>
      </c>
      <c r="D579">
        <f t="shared" si="35"/>
        <v>1</v>
      </c>
      <c r="E579">
        <v>0.70091261253099824</v>
      </c>
      <c r="F579">
        <f t="shared" si="36"/>
        <v>1</v>
      </c>
      <c r="G579" t="b">
        <f t="shared" si="37"/>
        <v>1</v>
      </c>
      <c r="H579">
        <v>0.49174108942937839</v>
      </c>
    </row>
    <row r="580" spans="1:8" x14ac:dyDescent="0.35">
      <c r="A580" s="13">
        <v>43209</v>
      </c>
      <c r="B580" s="14">
        <v>5391.64</v>
      </c>
      <c r="C580" s="2">
        <f t="shared" ref="C580:C643" si="38">(B580/B579)-1</f>
        <v>2.1319028952617725E-3</v>
      </c>
      <c r="D580">
        <f t="shared" si="35"/>
        <v>1</v>
      </c>
      <c r="E580">
        <v>0.73730993176108772</v>
      </c>
      <c r="F580">
        <f t="shared" si="36"/>
        <v>1</v>
      </c>
      <c r="G580" t="b">
        <f t="shared" si="37"/>
        <v>1</v>
      </c>
      <c r="H580">
        <v>0.49174136247725664</v>
      </c>
    </row>
    <row r="581" spans="1:8" x14ac:dyDescent="0.35">
      <c r="A581" s="13">
        <v>43210</v>
      </c>
      <c r="B581" s="14">
        <v>5412.83</v>
      </c>
      <c r="C581" s="2">
        <f t="shared" si="38"/>
        <v>3.9301585417423901E-3</v>
      </c>
      <c r="D581">
        <f t="shared" si="35"/>
        <v>1</v>
      </c>
      <c r="E581">
        <v>0.7628362208451106</v>
      </c>
      <c r="F581">
        <f t="shared" si="36"/>
        <v>1</v>
      </c>
      <c r="G581" t="b">
        <f t="shared" si="37"/>
        <v>1</v>
      </c>
      <c r="H581">
        <v>0.4917415264242409</v>
      </c>
    </row>
    <row r="582" spans="1:8" x14ac:dyDescent="0.35">
      <c r="A582" s="13">
        <v>43213</v>
      </c>
      <c r="B582" s="14">
        <v>5438.55</v>
      </c>
      <c r="C582" s="2">
        <f t="shared" si="38"/>
        <v>4.7516733390851051E-3</v>
      </c>
      <c r="D582">
        <f t="shared" ref="D582:D645" si="39">IF(C582&gt;=0,1,0)</f>
        <v>1</v>
      </c>
      <c r="E582">
        <v>0.78522540538035568</v>
      </c>
      <c r="F582">
        <f t="shared" si="36"/>
        <v>1</v>
      </c>
      <c r="G582" t="b">
        <f t="shared" si="37"/>
        <v>1</v>
      </c>
      <c r="H582">
        <v>0.4917415288422548</v>
      </c>
    </row>
    <row r="583" spans="1:8" x14ac:dyDescent="0.35">
      <c r="A583" s="13">
        <v>43214</v>
      </c>
      <c r="B583" s="14">
        <v>5444.16</v>
      </c>
      <c r="C583" s="2">
        <f t="shared" si="38"/>
        <v>1.0315249469068366E-3</v>
      </c>
      <c r="D583">
        <f t="shared" si="39"/>
        <v>1</v>
      </c>
      <c r="E583">
        <v>0.80109648575158443</v>
      </c>
      <c r="F583">
        <f t="shared" si="36"/>
        <v>1</v>
      </c>
      <c r="G583" t="b">
        <f t="shared" si="37"/>
        <v>1</v>
      </c>
      <c r="H583">
        <v>0.49174169408068924</v>
      </c>
    </row>
    <row r="584" spans="1:8" x14ac:dyDescent="0.35">
      <c r="A584" s="13">
        <v>43215</v>
      </c>
      <c r="B584" s="14">
        <v>5413.3</v>
      </c>
      <c r="C584" s="2">
        <f t="shared" si="38"/>
        <v>-5.6684594133896704E-3</v>
      </c>
      <c r="D584">
        <f t="shared" si="39"/>
        <v>0</v>
      </c>
      <c r="E584">
        <v>0.81536357987908636</v>
      </c>
      <c r="F584">
        <f t="shared" si="36"/>
        <v>1</v>
      </c>
      <c r="G584" t="b">
        <f t="shared" si="37"/>
        <v>0</v>
      </c>
      <c r="H584">
        <v>0.49174059375890017</v>
      </c>
    </row>
    <row r="585" spans="1:8" x14ac:dyDescent="0.35">
      <c r="A585" s="13">
        <v>43216</v>
      </c>
      <c r="B585" s="14">
        <v>5453.58</v>
      </c>
      <c r="C585" s="2">
        <f t="shared" si="38"/>
        <v>7.4409325180573305E-3</v>
      </c>
      <c r="D585">
        <f t="shared" si="39"/>
        <v>1</v>
      </c>
      <c r="E585">
        <v>0.75138783141195886</v>
      </c>
      <c r="F585">
        <f t="shared" ref="F585:F648" si="40">IF(E585&gt;=0.5,1,0)</f>
        <v>1</v>
      </c>
      <c r="G585" t="b">
        <f t="shared" ref="G585:G648" si="41">IF(D585=F585,TRUE,FALSE)</f>
        <v>1</v>
      </c>
      <c r="H585">
        <v>0.49174074519639244</v>
      </c>
    </row>
    <row r="586" spans="1:8" x14ac:dyDescent="0.35">
      <c r="A586" s="13">
        <v>43217</v>
      </c>
      <c r="B586" s="14">
        <v>5483.19</v>
      </c>
      <c r="C586" s="2">
        <f t="shared" si="38"/>
        <v>5.4294610145995126E-3</v>
      </c>
      <c r="D586">
        <f t="shared" si="39"/>
        <v>1</v>
      </c>
      <c r="E586">
        <v>0.77868567934104405</v>
      </c>
      <c r="F586">
        <f t="shared" si="40"/>
        <v>1</v>
      </c>
      <c r="G586" t="b">
        <f t="shared" si="41"/>
        <v>1</v>
      </c>
      <c r="H586">
        <v>0.49174080110978602</v>
      </c>
    </row>
    <row r="587" spans="1:8" x14ac:dyDescent="0.35">
      <c r="A587" s="13">
        <v>43220</v>
      </c>
      <c r="B587" s="14">
        <v>5520.5</v>
      </c>
      <c r="C587" s="2">
        <f t="shared" si="38"/>
        <v>6.8044331857914919E-3</v>
      </c>
      <c r="D587">
        <f t="shared" si="39"/>
        <v>1</v>
      </c>
      <c r="E587">
        <v>0.8098997890970373</v>
      </c>
      <c r="F587">
        <f t="shared" si="40"/>
        <v>1</v>
      </c>
      <c r="G587" t="b">
        <f t="shared" si="41"/>
        <v>1</v>
      </c>
      <c r="H587">
        <v>0.49174105540704138</v>
      </c>
    </row>
    <row r="588" spans="1:8" x14ac:dyDescent="0.35">
      <c r="A588" s="13">
        <v>43222</v>
      </c>
      <c r="B588" s="14">
        <v>5529.22</v>
      </c>
      <c r="C588" s="2">
        <f t="shared" si="38"/>
        <v>1.5795670682003937E-3</v>
      </c>
      <c r="D588">
        <f t="shared" si="39"/>
        <v>1</v>
      </c>
      <c r="E588">
        <v>0.8245846291909773</v>
      </c>
      <c r="F588">
        <f t="shared" si="40"/>
        <v>1</v>
      </c>
      <c r="G588" t="b">
        <f t="shared" si="41"/>
        <v>1</v>
      </c>
      <c r="H588">
        <v>0.4917412745863608</v>
      </c>
    </row>
    <row r="589" spans="1:8" x14ac:dyDescent="0.35">
      <c r="A589" s="13">
        <v>43223</v>
      </c>
      <c r="B589" s="14">
        <v>5501.66</v>
      </c>
      <c r="C589" s="2">
        <f t="shared" si="38"/>
        <v>-4.9844281833604231E-3</v>
      </c>
      <c r="D589">
        <f t="shared" si="39"/>
        <v>0</v>
      </c>
      <c r="E589">
        <v>0.84144055153352537</v>
      </c>
      <c r="F589">
        <f t="shared" si="40"/>
        <v>1</v>
      </c>
      <c r="G589" t="b">
        <f t="shared" si="41"/>
        <v>0</v>
      </c>
      <c r="H589">
        <v>0.49174030277271086</v>
      </c>
    </row>
    <row r="590" spans="1:8" x14ac:dyDescent="0.35">
      <c r="A590" s="13">
        <v>43224</v>
      </c>
      <c r="B590" s="14">
        <v>5516.05</v>
      </c>
      <c r="C590" s="2">
        <f t="shared" si="38"/>
        <v>2.6155742085116618E-3</v>
      </c>
      <c r="D590">
        <f t="shared" si="39"/>
        <v>1</v>
      </c>
      <c r="E590">
        <v>0.74966391470455396</v>
      </c>
      <c r="F590">
        <f t="shared" si="40"/>
        <v>1</v>
      </c>
      <c r="G590" t="b">
        <f t="shared" si="41"/>
        <v>1</v>
      </c>
      <c r="H590">
        <v>0.49174050667826419</v>
      </c>
    </row>
    <row r="591" spans="1:8" x14ac:dyDescent="0.35">
      <c r="A591" s="13">
        <v>43227</v>
      </c>
      <c r="B591" s="14">
        <v>5531.42</v>
      </c>
      <c r="C591" s="2">
        <f t="shared" si="38"/>
        <v>2.7864141913143126E-3</v>
      </c>
      <c r="D591">
        <f t="shared" si="39"/>
        <v>1</v>
      </c>
      <c r="E591">
        <v>0.78099270839871249</v>
      </c>
      <c r="F591">
        <f t="shared" si="40"/>
        <v>1</v>
      </c>
      <c r="G591" t="b">
        <f t="shared" si="41"/>
        <v>1</v>
      </c>
      <c r="H591">
        <v>0.49174074191534362</v>
      </c>
    </row>
    <row r="592" spans="1:8" x14ac:dyDescent="0.35">
      <c r="A592" s="13">
        <v>43228</v>
      </c>
      <c r="B592" s="14">
        <v>5521.93</v>
      </c>
      <c r="C592" s="2">
        <f t="shared" si="38"/>
        <v>-1.7156534850002458E-3</v>
      </c>
      <c r="D592">
        <f t="shared" si="39"/>
        <v>0</v>
      </c>
      <c r="E592">
        <v>0.80429218189801033</v>
      </c>
      <c r="F592">
        <f t="shared" si="40"/>
        <v>1</v>
      </c>
      <c r="G592" t="b">
        <f t="shared" si="41"/>
        <v>0</v>
      </c>
      <c r="H592">
        <v>0.49174007275712928</v>
      </c>
    </row>
    <row r="593" spans="1:8" x14ac:dyDescent="0.35">
      <c r="A593" s="13">
        <v>43229</v>
      </c>
      <c r="B593" s="14">
        <v>5534.63</v>
      </c>
      <c r="C593" s="2">
        <f t="shared" si="38"/>
        <v>2.2999204988110034E-3</v>
      </c>
      <c r="D593">
        <f t="shared" si="39"/>
        <v>1</v>
      </c>
      <c r="E593">
        <v>0.72815305871569669</v>
      </c>
      <c r="F593">
        <f t="shared" si="40"/>
        <v>1</v>
      </c>
      <c r="G593" t="b">
        <f t="shared" si="41"/>
        <v>1</v>
      </c>
      <c r="H593">
        <v>0.49174009780618477</v>
      </c>
    </row>
    <row r="594" spans="1:8" x14ac:dyDescent="0.35">
      <c r="A594" s="13">
        <v>43230</v>
      </c>
      <c r="B594" s="14">
        <v>5545.95</v>
      </c>
      <c r="C594" s="2">
        <f t="shared" si="38"/>
        <v>2.0453038414491864E-3</v>
      </c>
      <c r="D594">
        <f t="shared" si="39"/>
        <v>1</v>
      </c>
      <c r="E594">
        <v>0.75741499935221834</v>
      </c>
      <c r="F594">
        <f t="shared" si="40"/>
        <v>1</v>
      </c>
      <c r="G594" t="b">
        <f t="shared" si="41"/>
        <v>1</v>
      </c>
      <c r="H594">
        <v>0.49174012803027628</v>
      </c>
    </row>
    <row r="595" spans="1:8" x14ac:dyDescent="0.35">
      <c r="A595" s="13">
        <v>43231</v>
      </c>
      <c r="B595" s="14">
        <v>5541.94</v>
      </c>
      <c r="C595" s="2">
        <f t="shared" si="38"/>
        <v>-7.230501537157652E-4</v>
      </c>
      <c r="D595">
        <f t="shared" si="39"/>
        <v>0</v>
      </c>
      <c r="E595">
        <v>0.77443516176646043</v>
      </c>
      <c r="F595">
        <f t="shared" si="40"/>
        <v>1</v>
      </c>
      <c r="G595" t="b">
        <f t="shared" si="41"/>
        <v>0</v>
      </c>
      <c r="H595">
        <v>0.49173929792336801</v>
      </c>
    </row>
    <row r="596" spans="1:8" x14ac:dyDescent="0.35">
      <c r="A596" s="13">
        <v>43234</v>
      </c>
      <c r="B596" s="14">
        <v>5540.68</v>
      </c>
      <c r="C596" s="2">
        <f t="shared" si="38"/>
        <v>-2.2735720704292195E-4</v>
      </c>
      <c r="D596">
        <f t="shared" si="39"/>
        <v>0</v>
      </c>
      <c r="E596">
        <v>0.68579260541912057</v>
      </c>
      <c r="F596">
        <f t="shared" si="40"/>
        <v>1</v>
      </c>
      <c r="G596" t="b">
        <f t="shared" si="41"/>
        <v>0</v>
      </c>
      <c r="H596">
        <v>0.49173836571106783</v>
      </c>
    </row>
    <row r="597" spans="1:8" x14ac:dyDescent="0.35">
      <c r="A597" s="13">
        <v>43235</v>
      </c>
      <c r="B597" s="14">
        <v>5553.16</v>
      </c>
      <c r="C597" s="2">
        <f t="shared" si="38"/>
        <v>2.2524311095388772E-3</v>
      </c>
      <c r="D597">
        <f t="shared" si="39"/>
        <v>1</v>
      </c>
      <c r="E597">
        <v>0.54106387573652381</v>
      </c>
      <c r="F597">
        <f t="shared" si="40"/>
        <v>1</v>
      </c>
      <c r="G597" t="b">
        <f t="shared" si="41"/>
        <v>1</v>
      </c>
      <c r="H597">
        <v>0.49173887029392033</v>
      </c>
    </row>
    <row r="598" spans="1:8" x14ac:dyDescent="0.35">
      <c r="A598" s="13">
        <v>43236</v>
      </c>
      <c r="B598" s="14">
        <v>5567.54</v>
      </c>
      <c r="C598" s="2">
        <f t="shared" si="38"/>
        <v>2.5895165995577507E-3</v>
      </c>
      <c r="D598">
        <f t="shared" si="39"/>
        <v>1</v>
      </c>
      <c r="E598">
        <v>0.62360340101134426</v>
      </c>
      <c r="F598">
        <f t="shared" si="40"/>
        <v>1</v>
      </c>
      <c r="G598" t="b">
        <f t="shared" si="41"/>
        <v>1</v>
      </c>
      <c r="H598">
        <v>0.4917390666621666</v>
      </c>
    </row>
    <row r="599" spans="1:8" x14ac:dyDescent="0.35">
      <c r="A599" s="13">
        <v>43237</v>
      </c>
      <c r="B599" s="14">
        <v>5621.92</v>
      </c>
      <c r="C599" s="2">
        <f t="shared" si="38"/>
        <v>9.7673299159053428E-3</v>
      </c>
      <c r="D599">
        <f t="shared" si="39"/>
        <v>1</v>
      </c>
      <c r="E599">
        <v>0.68654794589683954</v>
      </c>
      <c r="F599">
        <f t="shared" si="40"/>
        <v>1</v>
      </c>
      <c r="G599" t="b">
        <f t="shared" si="41"/>
        <v>1</v>
      </c>
      <c r="H599">
        <v>0.49173951992492809</v>
      </c>
    </row>
    <row r="600" spans="1:8" x14ac:dyDescent="0.35">
      <c r="A600" s="13">
        <v>43238</v>
      </c>
      <c r="B600" s="14">
        <v>5614.51</v>
      </c>
      <c r="C600" s="2">
        <f t="shared" si="38"/>
        <v>-1.3180550416939107E-3</v>
      </c>
      <c r="D600">
        <f t="shared" si="39"/>
        <v>0</v>
      </c>
      <c r="E600">
        <v>0.74225504341434445</v>
      </c>
      <c r="F600">
        <f t="shared" si="40"/>
        <v>1</v>
      </c>
      <c r="G600" t="b">
        <f t="shared" si="41"/>
        <v>0</v>
      </c>
      <c r="H600">
        <v>0.49173900794577563</v>
      </c>
    </row>
    <row r="601" spans="1:8" x14ac:dyDescent="0.35">
      <c r="A601" s="13">
        <v>43241</v>
      </c>
      <c r="B601" s="14">
        <v>5637.51</v>
      </c>
      <c r="C601" s="2">
        <f t="shared" si="38"/>
        <v>4.0965284592957563E-3</v>
      </c>
      <c r="D601">
        <f t="shared" si="39"/>
        <v>1</v>
      </c>
      <c r="E601">
        <v>0.63085168413671167</v>
      </c>
      <c r="F601">
        <f t="shared" si="40"/>
        <v>1</v>
      </c>
      <c r="G601" t="b">
        <f t="shared" si="41"/>
        <v>1</v>
      </c>
      <c r="H601">
        <v>0.49173917176104015</v>
      </c>
    </row>
    <row r="602" spans="1:8" x14ac:dyDescent="0.35">
      <c r="A602" s="13">
        <v>43242</v>
      </c>
      <c r="B602" s="14">
        <v>5640.1</v>
      </c>
      <c r="C602" s="2">
        <f t="shared" si="38"/>
        <v>4.5942268838539135E-4</v>
      </c>
      <c r="D602">
        <f t="shared" si="39"/>
        <v>1</v>
      </c>
      <c r="E602">
        <v>0.7269025178420323</v>
      </c>
      <c r="F602">
        <f t="shared" si="40"/>
        <v>1</v>
      </c>
      <c r="G602" t="b">
        <f t="shared" si="41"/>
        <v>1</v>
      </c>
      <c r="H602">
        <v>0.49173939778561127</v>
      </c>
    </row>
    <row r="603" spans="1:8" x14ac:dyDescent="0.35">
      <c r="A603" s="13">
        <v>43243</v>
      </c>
      <c r="B603" s="14">
        <v>5565.85</v>
      </c>
      <c r="C603" s="2">
        <f t="shared" si="38"/>
        <v>-1.3164660201060219E-2</v>
      </c>
      <c r="D603">
        <f t="shared" si="39"/>
        <v>0</v>
      </c>
      <c r="E603">
        <v>0.76353161830895255</v>
      </c>
      <c r="F603">
        <f t="shared" si="40"/>
        <v>1</v>
      </c>
      <c r="G603" t="b">
        <f t="shared" si="41"/>
        <v>0</v>
      </c>
      <c r="H603">
        <v>0.49173889660967796</v>
      </c>
    </row>
    <row r="604" spans="1:8" x14ac:dyDescent="0.35">
      <c r="A604" s="13">
        <v>43244</v>
      </c>
      <c r="B604" s="14">
        <v>5548.45</v>
      </c>
      <c r="C604" s="2">
        <f t="shared" si="38"/>
        <v>-3.1262071381730205E-3</v>
      </c>
      <c r="D604">
        <f t="shared" si="39"/>
        <v>0</v>
      </c>
      <c r="E604">
        <v>0.65105975058680676</v>
      </c>
      <c r="F604">
        <f t="shared" si="40"/>
        <v>1</v>
      </c>
      <c r="G604" t="b">
        <f t="shared" si="41"/>
        <v>0</v>
      </c>
      <c r="H604">
        <v>0.49173771217650453</v>
      </c>
    </row>
    <row r="605" spans="1:8" x14ac:dyDescent="0.35">
      <c r="A605" s="13">
        <v>43245</v>
      </c>
      <c r="B605" s="14">
        <v>5542.55</v>
      </c>
      <c r="C605" s="2">
        <f t="shared" si="38"/>
        <v>-1.0633600374878593E-3</v>
      </c>
      <c r="D605">
        <f t="shared" si="39"/>
        <v>0</v>
      </c>
      <c r="E605">
        <v>0.45980541963916982</v>
      </c>
      <c r="F605">
        <f t="shared" si="40"/>
        <v>0</v>
      </c>
      <c r="G605" t="b">
        <f t="shared" si="41"/>
        <v>1</v>
      </c>
      <c r="H605">
        <v>0.49173720343809946</v>
      </c>
    </row>
    <row r="606" spans="1:8" x14ac:dyDescent="0.35">
      <c r="A606" s="13">
        <v>43248</v>
      </c>
      <c r="B606" s="14">
        <v>5508.93</v>
      </c>
      <c r="C606" s="2">
        <f t="shared" si="38"/>
        <v>-6.0658000378887023E-3</v>
      </c>
      <c r="D606">
        <f t="shared" si="39"/>
        <v>0</v>
      </c>
      <c r="E606">
        <v>0.34948940219231756</v>
      </c>
      <c r="F606">
        <f t="shared" si="40"/>
        <v>0</v>
      </c>
      <c r="G606" t="b">
        <f t="shared" si="41"/>
        <v>1</v>
      </c>
      <c r="H606">
        <v>0.4917368291811155</v>
      </c>
    </row>
    <row r="607" spans="1:8" x14ac:dyDescent="0.35">
      <c r="A607" s="13">
        <v>43249</v>
      </c>
      <c r="B607" s="14">
        <v>5438.06</v>
      </c>
      <c r="C607" s="2">
        <f t="shared" si="38"/>
        <v>-1.286456716640072E-2</v>
      </c>
      <c r="D607">
        <f t="shared" si="39"/>
        <v>0</v>
      </c>
      <c r="E607">
        <v>0.30494695891540513</v>
      </c>
      <c r="F607">
        <f t="shared" si="40"/>
        <v>0</v>
      </c>
      <c r="G607" t="b">
        <f t="shared" si="41"/>
        <v>1</v>
      </c>
      <c r="H607">
        <v>0.49173660422495802</v>
      </c>
    </row>
    <row r="608" spans="1:8" x14ac:dyDescent="0.35">
      <c r="A608" s="13">
        <v>43250</v>
      </c>
      <c r="B608" s="14">
        <v>5427.35</v>
      </c>
      <c r="C608" s="2">
        <f t="shared" si="38"/>
        <v>-1.9694523414600651E-3</v>
      </c>
      <c r="D608">
        <f t="shared" si="39"/>
        <v>0</v>
      </c>
      <c r="E608">
        <v>0.25493071833720526</v>
      </c>
      <c r="F608">
        <f t="shared" si="40"/>
        <v>0</v>
      </c>
      <c r="G608" t="b">
        <f t="shared" si="41"/>
        <v>1</v>
      </c>
      <c r="H608">
        <v>0.49173653467257084</v>
      </c>
    </row>
    <row r="609" spans="1:8" x14ac:dyDescent="0.35">
      <c r="A609" s="13">
        <v>43251</v>
      </c>
      <c r="B609" s="14">
        <v>5398.4</v>
      </c>
      <c r="C609" s="2">
        <f t="shared" si="38"/>
        <v>-5.3340949081965849E-3</v>
      </c>
      <c r="D609">
        <f t="shared" si="39"/>
        <v>0</v>
      </c>
      <c r="E609">
        <v>0.21305447653693954</v>
      </c>
      <c r="F609">
        <f t="shared" si="40"/>
        <v>0</v>
      </c>
      <c r="G609" t="b">
        <f t="shared" si="41"/>
        <v>1</v>
      </c>
      <c r="H609">
        <v>0.49173623783695902</v>
      </c>
    </row>
    <row r="610" spans="1:8" x14ac:dyDescent="0.35">
      <c r="A610" s="13">
        <v>43252</v>
      </c>
      <c r="B610" s="14">
        <v>5465.53</v>
      </c>
      <c r="C610" s="2">
        <f t="shared" si="38"/>
        <v>1.2435165975103857E-2</v>
      </c>
      <c r="D610">
        <f t="shared" si="39"/>
        <v>1</v>
      </c>
      <c r="E610">
        <v>0.18621818211800903</v>
      </c>
      <c r="F610">
        <f t="shared" si="40"/>
        <v>0</v>
      </c>
      <c r="G610" t="b">
        <f t="shared" si="41"/>
        <v>0</v>
      </c>
      <c r="H610">
        <v>0.49173658056772107</v>
      </c>
    </row>
    <row r="611" spans="1:8" x14ac:dyDescent="0.35">
      <c r="A611" s="13">
        <v>43255</v>
      </c>
      <c r="B611" s="14">
        <v>5472.91</v>
      </c>
      <c r="C611" s="2">
        <f t="shared" si="38"/>
        <v>1.3502807595970889E-3</v>
      </c>
      <c r="D611">
        <f t="shared" si="39"/>
        <v>1</v>
      </c>
      <c r="E611">
        <v>0.293099711701169</v>
      </c>
      <c r="F611">
        <f t="shared" si="40"/>
        <v>0</v>
      </c>
      <c r="G611" t="b">
        <f t="shared" si="41"/>
        <v>0</v>
      </c>
      <c r="H611">
        <v>0.49173703766294147</v>
      </c>
    </row>
    <row r="612" spans="1:8" x14ac:dyDescent="0.35">
      <c r="A612" s="13">
        <v>43256</v>
      </c>
      <c r="B612" s="14">
        <v>5460.95</v>
      </c>
      <c r="C612" s="2">
        <f t="shared" si="38"/>
        <v>-2.1853090951614584E-3</v>
      </c>
      <c r="D612">
        <f t="shared" si="39"/>
        <v>0</v>
      </c>
      <c r="E612">
        <v>0.39987430622628578</v>
      </c>
      <c r="F612">
        <f t="shared" si="40"/>
        <v>0</v>
      </c>
      <c r="G612" t="b">
        <f t="shared" si="41"/>
        <v>1</v>
      </c>
      <c r="H612">
        <v>0.49173656538701116</v>
      </c>
    </row>
    <row r="613" spans="1:8" x14ac:dyDescent="0.35">
      <c r="A613" s="13">
        <v>43257</v>
      </c>
      <c r="B613" s="14">
        <v>5457.56</v>
      </c>
      <c r="C613" s="2">
        <f t="shared" si="38"/>
        <v>-6.2077111125347084E-4</v>
      </c>
      <c r="D613">
        <f t="shared" si="39"/>
        <v>0</v>
      </c>
      <c r="E613">
        <v>0.29359774173057285</v>
      </c>
      <c r="F613">
        <f t="shared" si="40"/>
        <v>0</v>
      </c>
      <c r="G613" t="b">
        <f t="shared" si="41"/>
        <v>1</v>
      </c>
      <c r="H613">
        <v>0.49173626434553713</v>
      </c>
    </row>
    <row r="614" spans="1:8" x14ac:dyDescent="0.35">
      <c r="A614" s="13">
        <v>43258</v>
      </c>
      <c r="B614" s="14">
        <v>5448.36</v>
      </c>
      <c r="C614" s="2">
        <f t="shared" si="38"/>
        <v>-1.6857350171139984E-3</v>
      </c>
      <c r="D614">
        <f t="shared" si="39"/>
        <v>0</v>
      </c>
      <c r="E614">
        <v>0.25617351233704611</v>
      </c>
      <c r="F614">
        <f t="shared" si="40"/>
        <v>0</v>
      </c>
      <c r="G614" t="b">
        <f t="shared" si="41"/>
        <v>1</v>
      </c>
      <c r="H614">
        <v>0.49173604760790596</v>
      </c>
    </row>
    <row r="615" spans="1:8" x14ac:dyDescent="0.35">
      <c r="A615" s="13">
        <v>43259</v>
      </c>
      <c r="B615" s="14">
        <v>5450.22</v>
      </c>
      <c r="C615" s="2">
        <f t="shared" si="38"/>
        <v>3.4138713300890799E-4</v>
      </c>
      <c r="D615">
        <f t="shared" si="39"/>
        <v>1</v>
      </c>
      <c r="E615">
        <v>0.20993613494402782</v>
      </c>
      <c r="F615">
        <f t="shared" si="40"/>
        <v>0</v>
      </c>
      <c r="G615" t="b">
        <f t="shared" si="41"/>
        <v>0</v>
      </c>
      <c r="H615">
        <v>0.49173687956799489</v>
      </c>
    </row>
    <row r="616" spans="1:8" x14ac:dyDescent="0.35">
      <c r="A616" s="13">
        <v>43262</v>
      </c>
      <c r="B616" s="14">
        <v>5473.91</v>
      </c>
      <c r="C616" s="2">
        <f t="shared" si="38"/>
        <v>4.346613531196919E-3</v>
      </c>
      <c r="D616">
        <f t="shared" si="39"/>
        <v>1</v>
      </c>
      <c r="E616">
        <v>0.30585505940047175</v>
      </c>
      <c r="F616">
        <f t="shared" si="40"/>
        <v>0</v>
      </c>
      <c r="G616" t="b">
        <f t="shared" si="41"/>
        <v>0</v>
      </c>
      <c r="H616">
        <v>0.49173784742539056</v>
      </c>
    </row>
    <row r="617" spans="1:8" x14ac:dyDescent="0.35">
      <c r="A617" s="13">
        <v>43263</v>
      </c>
      <c r="B617" s="14">
        <v>5453.37</v>
      </c>
      <c r="C617" s="2">
        <f t="shared" si="38"/>
        <v>-3.7523452157598447E-3</v>
      </c>
      <c r="D617">
        <f t="shared" si="39"/>
        <v>0</v>
      </c>
      <c r="E617">
        <v>0.44037228872914863</v>
      </c>
      <c r="F617">
        <f t="shared" si="40"/>
        <v>0</v>
      </c>
      <c r="G617" t="b">
        <f t="shared" si="41"/>
        <v>1</v>
      </c>
      <c r="H617">
        <v>0.49173711092041134</v>
      </c>
    </row>
    <row r="618" spans="1:8" x14ac:dyDescent="0.35">
      <c r="A618" s="13">
        <v>43264</v>
      </c>
      <c r="B618" s="14">
        <v>5452.73</v>
      </c>
      <c r="C618" s="2">
        <f t="shared" si="38"/>
        <v>-1.1735862411688114E-4</v>
      </c>
      <c r="D618">
        <f t="shared" si="39"/>
        <v>0</v>
      </c>
      <c r="E618">
        <v>0.34636456377945368</v>
      </c>
      <c r="F618">
        <f t="shared" si="40"/>
        <v>0</v>
      </c>
      <c r="G618" t="b">
        <f t="shared" si="41"/>
        <v>1</v>
      </c>
      <c r="H618">
        <v>0.49173644127507282</v>
      </c>
    </row>
    <row r="619" spans="1:8" x14ac:dyDescent="0.35">
      <c r="A619" s="13">
        <v>43265</v>
      </c>
      <c r="B619" s="14">
        <v>5528.46</v>
      </c>
      <c r="C619" s="2">
        <f t="shared" si="38"/>
        <v>1.3888455874397021E-2</v>
      </c>
      <c r="D619">
        <f t="shared" si="39"/>
        <v>1</v>
      </c>
      <c r="E619">
        <v>0.29592141445609504</v>
      </c>
      <c r="F619">
        <f t="shared" si="40"/>
        <v>0</v>
      </c>
      <c r="G619" t="b">
        <f t="shared" si="41"/>
        <v>0</v>
      </c>
      <c r="H619">
        <v>0.4917367867169613</v>
      </c>
    </row>
    <row r="620" spans="1:8" x14ac:dyDescent="0.35">
      <c r="A620" s="13">
        <v>43266</v>
      </c>
      <c r="B620" s="14">
        <v>5501.88</v>
      </c>
      <c r="C620" s="2">
        <f t="shared" si="38"/>
        <v>-4.8078488403642261E-3</v>
      </c>
      <c r="D620">
        <f t="shared" si="39"/>
        <v>0</v>
      </c>
      <c r="E620">
        <v>0.4360348252198703</v>
      </c>
      <c r="F620">
        <f t="shared" si="40"/>
        <v>0</v>
      </c>
      <c r="G620" t="b">
        <f t="shared" si="41"/>
        <v>1</v>
      </c>
      <c r="H620">
        <v>0.49173580279561913</v>
      </c>
    </row>
    <row r="621" spans="1:8" x14ac:dyDescent="0.35">
      <c r="A621" s="13">
        <v>43269</v>
      </c>
      <c r="B621" s="14">
        <v>5450.48</v>
      </c>
      <c r="C621" s="2">
        <f t="shared" si="38"/>
        <v>-9.3422611907203468E-3</v>
      </c>
      <c r="D621">
        <f t="shared" si="39"/>
        <v>0</v>
      </c>
      <c r="E621">
        <v>0.34247937114534799</v>
      </c>
      <c r="F621">
        <f t="shared" si="40"/>
        <v>0</v>
      </c>
      <c r="G621" t="b">
        <f t="shared" si="41"/>
        <v>1</v>
      </c>
      <c r="H621">
        <v>0.49173522962559674</v>
      </c>
    </row>
    <row r="622" spans="1:8" x14ac:dyDescent="0.35">
      <c r="A622" s="13">
        <v>43270</v>
      </c>
      <c r="B622" s="14">
        <v>5390.63</v>
      </c>
      <c r="C622" s="2">
        <f t="shared" si="38"/>
        <v>-1.09806842700092E-2</v>
      </c>
      <c r="D622">
        <f t="shared" si="39"/>
        <v>0</v>
      </c>
      <c r="E622">
        <v>0.28016169680434955</v>
      </c>
      <c r="F622">
        <f t="shared" si="40"/>
        <v>0</v>
      </c>
      <c r="G622" t="b">
        <f t="shared" si="41"/>
        <v>1</v>
      </c>
      <c r="H622">
        <v>0.4917350012808257</v>
      </c>
    </row>
    <row r="623" spans="1:8" x14ac:dyDescent="0.35">
      <c r="A623" s="13">
        <v>43271</v>
      </c>
      <c r="B623" s="14">
        <v>5372.31</v>
      </c>
      <c r="C623" s="2">
        <f t="shared" si="38"/>
        <v>-3.3984896014008781E-3</v>
      </c>
      <c r="D623">
        <f t="shared" si="39"/>
        <v>0</v>
      </c>
      <c r="E623">
        <v>0.24848279208102789</v>
      </c>
      <c r="F623">
        <f t="shared" si="40"/>
        <v>0</v>
      </c>
      <c r="G623" t="b">
        <f t="shared" si="41"/>
        <v>1</v>
      </c>
      <c r="H623">
        <v>0.49173467862884535</v>
      </c>
    </row>
    <row r="624" spans="1:8" x14ac:dyDescent="0.35">
      <c r="A624" s="13">
        <v>43272</v>
      </c>
      <c r="B624" s="14">
        <v>5316.01</v>
      </c>
      <c r="C624" s="2">
        <f t="shared" si="38"/>
        <v>-1.0479663310568488E-2</v>
      </c>
      <c r="D624">
        <f t="shared" si="39"/>
        <v>0</v>
      </c>
      <c r="E624">
        <v>0.21501022122578281</v>
      </c>
      <c r="F624">
        <f t="shared" si="40"/>
        <v>0</v>
      </c>
      <c r="G624" t="b">
        <f t="shared" si="41"/>
        <v>1</v>
      </c>
      <c r="H624">
        <v>0.49173441917828919</v>
      </c>
    </row>
    <row r="625" spans="1:8" x14ac:dyDescent="0.35">
      <c r="A625" s="13">
        <v>43273</v>
      </c>
      <c r="B625" s="14">
        <v>5387.38</v>
      </c>
      <c r="C625" s="2">
        <f t="shared" si="38"/>
        <v>1.3425482645818887E-2</v>
      </c>
      <c r="D625">
        <f t="shared" si="39"/>
        <v>1</v>
      </c>
      <c r="E625">
        <v>0.20335105582583166</v>
      </c>
      <c r="F625">
        <f t="shared" si="40"/>
        <v>0</v>
      </c>
      <c r="G625" t="b">
        <f t="shared" si="41"/>
        <v>0</v>
      </c>
      <c r="H625">
        <v>0.49173552157560857</v>
      </c>
    </row>
    <row r="626" spans="1:8" x14ac:dyDescent="0.35">
      <c r="A626" s="13">
        <v>43276</v>
      </c>
      <c r="B626" s="14">
        <v>5283.86</v>
      </c>
      <c r="C626" s="2">
        <f t="shared" si="38"/>
        <v>-1.9215277184828294E-2</v>
      </c>
      <c r="D626">
        <f t="shared" si="39"/>
        <v>0</v>
      </c>
      <c r="E626">
        <v>0.30694856226676143</v>
      </c>
      <c r="F626">
        <f t="shared" si="40"/>
        <v>0</v>
      </c>
      <c r="G626" t="b">
        <f t="shared" si="41"/>
        <v>1</v>
      </c>
      <c r="H626">
        <v>0.49173534724006468</v>
      </c>
    </row>
    <row r="627" spans="1:8" x14ac:dyDescent="0.35">
      <c r="A627" s="13">
        <v>43277</v>
      </c>
      <c r="B627" s="14">
        <v>5281.29</v>
      </c>
      <c r="C627" s="2">
        <f t="shared" si="38"/>
        <v>-4.8638684598001358E-4</v>
      </c>
      <c r="D627">
        <f t="shared" si="39"/>
        <v>0</v>
      </c>
      <c r="E627">
        <v>0.27020654178766218</v>
      </c>
      <c r="F627">
        <f t="shared" si="40"/>
        <v>0</v>
      </c>
      <c r="G627" t="b">
        <f t="shared" si="41"/>
        <v>1</v>
      </c>
      <c r="H627">
        <v>0.49173495462608496</v>
      </c>
    </row>
    <row r="628" spans="1:8" x14ac:dyDescent="0.35">
      <c r="A628" s="13">
        <v>43278</v>
      </c>
      <c r="B628" s="14">
        <v>5327.2</v>
      </c>
      <c r="C628" s="2">
        <f t="shared" si="38"/>
        <v>8.6929519113700948E-3</v>
      </c>
      <c r="D628">
        <f t="shared" si="39"/>
        <v>1</v>
      </c>
      <c r="E628">
        <v>0.22928435127512972</v>
      </c>
      <c r="F628">
        <f t="shared" si="40"/>
        <v>0</v>
      </c>
      <c r="G628" t="b">
        <f t="shared" si="41"/>
        <v>0</v>
      </c>
      <c r="H628">
        <v>0.49173539315747261</v>
      </c>
    </row>
    <row r="629" spans="1:8" x14ac:dyDescent="0.35">
      <c r="A629" s="13">
        <v>43279</v>
      </c>
      <c r="B629" s="14">
        <v>5275.64</v>
      </c>
      <c r="C629" s="2">
        <f t="shared" si="38"/>
        <v>-9.6786304249886213E-3</v>
      </c>
      <c r="D629">
        <f t="shared" si="39"/>
        <v>0</v>
      </c>
      <c r="E629">
        <v>0.34493587431651196</v>
      </c>
      <c r="F629">
        <f t="shared" si="40"/>
        <v>0</v>
      </c>
      <c r="G629" t="b">
        <f t="shared" si="41"/>
        <v>1</v>
      </c>
      <c r="H629">
        <v>0.49173501804692388</v>
      </c>
    </row>
    <row r="630" spans="1:8" x14ac:dyDescent="0.35">
      <c r="A630" s="13">
        <v>43280</v>
      </c>
      <c r="B630" s="14">
        <v>5323.53</v>
      </c>
      <c r="C630" s="2">
        <f t="shared" si="38"/>
        <v>9.077571631119552E-3</v>
      </c>
      <c r="D630">
        <f t="shared" si="39"/>
        <v>1</v>
      </c>
      <c r="E630">
        <v>0.26245258119093268</v>
      </c>
      <c r="F630">
        <f t="shared" si="40"/>
        <v>0</v>
      </c>
      <c r="G630" t="b">
        <f t="shared" si="41"/>
        <v>0</v>
      </c>
      <c r="H630">
        <v>0.49173555004134978</v>
      </c>
    </row>
    <row r="631" spans="1:8" x14ac:dyDescent="0.35">
      <c r="A631" s="13">
        <v>43283</v>
      </c>
      <c r="B631" s="14">
        <v>5276.76</v>
      </c>
      <c r="C631" s="2">
        <f t="shared" si="38"/>
        <v>-8.7855238911022093E-3</v>
      </c>
      <c r="D631">
        <f t="shared" si="39"/>
        <v>0</v>
      </c>
      <c r="E631">
        <v>0.41577797753256096</v>
      </c>
      <c r="F631">
        <f t="shared" si="40"/>
        <v>0</v>
      </c>
      <c r="G631" t="b">
        <f t="shared" si="41"/>
        <v>1</v>
      </c>
      <c r="H631">
        <v>0.49173499203545307</v>
      </c>
    </row>
    <row r="632" spans="1:8" x14ac:dyDescent="0.35">
      <c r="A632" s="13">
        <v>43284</v>
      </c>
      <c r="B632" s="14">
        <v>5316.77</v>
      </c>
      <c r="C632" s="2">
        <f t="shared" si="38"/>
        <v>7.5823042927858353E-3</v>
      </c>
      <c r="D632">
        <f t="shared" si="39"/>
        <v>1</v>
      </c>
      <c r="E632">
        <v>0.32896413886558046</v>
      </c>
      <c r="F632">
        <f t="shared" si="40"/>
        <v>0</v>
      </c>
      <c r="G632" t="b">
        <f t="shared" si="41"/>
        <v>0</v>
      </c>
      <c r="H632">
        <v>0.49173503162377419</v>
      </c>
    </row>
    <row r="633" spans="1:8" x14ac:dyDescent="0.35">
      <c r="A633" s="13">
        <v>43285</v>
      </c>
      <c r="B633" s="14">
        <v>5320.5</v>
      </c>
      <c r="C633" s="2">
        <f t="shared" si="38"/>
        <v>7.0155376290492732E-4</v>
      </c>
      <c r="D633">
        <f t="shared" si="39"/>
        <v>1</v>
      </c>
      <c r="E633">
        <v>0.48158964471586413</v>
      </c>
      <c r="F633">
        <f t="shared" si="40"/>
        <v>0</v>
      </c>
      <c r="G633" t="b">
        <f t="shared" si="41"/>
        <v>0</v>
      </c>
      <c r="H633">
        <v>0.49173530333223231</v>
      </c>
    </row>
    <row r="634" spans="1:8" x14ac:dyDescent="0.35">
      <c r="A634" s="13">
        <v>43286</v>
      </c>
      <c r="B634" s="14">
        <v>5366.32</v>
      </c>
      <c r="C634" s="2">
        <f t="shared" si="38"/>
        <v>8.6119725589699492E-3</v>
      </c>
      <c r="D634">
        <f t="shared" si="39"/>
        <v>1</v>
      </c>
      <c r="E634">
        <v>0.61811490392823953</v>
      </c>
      <c r="F634">
        <f t="shared" si="40"/>
        <v>1</v>
      </c>
      <c r="G634" t="b">
        <f t="shared" si="41"/>
        <v>1</v>
      </c>
      <c r="H634">
        <v>0.49173579469136863</v>
      </c>
    </row>
    <row r="635" spans="1:8" x14ac:dyDescent="0.35">
      <c r="A635" s="13">
        <v>43287</v>
      </c>
      <c r="B635" s="14">
        <v>5375.77</v>
      </c>
      <c r="C635" s="2">
        <f t="shared" si="38"/>
        <v>1.7609833181773116E-3</v>
      </c>
      <c r="D635">
        <f t="shared" si="39"/>
        <v>1</v>
      </c>
      <c r="E635">
        <v>0.69940190355603882</v>
      </c>
      <c r="F635">
        <f t="shared" si="40"/>
        <v>1</v>
      </c>
      <c r="G635" t="b">
        <f t="shared" si="41"/>
        <v>1</v>
      </c>
      <c r="H635">
        <v>0.49173587715366768</v>
      </c>
    </row>
    <row r="636" spans="1:8" x14ac:dyDescent="0.35">
      <c r="A636" s="13">
        <v>43290</v>
      </c>
      <c r="B636" s="14">
        <v>5398.11</v>
      </c>
      <c r="C636" s="2">
        <f t="shared" si="38"/>
        <v>4.1556837439100658E-3</v>
      </c>
      <c r="D636">
        <f t="shared" si="39"/>
        <v>1</v>
      </c>
      <c r="E636">
        <v>0.76751639882469236</v>
      </c>
      <c r="F636">
        <f t="shared" si="40"/>
        <v>1</v>
      </c>
      <c r="G636" t="b">
        <f t="shared" si="41"/>
        <v>1</v>
      </c>
      <c r="H636">
        <v>0.49173598264140983</v>
      </c>
    </row>
    <row r="637" spans="1:8" x14ac:dyDescent="0.35">
      <c r="A637" s="13">
        <v>43291</v>
      </c>
      <c r="B637" s="14">
        <v>5434.36</v>
      </c>
      <c r="C637" s="2">
        <f t="shared" si="38"/>
        <v>6.715313322625871E-3</v>
      </c>
      <c r="D637">
        <f t="shared" si="39"/>
        <v>1</v>
      </c>
      <c r="E637">
        <v>0.79332469508911219</v>
      </c>
      <c r="F637">
        <f t="shared" si="40"/>
        <v>1</v>
      </c>
      <c r="G637" t="b">
        <f t="shared" si="41"/>
        <v>1</v>
      </c>
      <c r="H637">
        <v>0.49173629849647715</v>
      </c>
    </row>
    <row r="638" spans="1:8" x14ac:dyDescent="0.35">
      <c r="A638" s="13">
        <v>43292</v>
      </c>
      <c r="B638" s="14">
        <v>5353.93</v>
      </c>
      <c r="C638" s="2">
        <f t="shared" si="38"/>
        <v>-1.4800270869062659E-2</v>
      </c>
      <c r="D638">
        <f t="shared" si="39"/>
        <v>0</v>
      </c>
      <c r="E638">
        <v>0.81881612555360961</v>
      </c>
      <c r="F638">
        <f t="shared" si="40"/>
        <v>1</v>
      </c>
      <c r="G638" t="b">
        <f t="shared" si="41"/>
        <v>0</v>
      </c>
      <c r="H638">
        <v>0.49173556544212094</v>
      </c>
    </row>
    <row r="639" spans="1:8" x14ac:dyDescent="0.35">
      <c r="A639" s="13">
        <v>43293</v>
      </c>
      <c r="B639" s="14">
        <v>5405.9</v>
      </c>
      <c r="C639" s="2">
        <f t="shared" si="38"/>
        <v>9.7068882110897814E-3</v>
      </c>
      <c r="D639">
        <f t="shared" si="39"/>
        <v>1</v>
      </c>
      <c r="E639">
        <v>0.73578939836073631</v>
      </c>
      <c r="F639">
        <f t="shared" si="40"/>
        <v>1</v>
      </c>
      <c r="G639" t="b">
        <f t="shared" si="41"/>
        <v>1</v>
      </c>
      <c r="H639">
        <v>0.49173564724492391</v>
      </c>
    </row>
    <row r="640" spans="1:8" x14ac:dyDescent="0.35">
      <c r="A640" s="13">
        <v>43294</v>
      </c>
      <c r="B640" s="14">
        <v>5429.2</v>
      </c>
      <c r="C640" s="2">
        <f t="shared" si="38"/>
        <v>4.3101056253354031E-3</v>
      </c>
      <c r="D640">
        <f t="shared" si="39"/>
        <v>1</v>
      </c>
      <c r="E640">
        <v>0.77869665991771986</v>
      </c>
      <c r="F640">
        <f t="shared" si="40"/>
        <v>1</v>
      </c>
      <c r="G640" t="b">
        <f t="shared" si="41"/>
        <v>1</v>
      </c>
      <c r="H640">
        <v>0.491735976610083</v>
      </c>
    </row>
    <row r="641" spans="1:8" x14ac:dyDescent="0.35">
      <c r="A641" s="13">
        <v>43297</v>
      </c>
      <c r="B641" s="14">
        <v>5409.43</v>
      </c>
      <c r="C641" s="2">
        <f t="shared" si="38"/>
        <v>-3.6414204671036954E-3</v>
      </c>
      <c r="D641">
        <f t="shared" si="39"/>
        <v>0</v>
      </c>
      <c r="E641">
        <v>0.80771722955039893</v>
      </c>
      <c r="F641">
        <f t="shared" si="40"/>
        <v>1</v>
      </c>
      <c r="G641" t="b">
        <f t="shared" si="41"/>
        <v>0</v>
      </c>
      <c r="H641">
        <v>0.49173543620943705</v>
      </c>
    </row>
    <row r="642" spans="1:8" x14ac:dyDescent="0.35">
      <c r="A642" s="13">
        <v>43298</v>
      </c>
      <c r="B642" s="14">
        <v>5422.54</v>
      </c>
      <c r="C642" s="2">
        <f t="shared" si="38"/>
        <v>2.4235455491612434E-3</v>
      </c>
      <c r="D642">
        <f t="shared" si="39"/>
        <v>1</v>
      </c>
      <c r="E642">
        <v>0.69974358856918328</v>
      </c>
      <c r="F642">
        <f t="shared" si="40"/>
        <v>1</v>
      </c>
      <c r="G642" t="b">
        <f t="shared" si="41"/>
        <v>1</v>
      </c>
      <c r="H642">
        <v>0.49173579139388313</v>
      </c>
    </row>
    <row r="643" spans="1:8" x14ac:dyDescent="0.35">
      <c r="A643" s="13">
        <v>43299</v>
      </c>
      <c r="B643" s="14">
        <v>5447.44</v>
      </c>
      <c r="C643" s="2">
        <f t="shared" si="38"/>
        <v>4.591943996724801E-3</v>
      </c>
      <c r="D643">
        <f t="shared" si="39"/>
        <v>1</v>
      </c>
      <c r="E643">
        <v>0.73502151765744039</v>
      </c>
      <c r="F643">
        <f t="shared" si="40"/>
        <v>1</v>
      </c>
      <c r="G643" t="b">
        <f t="shared" si="41"/>
        <v>1</v>
      </c>
      <c r="H643">
        <v>0.49173627335248904</v>
      </c>
    </row>
    <row r="644" spans="1:8" x14ac:dyDescent="0.35">
      <c r="A644" s="13">
        <v>43300</v>
      </c>
      <c r="B644" s="14">
        <v>5417.07</v>
      </c>
      <c r="C644" s="2">
        <f t="shared" ref="C644:C707" si="42">(B644/B643)-1</f>
        <v>-5.575095824827736E-3</v>
      </c>
      <c r="D644">
        <f t="shared" si="39"/>
        <v>0</v>
      </c>
      <c r="E644">
        <v>0.78191149941167504</v>
      </c>
      <c r="F644">
        <f t="shared" si="40"/>
        <v>1</v>
      </c>
      <c r="G644" t="b">
        <f t="shared" si="41"/>
        <v>0</v>
      </c>
      <c r="H644">
        <v>0.49173590792890365</v>
      </c>
    </row>
    <row r="645" spans="1:8" x14ac:dyDescent="0.35">
      <c r="A645" s="13">
        <v>43301</v>
      </c>
      <c r="B645" s="14">
        <v>5398.32</v>
      </c>
      <c r="C645" s="2">
        <f t="shared" si="42"/>
        <v>-3.4612807292503378E-3</v>
      </c>
      <c r="D645">
        <f t="shared" si="39"/>
        <v>0</v>
      </c>
      <c r="E645">
        <v>0.60921503344443961</v>
      </c>
      <c r="F645">
        <f t="shared" si="40"/>
        <v>1</v>
      </c>
      <c r="G645" t="b">
        <f t="shared" si="41"/>
        <v>0</v>
      </c>
      <c r="H645">
        <v>0.49173459929135194</v>
      </c>
    </row>
    <row r="646" spans="1:8" x14ac:dyDescent="0.35">
      <c r="A646" s="13">
        <v>43304</v>
      </c>
      <c r="B646" s="14">
        <v>5378.25</v>
      </c>
      <c r="C646" s="2">
        <f t="shared" si="42"/>
        <v>-3.7178233228114532E-3</v>
      </c>
      <c r="D646">
        <f t="shared" ref="D646:D709" si="43">IF(C646&gt;=0,1,0)</f>
        <v>0</v>
      </c>
      <c r="E646">
        <v>0.49631081892397899</v>
      </c>
      <c r="F646">
        <f t="shared" si="40"/>
        <v>0</v>
      </c>
      <c r="G646" t="b">
        <f t="shared" si="41"/>
        <v>1</v>
      </c>
      <c r="H646">
        <v>0.49173431043558302</v>
      </c>
    </row>
    <row r="647" spans="1:8" x14ac:dyDescent="0.35">
      <c r="A647" s="13">
        <v>43305</v>
      </c>
      <c r="B647" s="14">
        <v>5434.19</v>
      </c>
      <c r="C647" s="2">
        <f t="shared" si="42"/>
        <v>1.0401152791335466E-2</v>
      </c>
      <c r="D647">
        <f t="shared" si="43"/>
        <v>1</v>
      </c>
      <c r="E647">
        <v>0.41117433345498433</v>
      </c>
      <c r="F647">
        <f t="shared" si="40"/>
        <v>0</v>
      </c>
      <c r="G647" t="b">
        <f t="shared" si="41"/>
        <v>0</v>
      </c>
      <c r="H647">
        <v>0.49173544627560761</v>
      </c>
    </row>
    <row r="648" spans="1:8" x14ac:dyDescent="0.35">
      <c r="A648" s="13">
        <v>43306</v>
      </c>
      <c r="B648" s="14">
        <v>5426.41</v>
      </c>
      <c r="C648" s="2">
        <f t="shared" si="42"/>
        <v>-1.431676109962976E-3</v>
      </c>
      <c r="D648">
        <f t="shared" si="43"/>
        <v>0</v>
      </c>
      <c r="E648">
        <v>0.57051068358325163</v>
      </c>
      <c r="F648">
        <f t="shared" si="40"/>
        <v>1</v>
      </c>
      <c r="G648" t="b">
        <f t="shared" si="41"/>
        <v>0</v>
      </c>
      <c r="H648">
        <v>0.49173506093415048</v>
      </c>
    </row>
    <row r="649" spans="1:8" x14ac:dyDescent="0.35">
      <c r="A649" s="13">
        <v>43307</v>
      </c>
      <c r="B649" s="14">
        <v>5480.55</v>
      </c>
      <c r="C649" s="2">
        <f t="shared" si="42"/>
        <v>9.9771303679596635E-3</v>
      </c>
      <c r="D649">
        <f t="shared" si="43"/>
        <v>1</v>
      </c>
      <c r="E649">
        <v>0.43321309870583863</v>
      </c>
      <c r="F649">
        <f t="shared" ref="F649:F712" si="44">IF(E649&gt;=0.5,1,0)</f>
        <v>0</v>
      </c>
      <c r="G649" t="b">
        <f t="shared" ref="G649:G712" si="45">IF(D649=F649,TRUE,FALSE)</f>
        <v>0</v>
      </c>
      <c r="H649">
        <v>0.49173595070836185</v>
      </c>
    </row>
    <row r="650" spans="1:8" x14ac:dyDescent="0.35">
      <c r="A650" s="13">
        <v>43308</v>
      </c>
      <c r="B650" s="14">
        <v>5511.76</v>
      </c>
      <c r="C650" s="2">
        <f t="shared" si="42"/>
        <v>5.6946839277078887E-3</v>
      </c>
      <c r="D650">
        <f t="shared" si="43"/>
        <v>1</v>
      </c>
      <c r="E650">
        <v>0.56725705659414805</v>
      </c>
      <c r="F650">
        <f t="shared" si="44"/>
        <v>1</v>
      </c>
      <c r="G650" t="b">
        <f t="shared" si="45"/>
        <v>1</v>
      </c>
      <c r="H650">
        <v>0.49173641316893446</v>
      </c>
    </row>
    <row r="651" spans="1:8" x14ac:dyDescent="0.35">
      <c r="A651" s="13">
        <v>43311</v>
      </c>
      <c r="B651" s="14">
        <v>5491.22</v>
      </c>
      <c r="C651" s="2">
        <f t="shared" si="42"/>
        <v>-3.7265773546018011E-3</v>
      </c>
      <c r="D651">
        <f t="shared" si="43"/>
        <v>0</v>
      </c>
      <c r="E651">
        <v>0.70443727763694464</v>
      </c>
      <c r="F651">
        <f t="shared" si="44"/>
        <v>1</v>
      </c>
      <c r="G651" t="b">
        <f t="shared" si="45"/>
        <v>0</v>
      </c>
      <c r="H651">
        <v>0.49173613229895324</v>
      </c>
    </row>
    <row r="652" spans="1:8" x14ac:dyDescent="0.35">
      <c r="A652" s="13">
        <v>43312</v>
      </c>
      <c r="B652" s="14">
        <v>5511.3</v>
      </c>
      <c r="C652" s="2">
        <f t="shared" si="42"/>
        <v>3.6567465881898187E-3</v>
      </c>
      <c r="D652">
        <f t="shared" si="43"/>
        <v>1</v>
      </c>
      <c r="E652">
        <v>0.53590272899727076</v>
      </c>
      <c r="F652">
        <f t="shared" si="44"/>
        <v>1</v>
      </c>
      <c r="G652" t="b">
        <f t="shared" si="45"/>
        <v>1</v>
      </c>
      <c r="H652">
        <v>0.49173670716293066</v>
      </c>
    </row>
    <row r="653" spans="1:8" x14ac:dyDescent="0.35">
      <c r="A653" s="13">
        <v>43313</v>
      </c>
      <c r="B653" s="14">
        <v>5498.37</v>
      </c>
      <c r="C653" s="2">
        <f t="shared" si="42"/>
        <v>-2.3460889445321431E-3</v>
      </c>
      <c r="D653">
        <f t="shared" si="43"/>
        <v>0</v>
      </c>
      <c r="E653">
        <v>0.63341468574701709</v>
      </c>
      <c r="F653">
        <f t="shared" si="44"/>
        <v>1</v>
      </c>
      <c r="G653" t="b">
        <f t="shared" si="45"/>
        <v>0</v>
      </c>
      <c r="H653">
        <v>0.4917357002511738</v>
      </c>
    </row>
    <row r="654" spans="1:8" x14ac:dyDescent="0.35">
      <c r="A654" s="13">
        <v>43314</v>
      </c>
      <c r="B654" s="14">
        <v>5460.98</v>
      </c>
      <c r="C654" s="2">
        <f t="shared" si="42"/>
        <v>-6.800197149336995E-3</v>
      </c>
      <c r="D654">
        <f t="shared" si="43"/>
        <v>0</v>
      </c>
      <c r="E654">
        <v>0.45910608170806855</v>
      </c>
      <c r="F654">
        <f t="shared" si="44"/>
        <v>0</v>
      </c>
      <c r="G654" t="b">
        <f t="shared" si="45"/>
        <v>1</v>
      </c>
      <c r="H654">
        <v>0.49173457463799342</v>
      </c>
    </row>
    <row r="655" spans="1:8" x14ac:dyDescent="0.35">
      <c r="A655" s="13">
        <v>43315</v>
      </c>
      <c r="B655" s="14">
        <v>5478.98</v>
      </c>
      <c r="C655" s="2">
        <f t="shared" si="42"/>
        <v>3.296111686913239E-3</v>
      </c>
      <c r="D655">
        <f t="shared" si="43"/>
        <v>1</v>
      </c>
      <c r="E655">
        <v>0.30339084632305502</v>
      </c>
      <c r="F655">
        <f t="shared" si="44"/>
        <v>0</v>
      </c>
      <c r="G655" t="b">
        <f t="shared" si="45"/>
        <v>0</v>
      </c>
      <c r="H655">
        <v>0.49173550022606816</v>
      </c>
    </row>
    <row r="656" spans="1:8" x14ac:dyDescent="0.35">
      <c r="A656" s="13">
        <v>43318</v>
      </c>
      <c r="B656" s="14">
        <v>5477.18</v>
      </c>
      <c r="C656" s="2">
        <f t="shared" si="42"/>
        <v>-3.2852830271312694E-4</v>
      </c>
      <c r="D656">
        <f t="shared" si="43"/>
        <v>0</v>
      </c>
      <c r="E656">
        <v>0.41354787442869961</v>
      </c>
      <c r="F656">
        <f t="shared" si="44"/>
        <v>0</v>
      </c>
      <c r="G656" t="b">
        <f t="shared" si="45"/>
        <v>1</v>
      </c>
      <c r="H656">
        <v>0.49173547710098003</v>
      </c>
    </row>
    <row r="657" spans="1:8" x14ac:dyDescent="0.35">
      <c r="A657" s="13">
        <v>43319</v>
      </c>
      <c r="B657" s="14">
        <v>5521.31</v>
      </c>
      <c r="C657" s="2">
        <f t="shared" si="42"/>
        <v>8.0570658623597691E-3</v>
      </c>
      <c r="D657">
        <f t="shared" si="43"/>
        <v>1</v>
      </c>
      <c r="E657">
        <v>0.32053326159671325</v>
      </c>
      <c r="F657">
        <f t="shared" si="44"/>
        <v>0</v>
      </c>
      <c r="G657" t="b">
        <f t="shared" si="45"/>
        <v>0</v>
      </c>
      <c r="H657">
        <v>0.49173547981780952</v>
      </c>
    </row>
    <row r="658" spans="1:8" x14ac:dyDescent="0.35">
      <c r="A658" s="13">
        <v>43320</v>
      </c>
      <c r="B658" s="14">
        <v>5501.9</v>
      </c>
      <c r="C658" s="2">
        <f t="shared" si="42"/>
        <v>-3.5154700605473099E-3</v>
      </c>
      <c r="D658">
        <f t="shared" si="43"/>
        <v>0</v>
      </c>
      <c r="E658">
        <v>0.3981353230791837</v>
      </c>
      <c r="F658">
        <f t="shared" si="44"/>
        <v>0</v>
      </c>
      <c r="G658" t="b">
        <f t="shared" si="45"/>
        <v>1</v>
      </c>
      <c r="H658">
        <v>0.49173469306197415</v>
      </c>
    </row>
    <row r="659" spans="1:8" x14ac:dyDescent="0.35">
      <c r="A659" s="13">
        <v>43321</v>
      </c>
      <c r="B659" s="14">
        <v>5502.25</v>
      </c>
      <c r="C659" s="2">
        <f t="shared" si="42"/>
        <v>6.3614387757038315E-5</v>
      </c>
      <c r="D659">
        <f t="shared" si="43"/>
        <v>1</v>
      </c>
      <c r="E659">
        <v>0.29124058003704051</v>
      </c>
      <c r="F659">
        <f t="shared" si="44"/>
        <v>0</v>
      </c>
      <c r="G659" t="b">
        <f t="shared" si="45"/>
        <v>0</v>
      </c>
      <c r="H659">
        <v>0.49173527967132258</v>
      </c>
    </row>
    <row r="660" spans="1:8" x14ac:dyDescent="0.35">
      <c r="A660" s="13">
        <v>43322</v>
      </c>
      <c r="B660" s="14">
        <v>5414.68</v>
      </c>
      <c r="C660" s="2">
        <f t="shared" si="42"/>
        <v>-1.5915307374255949E-2</v>
      </c>
      <c r="D660">
        <f t="shared" si="43"/>
        <v>0</v>
      </c>
      <c r="E660">
        <v>0.39015177118920208</v>
      </c>
      <c r="F660">
        <f t="shared" si="44"/>
        <v>0</v>
      </c>
      <c r="G660" t="b">
        <f t="shared" si="45"/>
        <v>1</v>
      </c>
      <c r="H660">
        <v>0.49173514400787716</v>
      </c>
    </row>
    <row r="661" spans="1:8" x14ac:dyDescent="0.35">
      <c r="A661" s="13">
        <v>43325</v>
      </c>
      <c r="B661" s="14">
        <v>5412.32</v>
      </c>
      <c r="C661" s="2">
        <f t="shared" si="42"/>
        <v>-4.3585216485564349E-4</v>
      </c>
      <c r="D661">
        <f t="shared" si="43"/>
        <v>0</v>
      </c>
      <c r="E661">
        <v>0.30328449459599688</v>
      </c>
      <c r="F661">
        <f t="shared" si="44"/>
        <v>0</v>
      </c>
      <c r="G661" t="b">
        <f t="shared" si="45"/>
        <v>1</v>
      </c>
      <c r="H661">
        <v>0.49173453329587996</v>
      </c>
    </row>
    <row r="662" spans="1:8" x14ac:dyDescent="0.35">
      <c r="A662" s="13">
        <v>43326</v>
      </c>
      <c r="B662" s="14">
        <v>5403.41</v>
      </c>
      <c r="C662" s="2">
        <f t="shared" si="42"/>
        <v>-1.646244124515861E-3</v>
      </c>
      <c r="D662">
        <f t="shared" si="43"/>
        <v>0</v>
      </c>
      <c r="E662">
        <v>0.24961055746941865</v>
      </c>
      <c r="F662">
        <f t="shared" si="44"/>
        <v>0</v>
      </c>
      <c r="G662" t="b">
        <f t="shared" si="45"/>
        <v>1</v>
      </c>
      <c r="H662">
        <v>0.49173419325220852</v>
      </c>
    </row>
    <row r="663" spans="1:8" x14ac:dyDescent="0.35">
      <c r="A663" s="13">
        <v>43327</v>
      </c>
      <c r="B663" s="14">
        <v>5305.22</v>
      </c>
      <c r="C663" s="2">
        <f t="shared" si="42"/>
        <v>-1.8171858141432851E-2</v>
      </c>
      <c r="D663">
        <f t="shared" si="43"/>
        <v>0</v>
      </c>
      <c r="E663">
        <v>0.20464183927220572</v>
      </c>
      <c r="F663">
        <f t="shared" si="44"/>
        <v>0</v>
      </c>
      <c r="G663" t="b">
        <f t="shared" si="45"/>
        <v>1</v>
      </c>
      <c r="H663">
        <v>0.4917339407541913</v>
      </c>
    </row>
    <row r="664" spans="1:8" x14ac:dyDescent="0.35">
      <c r="A664" s="13">
        <v>43328</v>
      </c>
      <c r="B664" s="14">
        <v>5349.02</v>
      </c>
      <c r="C664" s="2">
        <f t="shared" si="42"/>
        <v>8.2560195430161354E-3</v>
      </c>
      <c r="D664">
        <f t="shared" si="43"/>
        <v>1</v>
      </c>
      <c r="E664">
        <v>0.17915445478685377</v>
      </c>
      <c r="F664">
        <f t="shared" si="44"/>
        <v>0</v>
      </c>
      <c r="G664" t="b">
        <f t="shared" si="45"/>
        <v>0</v>
      </c>
      <c r="H664">
        <v>0.49173403041250274</v>
      </c>
    </row>
    <row r="665" spans="1:8" x14ac:dyDescent="0.35">
      <c r="A665" s="13">
        <v>43329</v>
      </c>
      <c r="B665" s="14">
        <v>5344.93</v>
      </c>
      <c r="C665" s="2">
        <f t="shared" si="42"/>
        <v>-7.6462604364913034E-4</v>
      </c>
      <c r="D665">
        <f t="shared" si="43"/>
        <v>0</v>
      </c>
      <c r="E665">
        <v>0.25209663933625182</v>
      </c>
      <c r="F665">
        <f t="shared" si="44"/>
        <v>0</v>
      </c>
      <c r="G665" t="b">
        <f t="shared" si="45"/>
        <v>1</v>
      </c>
      <c r="H665">
        <v>0.49173360683318829</v>
      </c>
    </row>
    <row r="666" spans="1:8" x14ac:dyDescent="0.35">
      <c r="A666" s="13">
        <v>43332</v>
      </c>
      <c r="B666" s="14">
        <v>5379.65</v>
      </c>
      <c r="C666" s="2">
        <f t="shared" si="42"/>
        <v>6.4958755306430138E-3</v>
      </c>
      <c r="D666">
        <f t="shared" si="43"/>
        <v>1</v>
      </c>
      <c r="E666">
        <v>0.21713431635175209</v>
      </c>
      <c r="F666">
        <f t="shared" si="44"/>
        <v>0</v>
      </c>
      <c r="G666" t="b">
        <f t="shared" si="45"/>
        <v>0</v>
      </c>
      <c r="H666">
        <v>0.49173483126083484</v>
      </c>
    </row>
    <row r="667" spans="1:8" x14ac:dyDescent="0.35">
      <c r="A667" s="13">
        <v>43333</v>
      </c>
      <c r="B667" s="14">
        <v>5408.6</v>
      </c>
      <c r="C667" s="2">
        <f t="shared" si="42"/>
        <v>5.3813909826849748E-3</v>
      </c>
      <c r="D667">
        <f t="shared" si="43"/>
        <v>1</v>
      </c>
      <c r="E667">
        <v>0.32377519483910833</v>
      </c>
      <c r="F667">
        <f t="shared" si="44"/>
        <v>0</v>
      </c>
      <c r="G667" t="b">
        <f t="shared" si="45"/>
        <v>0</v>
      </c>
      <c r="H667">
        <v>0.49173607454073026</v>
      </c>
    </row>
    <row r="668" spans="1:8" x14ac:dyDescent="0.35">
      <c r="A668" s="13">
        <v>43334</v>
      </c>
      <c r="B668" s="14">
        <v>5420.61</v>
      </c>
      <c r="C668" s="2">
        <f t="shared" si="42"/>
        <v>2.2205376622415063E-3</v>
      </c>
      <c r="D668">
        <f t="shared" si="43"/>
        <v>1</v>
      </c>
      <c r="E668">
        <v>0.45482153976705214</v>
      </c>
      <c r="F668">
        <f t="shared" si="44"/>
        <v>0</v>
      </c>
      <c r="G668" t="b">
        <f t="shared" si="45"/>
        <v>0</v>
      </c>
      <c r="H668">
        <v>0.49173681174151945</v>
      </c>
    </row>
    <row r="669" spans="1:8" x14ac:dyDescent="0.35">
      <c r="A669" s="13">
        <v>43335</v>
      </c>
      <c r="B669" s="14">
        <v>5419.33</v>
      </c>
      <c r="C669" s="2">
        <f t="shared" si="42"/>
        <v>-2.3613578545578218E-4</v>
      </c>
      <c r="D669">
        <f t="shared" si="43"/>
        <v>0</v>
      </c>
      <c r="E669">
        <v>0.59182275529967387</v>
      </c>
      <c r="F669">
        <f t="shared" si="44"/>
        <v>1</v>
      </c>
      <c r="G669" t="b">
        <f t="shared" si="45"/>
        <v>0</v>
      </c>
      <c r="H669">
        <v>0.49173551344428956</v>
      </c>
    </row>
    <row r="670" spans="1:8" x14ac:dyDescent="0.35">
      <c r="A670" s="13">
        <v>43336</v>
      </c>
      <c r="B670" s="14">
        <v>5432.5</v>
      </c>
      <c r="C670" s="2">
        <f t="shared" si="42"/>
        <v>2.4301897097980252E-3</v>
      </c>
      <c r="D670">
        <f t="shared" si="43"/>
        <v>1</v>
      </c>
      <c r="E670">
        <v>0.43593105432149842</v>
      </c>
      <c r="F670">
        <f t="shared" si="44"/>
        <v>0</v>
      </c>
      <c r="G670" t="b">
        <f t="shared" si="45"/>
        <v>0</v>
      </c>
      <c r="H670">
        <v>0.49173606727725711</v>
      </c>
    </row>
    <row r="671" spans="1:8" x14ac:dyDescent="0.35">
      <c r="A671" s="13">
        <v>43339</v>
      </c>
      <c r="B671" s="14">
        <v>5479.1</v>
      </c>
      <c r="C671" s="2">
        <f t="shared" si="42"/>
        <v>8.5780027611597198E-3</v>
      </c>
      <c r="D671">
        <f t="shared" si="43"/>
        <v>1</v>
      </c>
      <c r="E671">
        <v>0.62138302343638474</v>
      </c>
      <c r="F671">
        <f t="shared" si="44"/>
        <v>1</v>
      </c>
      <c r="G671" t="b">
        <f t="shared" si="45"/>
        <v>1</v>
      </c>
      <c r="H671">
        <v>0.49173655086540757</v>
      </c>
    </row>
    <row r="672" spans="1:8" x14ac:dyDescent="0.35">
      <c r="A672" s="13">
        <v>43340</v>
      </c>
      <c r="B672" s="14">
        <v>5484.99</v>
      </c>
      <c r="C672" s="2">
        <f t="shared" si="42"/>
        <v>1.0749940683687509E-3</v>
      </c>
      <c r="D672">
        <f t="shared" si="43"/>
        <v>1</v>
      </c>
      <c r="E672">
        <v>0.68070259309164449</v>
      </c>
      <c r="F672">
        <f t="shared" si="44"/>
        <v>1</v>
      </c>
      <c r="G672" t="b">
        <f t="shared" si="45"/>
        <v>1</v>
      </c>
      <c r="H672">
        <v>0.49173664822757596</v>
      </c>
    </row>
    <row r="673" spans="1:8" x14ac:dyDescent="0.35">
      <c r="A673" s="13">
        <v>43341</v>
      </c>
      <c r="B673" s="14">
        <v>5501.33</v>
      </c>
      <c r="C673" s="2">
        <f t="shared" si="42"/>
        <v>2.9790391595974075E-3</v>
      </c>
      <c r="D673">
        <f t="shared" si="43"/>
        <v>1</v>
      </c>
      <c r="E673">
        <v>0.76000729078841744</v>
      </c>
      <c r="F673">
        <f t="shared" si="44"/>
        <v>1</v>
      </c>
      <c r="G673" t="b">
        <f t="shared" si="45"/>
        <v>1</v>
      </c>
      <c r="H673">
        <v>0.49173677248803932</v>
      </c>
    </row>
    <row r="674" spans="1:8" x14ac:dyDescent="0.35">
      <c r="A674" s="13">
        <v>43342</v>
      </c>
      <c r="B674" s="14">
        <v>5478.06</v>
      </c>
      <c r="C674" s="2">
        <f t="shared" si="42"/>
        <v>-4.2298862275121918E-3</v>
      </c>
      <c r="D674">
        <f t="shared" si="43"/>
        <v>0</v>
      </c>
      <c r="E674">
        <v>0.7923683980570615</v>
      </c>
      <c r="F674">
        <f t="shared" si="44"/>
        <v>1</v>
      </c>
      <c r="G674" t="b">
        <f t="shared" si="45"/>
        <v>0</v>
      </c>
      <c r="H674">
        <v>0.49173643788817517</v>
      </c>
    </row>
    <row r="675" spans="1:8" x14ac:dyDescent="0.35">
      <c r="A675" s="13">
        <v>43343</v>
      </c>
      <c r="B675" s="14">
        <v>5406.85</v>
      </c>
      <c r="C675" s="2">
        <f t="shared" si="42"/>
        <v>-1.2999127428323209E-2</v>
      </c>
      <c r="D675">
        <f t="shared" si="43"/>
        <v>0</v>
      </c>
      <c r="E675">
        <v>0.67396674282859159</v>
      </c>
      <c r="F675">
        <f t="shared" si="44"/>
        <v>1</v>
      </c>
      <c r="G675" t="b">
        <f t="shared" si="45"/>
        <v>0</v>
      </c>
      <c r="H675">
        <v>0.49173567239647709</v>
      </c>
    </row>
    <row r="676" spans="1:8" x14ac:dyDescent="0.35">
      <c r="A676" s="13">
        <v>43346</v>
      </c>
      <c r="B676" s="14">
        <v>5413.8</v>
      </c>
      <c r="C676" s="2">
        <f t="shared" si="42"/>
        <v>1.2854064751195438E-3</v>
      </c>
      <c r="D676">
        <f t="shared" si="43"/>
        <v>1</v>
      </c>
      <c r="E676">
        <v>0.53193372188377763</v>
      </c>
      <c r="F676">
        <f t="shared" si="44"/>
        <v>1</v>
      </c>
      <c r="G676" t="b">
        <f t="shared" si="45"/>
        <v>1</v>
      </c>
      <c r="H676">
        <v>0.49173651054697948</v>
      </c>
    </row>
    <row r="677" spans="1:8" x14ac:dyDescent="0.35">
      <c r="A677" s="13">
        <v>43347</v>
      </c>
      <c r="B677" s="14">
        <v>5342.7</v>
      </c>
      <c r="C677" s="2">
        <f t="shared" si="42"/>
        <v>-1.3133104289039244E-2</v>
      </c>
      <c r="D677">
        <f t="shared" si="43"/>
        <v>0</v>
      </c>
      <c r="E677">
        <v>0.63411282699936833</v>
      </c>
      <c r="F677">
        <f t="shared" si="44"/>
        <v>1</v>
      </c>
      <c r="G677" t="b">
        <f t="shared" si="45"/>
        <v>0</v>
      </c>
      <c r="H677">
        <v>0.49173616275703869</v>
      </c>
    </row>
    <row r="678" spans="1:8" x14ac:dyDescent="0.35">
      <c r="A678" s="13">
        <v>43348</v>
      </c>
      <c r="B678" s="14">
        <v>5260.22</v>
      </c>
      <c r="C678" s="2">
        <f t="shared" si="42"/>
        <v>-1.5437887210586365E-2</v>
      </c>
      <c r="D678">
        <f t="shared" si="43"/>
        <v>0</v>
      </c>
      <c r="E678">
        <v>0.44187601660476161</v>
      </c>
      <c r="F678">
        <f t="shared" si="44"/>
        <v>0</v>
      </c>
      <c r="G678" t="b">
        <f t="shared" si="45"/>
        <v>1</v>
      </c>
      <c r="H678">
        <v>0.49173517715824533</v>
      </c>
    </row>
    <row r="679" spans="1:8" x14ac:dyDescent="0.35">
      <c r="A679" s="13">
        <v>43349</v>
      </c>
      <c r="B679" s="14">
        <v>5243.84</v>
      </c>
      <c r="C679" s="2">
        <f t="shared" si="42"/>
        <v>-3.1139382003034788E-3</v>
      </c>
      <c r="D679">
        <f t="shared" si="43"/>
        <v>0</v>
      </c>
      <c r="E679">
        <v>0.31850495756160158</v>
      </c>
      <c r="F679">
        <f t="shared" si="44"/>
        <v>0</v>
      </c>
      <c r="G679" t="b">
        <f t="shared" si="45"/>
        <v>1</v>
      </c>
      <c r="H679">
        <v>0.49173458337993348</v>
      </c>
    </row>
    <row r="680" spans="1:8" x14ac:dyDescent="0.35">
      <c r="A680" s="13">
        <v>43350</v>
      </c>
      <c r="B680" s="14">
        <v>5252.22</v>
      </c>
      <c r="C680" s="2">
        <f t="shared" si="42"/>
        <v>1.5980655397571653E-3</v>
      </c>
      <c r="D680">
        <f t="shared" si="43"/>
        <v>1</v>
      </c>
      <c r="E680">
        <v>0.24956029904154275</v>
      </c>
      <c r="F680">
        <f t="shared" si="44"/>
        <v>0</v>
      </c>
      <c r="G680" t="b">
        <f t="shared" si="45"/>
        <v>0</v>
      </c>
      <c r="H680">
        <v>0.49173552780338137</v>
      </c>
    </row>
    <row r="681" spans="1:8" x14ac:dyDescent="0.35">
      <c r="A681" s="13">
        <v>43353</v>
      </c>
      <c r="B681" s="14">
        <v>5269.63</v>
      </c>
      <c r="C681" s="2">
        <f t="shared" si="42"/>
        <v>3.3147887940718768E-3</v>
      </c>
      <c r="D681">
        <f t="shared" si="43"/>
        <v>1</v>
      </c>
      <c r="E681">
        <v>0.37893834338208349</v>
      </c>
      <c r="F681">
        <f t="shared" si="44"/>
        <v>0</v>
      </c>
      <c r="G681" t="b">
        <f t="shared" si="45"/>
        <v>0</v>
      </c>
      <c r="H681">
        <v>0.49173613739843497</v>
      </c>
    </row>
    <row r="682" spans="1:8" x14ac:dyDescent="0.35">
      <c r="A682" s="13">
        <v>43354</v>
      </c>
      <c r="B682" s="14">
        <v>5283.79</v>
      </c>
      <c r="C682" s="2">
        <f t="shared" si="42"/>
        <v>2.6870956784441624E-3</v>
      </c>
      <c r="D682">
        <f t="shared" si="43"/>
        <v>1</v>
      </c>
      <c r="E682">
        <v>0.5172613412864967</v>
      </c>
      <c r="F682">
        <f t="shared" si="44"/>
        <v>1</v>
      </c>
      <c r="G682" t="b">
        <f t="shared" si="45"/>
        <v>1</v>
      </c>
      <c r="H682">
        <v>0.49173711317996882</v>
      </c>
    </row>
    <row r="683" spans="1:8" x14ac:dyDescent="0.35">
      <c r="A683" s="13">
        <v>43355</v>
      </c>
      <c r="B683" s="14">
        <v>5332.13</v>
      </c>
      <c r="C683" s="2">
        <f t="shared" si="42"/>
        <v>9.1487360398501139E-3</v>
      </c>
      <c r="D683">
        <f t="shared" si="43"/>
        <v>1</v>
      </c>
      <c r="E683">
        <v>0.67753551740843343</v>
      </c>
      <c r="F683">
        <f t="shared" si="44"/>
        <v>1</v>
      </c>
      <c r="G683" t="b">
        <f t="shared" si="45"/>
        <v>1</v>
      </c>
      <c r="H683">
        <v>0.49173728087740576</v>
      </c>
    </row>
    <row r="684" spans="1:8" x14ac:dyDescent="0.35">
      <c r="A684" s="13">
        <v>43356</v>
      </c>
      <c r="B684" s="14">
        <v>5328.12</v>
      </c>
      <c r="C684" s="2">
        <f t="shared" si="42"/>
        <v>-7.5204468008094327E-4</v>
      </c>
      <c r="D684">
        <f t="shared" si="43"/>
        <v>0</v>
      </c>
      <c r="E684">
        <v>0.73488077372118177</v>
      </c>
      <c r="F684">
        <f t="shared" si="44"/>
        <v>1</v>
      </c>
      <c r="G684" t="b">
        <f t="shared" si="45"/>
        <v>0</v>
      </c>
      <c r="H684">
        <v>0.4917360354339998</v>
      </c>
    </row>
    <row r="685" spans="1:8" x14ac:dyDescent="0.35">
      <c r="A685" s="13">
        <v>43357</v>
      </c>
      <c r="B685" s="14">
        <v>5352.57</v>
      </c>
      <c r="C685" s="2">
        <f t="shared" si="42"/>
        <v>4.588860611247414E-3</v>
      </c>
      <c r="D685">
        <f t="shared" si="43"/>
        <v>1</v>
      </c>
      <c r="E685">
        <v>0.5795538971132288</v>
      </c>
      <c r="F685">
        <f t="shared" si="44"/>
        <v>1</v>
      </c>
      <c r="G685" t="b">
        <f t="shared" si="45"/>
        <v>1</v>
      </c>
      <c r="H685">
        <v>0.49173674738438805</v>
      </c>
    </row>
    <row r="686" spans="1:8" x14ac:dyDescent="0.35">
      <c r="A686" s="13">
        <v>43360</v>
      </c>
      <c r="B686" s="14">
        <v>5348.87</v>
      </c>
      <c r="C686" s="2">
        <f t="shared" si="42"/>
        <v>-6.9125672340575317E-4</v>
      </c>
      <c r="D686">
        <f t="shared" si="43"/>
        <v>0</v>
      </c>
      <c r="E686">
        <v>0.666753048371724</v>
      </c>
      <c r="F686">
        <f t="shared" si="44"/>
        <v>1</v>
      </c>
      <c r="G686" t="b">
        <f t="shared" si="45"/>
        <v>0</v>
      </c>
      <c r="H686">
        <v>0.49173577986443062</v>
      </c>
    </row>
    <row r="687" spans="1:8" x14ac:dyDescent="0.35">
      <c r="A687" s="13">
        <v>43361</v>
      </c>
      <c r="B687" s="14">
        <v>5363.79</v>
      </c>
      <c r="C687" s="2">
        <f t="shared" si="42"/>
        <v>2.7893742042712777E-3</v>
      </c>
      <c r="D687">
        <f t="shared" si="43"/>
        <v>1</v>
      </c>
      <c r="E687">
        <v>0.48777046353800935</v>
      </c>
      <c r="F687">
        <f t="shared" si="44"/>
        <v>0</v>
      </c>
      <c r="G687" t="b">
        <f t="shared" si="45"/>
        <v>0</v>
      </c>
      <c r="H687">
        <v>0.4917366131885153</v>
      </c>
    </row>
    <row r="688" spans="1:8" x14ac:dyDescent="0.35">
      <c r="A688" s="13">
        <v>43362</v>
      </c>
      <c r="B688" s="14">
        <v>5393.74</v>
      </c>
      <c r="C688" s="2">
        <f t="shared" si="42"/>
        <v>5.583738364104418E-3</v>
      </c>
      <c r="D688">
        <f t="shared" si="43"/>
        <v>1</v>
      </c>
      <c r="E688">
        <v>0.6303536352276039</v>
      </c>
      <c r="F688">
        <f t="shared" si="44"/>
        <v>1</v>
      </c>
      <c r="G688" t="b">
        <f t="shared" si="45"/>
        <v>1</v>
      </c>
      <c r="H688">
        <v>0.49173717430594621</v>
      </c>
    </row>
    <row r="689" spans="1:8" x14ac:dyDescent="0.35">
      <c r="A689" s="13">
        <v>43363</v>
      </c>
      <c r="B689" s="14">
        <v>5451.59</v>
      </c>
      <c r="C689" s="2">
        <f t="shared" si="42"/>
        <v>1.0725396478139526E-2</v>
      </c>
      <c r="D689">
        <f t="shared" si="43"/>
        <v>1</v>
      </c>
      <c r="E689">
        <v>0.69299320177663015</v>
      </c>
      <c r="F689">
        <f t="shared" si="44"/>
        <v>1</v>
      </c>
      <c r="G689" t="b">
        <f t="shared" si="45"/>
        <v>1</v>
      </c>
      <c r="H689">
        <v>0.49173767519305089</v>
      </c>
    </row>
    <row r="690" spans="1:8" x14ac:dyDescent="0.35">
      <c r="A690" s="13">
        <v>43364</v>
      </c>
      <c r="B690" s="14">
        <v>5494.17</v>
      </c>
      <c r="C690" s="2">
        <f t="shared" si="42"/>
        <v>7.8105653579965129E-3</v>
      </c>
      <c r="D690">
        <f t="shared" si="43"/>
        <v>1</v>
      </c>
      <c r="E690">
        <v>0.73858914655267027</v>
      </c>
      <c r="F690">
        <f t="shared" si="44"/>
        <v>1</v>
      </c>
      <c r="G690" t="b">
        <f t="shared" si="45"/>
        <v>1</v>
      </c>
      <c r="H690">
        <v>0.49173779989286065</v>
      </c>
    </row>
    <row r="691" spans="1:8" x14ac:dyDescent="0.35">
      <c r="A691" s="13">
        <v>43367</v>
      </c>
      <c r="B691" s="14">
        <v>5476.17</v>
      </c>
      <c r="C691" s="2">
        <f t="shared" si="42"/>
        <v>-3.2762000447746908E-3</v>
      </c>
      <c r="D691">
        <f t="shared" si="43"/>
        <v>0</v>
      </c>
      <c r="E691">
        <v>0.77135371311071232</v>
      </c>
      <c r="F691">
        <f t="shared" si="44"/>
        <v>1</v>
      </c>
      <c r="G691" t="b">
        <f t="shared" si="45"/>
        <v>0</v>
      </c>
      <c r="H691">
        <v>0.49173779425810399</v>
      </c>
    </row>
    <row r="692" spans="1:8" x14ac:dyDescent="0.35">
      <c r="A692" s="13">
        <v>43368</v>
      </c>
      <c r="B692" s="14">
        <v>5479.1</v>
      </c>
      <c r="C692" s="2">
        <f t="shared" si="42"/>
        <v>5.3504547886573661E-4</v>
      </c>
      <c r="D692">
        <f t="shared" si="43"/>
        <v>1</v>
      </c>
      <c r="E692">
        <v>0.64876460061944285</v>
      </c>
      <c r="F692">
        <f t="shared" si="44"/>
        <v>1</v>
      </c>
      <c r="G692" t="b">
        <f t="shared" si="45"/>
        <v>1</v>
      </c>
      <c r="H692">
        <v>0.49173822313845866</v>
      </c>
    </row>
    <row r="693" spans="1:8" x14ac:dyDescent="0.35">
      <c r="A693" s="13">
        <v>43369</v>
      </c>
      <c r="B693" s="14">
        <v>5512.73</v>
      </c>
      <c r="C693" s="2">
        <f t="shared" si="42"/>
        <v>6.1378693581060073E-3</v>
      </c>
      <c r="D693">
        <f t="shared" si="43"/>
        <v>1</v>
      </c>
      <c r="E693">
        <v>0.70134547136204828</v>
      </c>
      <c r="F693">
        <f t="shared" si="44"/>
        <v>1</v>
      </c>
      <c r="G693" t="b">
        <f t="shared" si="45"/>
        <v>1</v>
      </c>
      <c r="H693">
        <v>0.49173863701826892</v>
      </c>
    </row>
    <row r="694" spans="1:8" x14ac:dyDescent="0.35">
      <c r="A694" s="13">
        <v>43370</v>
      </c>
      <c r="B694" s="14">
        <v>5540.41</v>
      </c>
      <c r="C694" s="2">
        <f t="shared" si="42"/>
        <v>5.0211056953632927E-3</v>
      </c>
      <c r="D694">
        <f t="shared" si="43"/>
        <v>1</v>
      </c>
      <c r="E694">
        <v>0.7663494320559433</v>
      </c>
      <c r="F694">
        <f t="shared" si="44"/>
        <v>1</v>
      </c>
      <c r="G694" t="b">
        <f t="shared" si="45"/>
        <v>1</v>
      </c>
      <c r="H694">
        <v>0.49173877832560664</v>
      </c>
    </row>
    <row r="695" spans="1:8" x14ac:dyDescent="0.35">
      <c r="A695" s="13">
        <v>43371</v>
      </c>
      <c r="B695" s="14">
        <v>5493.49</v>
      </c>
      <c r="C695" s="2">
        <f t="shared" si="42"/>
        <v>-8.4686873354138381E-3</v>
      </c>
      <c r="D695">
        <f t="shared" si="43"/>
        <v>0</v>
      </c>
      <c r="E695">
        <v>0.79930821234786842</v>
      </c>
      <c r="F695">
        <f t="shared" si="44"/>
        <v>1</v>
      </c>
      <c r="G695" t="b">
        <f t="shared" si="45"/>
        <v>0</v>
      </c>
      <c r="H695">
        <v>0.49173783323039028</v>
      </c>
    </row>
    <row r="696" spans="1:8" x14ac:dyDescent="0.35">
      <c r="A696" s="13">
        <v>43374</v>
      </c>
      <c r="B696" s="14">
        <v>5506.82</v>
      </c>
      <c r="C696" s="2">
        <f t="shared" si="42"/>
        <v>2.4265084672949744E-3</v>
      </c>
      <c r="D696">
        <f t="shared" si="43"/>
        <v>1</v>
      </c>
      <c r="E696">
        <v>0.71878619893873341</v>
      </c>
      <c r="F696">
        <f t="shared" si="44"/>
        <v>1</v>
      </c>
      <c r="G696" t="b">
        <f t="shared" si="45"/>
        <v>1</v>
      </c>
      <c r="H696">
        <v>0.49173822381921245</v>
      </c>
    </row>
    <row r="697" spans="1:8" x14ac:dyDescent="0.35">
      <c r="A697" s="13">
        <v>43375</v>
      </c>
      <c r="B697" s="14">
        <v>5467.89</v>
      </c>
      <c r="C697" s="2">
        <f t="shared" si="42"/>
        <v>-7.069415742660845E-3</v>
      </c>
      <c r="D697">
        <f t="shared" si="43"/>
        <v>0</v>
      </c>
      <c r="E697">
        <v>0.75907664202766911</v>
      </c>
      <c r="F697">
        <f t="shared" si="44"/>
        <v>1</v>
      </c>
      <c r="G697" t="b">
        <f t="shared" si="45"/>
        <v>0</v>
      </c>
      <c r="H697">
        <v>0.49173700342090404</v>
      </c>
    </row>
    <row r="698" spans="1:8" x14ac:dyDescent="0.35">
      <c r="A698" s="13">
        <v>43376</v>
      </c>
      <c r="B698" s="14">
        <v>5491.4</v>
      </c>
      <c r="C698" s="2">
        <f t="shared" si="42"/>
        <v>4.299647578864807E-3</v>
      </c>
      <c r="D698">
        <f t="shared" si="43"/>
        <v>1</v>
      </c>
      <c r="E698">
        <v>0.61918369345818336</v>
      </c>
      <c r="F698">
        <f t="shared" si="44"/>
        <v>1</v>
      </c>
      <c r="G698" t="b">
        <f t="shared" si="45"/>
        <v>1</v>
      </c>
      <c r="H698">
        <v>0.49173751948242017</v>
      </c>
    </row>
    <row r="699" spans="1:8" x14ac:dyDescent="0.35">
      <c r="A699" s="13">
        <v>43377</v>
      </c>
      <c r="B699" s="14">
        <v>5410.85</v>
      </c>
      <c r="C699" s="2">
        <f t="shared" si="42"/>
        <v>-1.4668390574352541E-2</v>
      </c>
      <c r="D699">
        <f t="shared" si="43"/>
        <v>0</v>
      </c>
      <c r="E699">
        <v>0.71974680757035248</v>
      </c>
      <c r="F699">
        <f t="shared" si="44"/>
        <v>1</v>
      </c>
      <c r="G699" t="b">
        <f t="shared" si="45"/>
        <v>0</v>
      </c>
      <c r="H699">
        <v>0.49173625569428875</v>
      </c>
    </row>
    <row r="700" spans="1:8" x14ac:dyDescent="0.35">
      <c r="A700" s="13">
        <v>43378</v>
      </c>
      <c r="B700" s="14">
        <v>5359.36</v>
      </c>
      <c r="C700" s="2">
        <f t="shared" si="42"/>
        <v>-9.5160649435857003E-3</v>
      </c>
      <c r="D700">
        <f t="shared" si="43"/>
        <v>0</v>
      </c>
      <c r="E700">
        <v>0.55071809339588484</v>
      </c>
      <c r="F700">
        <f t="shared" si="44"/>
        <v>1</v>
      </c>
      <c r="G700" t="b">
        <f t="shared" si="45"/>
        <v>0</v>
      </c>
      <c r="H700">
        <v>0.49173587405579305</v>
      </c>
    </row>
    <row r="701" spans="1:8" x14ac:dyDescent="0.35">
      <c r="A701" s="13">
        <v>43381</v>
      </c>
      <c r="B701" s="14">
        <v>5300.25</v>
      </c>
      <c r="C701" s="2">
        <f t="shared" si="42"/>
        <v>-1.1029302006209663E-2</v>
      </c>
      <c r="D701">
        <f t="shared" si="43"/>
        <v>0</v>
      </c>
      <c r="E701">
        <v>0.40334960321514418</v>
      </c>
      <c r="F701">
        <f t="shared" si="44"/>
        <v>0</v>
      </c>
      <c r="G701" t="b">
        <f t="shared" si="45"/>
        <v>1</v>
      </c>
      <c r="H701">
        <v>0.49173560198820088</v>
      </c>
    </row>
    <row r="702" spans="1:8" x14ac:dyDescent="0.35">
      <c r="A702" s="13">
        <v>43382</v>
      </c>
      <c r="B702" s="14">
        <v>5318.55</v>
      </c>
      <c r="C702" s="2">
        <f t="shared" si="42"/>
        <v>3.4526673270129926E-3</v>
      </c>
      <c r="D702">
        <f t="shared" si="43"/>
        <v>1</v>
      </c>
      <c r="E702">
        <v>0.31592307553642984</v>
      </c>
      <c r="F702">
        <f t="shared" si="44"/>
        <v>0</v>
      </c>
      <c r="G702" t="b">
        <f t="shared" si="45"/>
        <v>0</v>
      </c>
      <c r="H702">
        <v>0.491735787935003</v>
      </c>
    </row>
    <row r="703" spans="1:8" x14ac:dyDescent="0.35">
      <c r="A703" s="13">
        <v>43383</v>
      </c>
      <c r="B703" s="14">
        <v>5206.22</v>
      </c>
      <c r="C703" s="2">
        <f t="shared" si="42"/>
        <v>-2.112041815908472E-2</v>
      </c>
      <c r="D703">
        <f t="shared" si="43"/>
        <v>0</v>
      </c>
      <c r="E703">
        <v>0.4487940720260718</v>
      </c>
      <c r="F703">
        <f t="shared" si="44"/>
        <v>0</v>
      </c>
      <c r="G703" t="b">
        <f t="shared" si="45"/>
        <v>1</v>
      </c>
      <c r="H703">
        <v>0.49173485108666704</v>
      </c>
    </row>
    <row r="704" spans="1:8" x14ac:dyDescent="0.35">
      <c r="A704" s="13">
        <v>43384</v>
      </c>
      <c r="B704" s="14">
        <v>5106.37</v>
      </c>
      <c r="C704" s="2">
        <f t="shared" si="42"/>
        <v>-1.9178982063762229E-2</v>
      </c>
      <c r="D704">
        <f t="shared" si="43"/>
        <v>0</v>
      </c>
      <c r="E704">
        <v>0.31301195163280204</v>
      </c>
      <c r="F704">
        <f t="shared" si="44"/>
        <v>0</v>
      </c>
      <c r="G704" t="b">
        <f t="shared" si="45"/>
        <v>1</v>
      </c>
      <c r="H704">
        <v>0.49173480911935813</v>
      </c>
    </row>
    <row r="705" spans="1:8" x14ac:dyDescent="0.35">
      <c r="A705" s="13">
        <v>43385</v>
      </c>
      <c r="B705" s="14">
        <v>5095.9799999999996</v>
      </c>
      <c r="C705" s="2">
        <f t="shared" si="42"/>
        <v>-2.0347135048969234E-3</v>
      </c>
      <c r="D705">
        <f t="shared" si="43"/>
        <v>0</v>
      </c>
      <c r="E705">
        <v>0.25401339042832388</v>
      </c>
      <c r="F705">
        <f t="shared" si="44"/>
        <v>0</v>
      </c>
      <c r="G705" t="b">
        <f t="shared" si="45"/>
        <v>1</v>
      </c>
      <c r="H705">
        <v>0.49173449608640218</v>
      </c>
    </row>
    <row r="706" spans="1:8" x14ac:dyDescent="0.35">
      <c r="A706" s="13">
        <v>43388</v>
      </c>
      <c r="B706" s="14">
        <v>5095.07</v>
      </c>
      <c r="C706" s="2">
        <f t="shared" si="42"/>
        <v>-1.7857212940397549E-4</v>
      </c>
      <c r="D706">
        <f t="shared" si="43"/>
        <v>0</v>
      </c>
      <c r="E706">
        <v>0.21109811074251711</v>
      </c>
      <c r="F706">
        <f t="shared" si="44"/>
        <v>0</v>
      </c>
      <c r="G706" t="b">
        <f t="shared" si="45"/>
        <v>1</v>
      </c>
      <c r="H706">
        <v>0.4917341515747054</v>
      </c>
    </row>
    <row r="707" spans="1:8" x14ac:dyDescent="0.35">
      <c r="A707" s="13">
        <v>43389</v>
      </c>
      <c r="B707" s="14">
        <v>5173.05</v>
      </c>
      <c r="C707" s="2">
        <f t="shared" si="42"/>
        <v>1.5304990902970994E-2</v>
      </c>
      <c r="D707">
        <f t="shared" si="43"/>
        <v>1</v>
      </c>
      <c r="E707">
        <v>0.18110321892762804</v>
      </c>
      <c r="F707">
        <f t="shared" si="44"/>
        <v>0</v>
      </c>
      <c r="G707" t="b">
        <f t="shared" si="45"/>
        <v>0</v>
      </c>
      <c r="H707">
        <v>0.49173489433381024</v>
      </c>
    </row>
    <row r="708" spans="1:8" x14ac:dyDescent="0.35">
      <c r="A708" s="13">
        <v>43390</v>
      </c>
      <c r="B708" s="14">
        <v>5144.95</v>
      </c>
      <c r="C708" s="2">
        <f t="shared" ref="C708:C735" si="46">(B708/B707)-1</f>
        <v>-5.431998530847415E-3</v>
      </c>
      <c r="D708">
        <f t="shared" si="43"/>
        <v>0</v>
      </c>
      <c r="E708">
        <v>0.29832382743275815</v>
      </c>
      <c r="F708">
        <f t="shared" si="44"/>
        <v>0</v>
      </c>
      <c r="G708" t="b">
        <f t="shared" si="45"/>
        <v>1</v>
      </c>
      <c r="H708">
        <v>0.49173447501049117</v>
      </c>
    </row>
    <row r="709" spans="1:8" x14ac:dyDescent="0.35">
      <c r="A709" s="13">
        <v>43391</v>
      </c>
      <c r="B709" s="14">
        <v>5116.79</v>
      </c>
      <c r="C709" s="2">
        <f t="shared" si="46"/>
        <v>-5.4733282150457585E-3</v>
      </c>
      <c r="D709">
        <f t="shared" si="43"/>
        <v>0</v>
      </c>
      <c r="E709">
        <v>0.24553935029102913</v>
      </c>
      <c r="F709">
        <f t="shared" si="44"/>
        <v>0</v>
      </c>
      <c r="G709" t="b">
        <f t="shared" si="45"/>
        <v>1</v>
      </c>
      <c r="H709">
        <v>0.49173444301427771</v>
      </c>
    </row>
    <row r="710" spans="1:8" x14ac:dyDescent="0.35">
      <c r="A710" s="13">
        <v>43392</v>
      </c>
      <c r="B710" s="14">
        <v>5084.66</v>
      </c>
      <c r="C710" s="2">
        <f t="shared" si="46"/>
        <v>-6.2793274689796341E-3</v>
      </c>
      <c r="D710">
        <f t="shared" ref="D710:D735" si="47">IF(C710&gt;=0,1,0)</f>
        <v>0</v>
      </c>
      <c r="E710">
        <v>0.2188537982815163</v>
      </c>
      <c r="F710">
        <f t="shared" si="44"/>
        <v>0</v>
      </c>
      <c r="G710" t="b">
        <f t="shared" si="45"/>
        <v>1</v>
      </c>
      <c r="H710">
        <v>0.49173421100050502</v>
      </c>
    </row>
    <row r="711" spans="1:8" x14ac:dyDescent="0.35">
      <c r="A711" s="13">
        <v>43395</v>
      </c>
      <c r="B711" s="14">
        <v>5053.3100000000004</v>
      </c>
      <c r="C711" s="2">
        <f t="shared" si="46"/>
        <v>-6.1656039931872186E-3</v>
      </c>
      <c r="D711">
        <f t="shared" si="47"/>
        <v>0</v>
      </c>
      <c r="E711">
        <v>0.18614336167292889</v>
      </c>
      <c r="F711">
        <f t="shared" si="44"/>
        <v>0</v>
      </c>
      <c r="G711" t="b">
        <f t="shared" si="45"/>
        <v>1</v>
      </c>
      <c r="H711">
        <v>0.49173401477712547</v>
      </c>
    </row>
    <row r="712" spans="1:8" x14ac:dyDescent="0.35">
      <c r="A712" s="13">
        <v>43396</v>
      </c>
      <c r="B712" s="14">
        <v>4967.6899999999996</v>
      </c>
      <c r="C712" s="2">
        <f t="shared" si="46"/>
        <v>-1.694335000227587E-2</v>
      </c>
      <c r="D712">
        <f t="shared" si="47"/>
        <v>0</v>
      </c>
      <c r="E712">
        <v>0.16826174548258646</v>
      </c>
      <c r="F712">
        <f t="shared" si="44"/>
        <v>0</v>
      </c>
      <c r="G712" t="b">
        <f t="shared" si="45"/>
        <v>1</v>
      </c>
      <c r="H712">
        <v>0.49173380891681895</v>
      </c>
    </row>
    <row r="713" spans="1:8" x14ac:dyDescent="0.35">
      <c r="A713" s="13">
        <v>43397</v>
      </c>
      <c r="B713" s="14">
        <v>4953.09</v>
      </c>
      <c r="C713" s="2">
        <f t="shared" si="46"/>
        <v>-2.9389917647839603E-3</v>
      </c>
      <c r="D713">
        <f t="shared" si="47"/>
        <v>0</v>
      </c>
      <c r="E713">
        <v>0.15799405241634074</v>
      </c>
      <c r="F713">
        <f t="shared" ref="F713:F735" si="48">IF(E713&gt;=0.5,1,0)</f>
        <v>0</v>
      </c>
      <c r="G713" t="b">
        <f t="shared" ref="G713:G735" si="49">IF(D713=F713,TRUE,FALSE)</f>
        <v>1</v>
      </c>
      <c r="H713">
        <v>0.49173379810840745</v>
      </c>
    </row>
    <row r="714" spans="1:8" x14ac:dyDescent="0.35">
      <c r="A714" s="13">
        <v>43398</v>
      </c>
      <c r="B714" s="14">
        <v>5032.3</v>
      </c>
      <c r="C714" s="2">
        <f t="shared" si="46"/>
        <v>1.5992037293891315E-2</v>
      </c>
      <c r="D714">
        <f t="shared" si="47"/>
        <v>1</v>
      </c>
      <c r="E714">
        <v>0.1470959839284198</v>
      </c>
      <c r="F714">
        <f t="shared" si="48"/>
        <v>0</v>
      </c>
      <c r="G714" t="b">
        <f t="shared" si="49"/>
        <v>0</v>
      </c>
      <c r="H714">
        <v>0.49173469561744237</v>
      </c>
    </row>
    <row r="715" spans="1:8" x14ac:dyDescent="0.35">
      <c r="A715" s="13">
        <v>43402</v>
      </c>
      <c r="B715" s="14">
        <v>4989.3500000000004</v>
      </c>
      <c r="C715" s="2">
        <f t="shared" si="46"/>
        <v>-8.5348647735628003E-3</v>
      </c>
      <c r="D715">
        <f t="shared" si="47"/>
        <v>0</v>
      </c>
      <c r="E715">
        <v>0.21587109009439154</v>
      </c>
      <c r="F715">
        <f t="shared" si="48"/>
        <v>0</v>
      </c>
      <c r="G715" t="b">
        <f t="shared" si="49"/>
        <v>1</v>
      </c>
      <c r="H715">
        <v>0.49173447322817099</v>
      </c>
    </row>
    <row r="716" spans="1:8" x14ac:dyDescent="0.35">
      <c r="A716" s="13">
        <v>43403</v>
      </c>
      <c r="B716" s="14">
        <v>4978.53</v>
      </c>
      <c r="C716" s="2">
        <f t="shared" si="46"/>
        <v>-2.1686191588083936E-3</v>
      </c>
      <c r="D716">
        <f t="shared" si="47"/>
        <v>0</v>
      </c>
      <c r="E716">
        <v>0.19053715400817164</v>
      </c>
      <c r="F716">
        <f t="shared" si="48"/>
        <v>0</v>
      </c>
      <c r="G716" t="b">
        <f t="shared" si="49"/>
        <v>1</v>
      </c>
      <c r="H716">
        <v>0.49173421655312033</v>
      </c>
    </row>
    <row r="717" spans="1:8" x14ac:dyDescent="0.35">
      <c r="A717" s="13">
        <v>43404</v>
      </c>
      <c r="B717" s="14">
        <v>5093.4399999999996</v>
      </c>
      <c r="C717" s="2">
        <f t="shared" si="46"/>
        <v>2.3081110287574758E-2</v>
      </c>
      <c r="D717">
        <f t="shared" si="47"/>
        <v>1</v>
      </c>
      <c r="E717">
        <v>0.17787724412361325</v>
      </c>
      <c r="F717">
        <f t="shared" si="48"/>
        <v>0</v>
      </c>
      <c r="G717" t="b">
        <f t="shared" si="49"/>
        <v>0</v>
      </c>
      <c r="H717">
        <v>0.49173520880282001</v>
      </c>
    </row>
    <row r="718" spans="1:8" x14ac:dyDescent="0.35">
      <c r="A718" s="13">
        <v>43405</v>
      </c>
      <c r="B718" s="14">
        <v>5085.78</v>
      </c>
      <c r="C718" s="2">
        <f t="shared" si="46"/>
        <v>-1.5038952063830546E-3</v>
      </c>
      <c r="D718">
        <f t="shared" si="47"/>
        <v>0</v>
      </c>
      <c r="E718">
        <v>0.26878369685819908</v>
      </c>
      <c r="F718">
        <f t="shared" si="48"/>
        <v>0</v>
      </c>
      <c r="G718" t="b">
        <f t="shared" si="49"/>
        <v>1</v>
      </c>
      <c r="H718">
        <v>0.49173513855661499</v>
      </c>
    </row>
    <row r="719" spans="1:8" x14ac:dyDescent="0.35">
      <c r="A719" s="13">
        <v>43409</v>
      </c>
      <c r="B719" s="14">
        <v>5101.3900000000003</v>
      </c>
      <c r="C719" s="2">
        <f t="shared" si="46"/>
        <v>3.0693423624301719E-3</v>
      </c>
      <c r="D719">
        <f t="shared" si="47"/>
        <v>1</v>
      </c>
      <c r="E719">
        <v>0.22645096319412139</v>
      </c>
      <c r="F719">
        <f t="shared" si="48"/>
        <v>0</v>
      </c>
      <c r="G719" t="b">
        <f t="shared" si="49"/>
        <v>0</v>
      </c>
      <c r="H719">
        <v>0.49173555389170676</v>
      </c>
    </row>
    <row r="720" spans="1:8" x14ac:dyDescent="0.35">
      <c r="A720" s="13">
        <v>43410</v>
      </c>
      <c r="B720" s="14">
        <v>5075.1899999999996</v>
      </c>
      <c r="C720" s="2">
        <f t="shared" si="46"/>
        <v>-5.1358551296805111E-3</v>
      </c>
      <c r="D720">
        <f t="shared" si="47"/>
        <v>0</v>
      </c>
      <c r="E720">
        <v>0.35024043965672602</v>
      </c>
      <c r="F720">
        <f t="shared" si="48"/>
        <v>0</v>
      </c>
      <c r="G720" t="b">
        <f t="shared" si="49"/>
        <v>1</v>
      </c>
      <c r="H720">
        <v>0.49173522060338176</v>
      </c>
    </row>
    <row r="721" spans="1:8" x14ac:dyDescent="0.35">
      <c r="A721" s="13">
        <v>43411</v>
      </c>
      <c r="B721" s="14">
        <v>5137.9399999999996</v>
      </c>
      <c r="C721" s="2">
        <f t="shared" si="46"/>
        <v>1.2364069128446342E-2</v>
      </c>
      <c r="D721">
        <f t="shared" si="47"/>
        <v>1</v>
      </c>
      <c r="E721">
        <v>0.25501092351626831</v>
      </c>
      <c r="F721">
        <f t="shared" si="48"/>
        <v>0</v>
      </c>
      <c r="G721" t="b">
        <f t="shared" si="49"/>
        <v>0</v>
      </c>
      <c r="H721">
        <v>0.49173549516247722</v>
      </c>
    </row>
    <row r="722" spans="1:8" x14ac:dyDescent="0.35">
      <c r="A722" s="13">
        <v>43412</v>
      </c>
      <c r="B722" s="14">
        <v>5131.45</v>
      </c>
      <c r="C722" s="2">
        <f t="shared" si="46"/>
        <v>-1.2631521582578964E-3</v>
      </c>
      <c r="D722">
        <f t="shared" si="47"/>
        <v>0</v>
      </c>
      <c r="E722">
        <v>0.41976696580230294</v>
      </c>
      <c r="F722">
        <f t="shared" si="48"/>
        <v>0</v>
      </c>
      <c r="G722" t="b">
        <f t="shared" si="49"/>
        <v>1</v>
      </c>
      <c r="H722">
        <v>0.49173453224152391</v>
      </c>
    </row>
    <row r="723" spans="1:8" x14ac:dyDescent="0.35">
      <c r="A723" s="13">
        <v>43413</v>
      </c>
      <c r="B723" s="14">
        <v>5106.75</v>
      </c>
      <c r="C723" s="2">
        <f t="shared" si="46"/>
        <v>-4.813454286800023E-3</v>
      </c>
      <c r="D723">
        <f t="shared" si="47"/>
        <v>0</v>
      </c>
      <c r="E723">
        <v>0.29218728633654517</v>
      </c>
      <c r="F723">
        <f t="shared" si="48"/>
        <v>0</v>
      </c>
      <c r="G723" t="b">
        <f t="shared" si="49"/>
        <v>1</v>
      </c>
      <c r="H723">
        <v>0.49173406374091105</v>
      </c>
    </row>
    <row r="724" spans="1:8" x14ac:dyDescent="0.35">
      <c r="A724" s="13">
        <v>43416</v>
      </c>
      <c r="B724" s="14">
        <v>5059.09</v>
      </c>
      <c r="C724" s="2">
        <f t="shared" si="46"/>
        <v>-9.3327458755568804E-3</v>
      </c>
      <c r="D724">
        <f t="shared" si="47"/>
        <v>0</v>
      </c>
      <c r="E724">
        <v>0.23715801066764705</v>
      </c>
      <c r="F724">
        <f t="shared" si="48"/>
        <v>0</v>
      </c>
      <c r="G724" t="b">
        <f t="shared" si="49"/>
        <v>1</v>
      </c>
      <c r="H724">
        <v>0.49173371299786517</v>
      </c>
    </row>
    <row r="725" spans="1:8" x14ac:dyDescent="0.35">
      <c r="A725" s="13">
        <v>43417</v>
      </c>
      <c r="B725" s="14">
        <v>5101.8500000000004</v>
      </c>
      <c r="C725" s="2">
        <f t="shared" si="46"/>
        <v>8.4521129294004016E-3</v>
      </c>
      <c r="D725">
        <f t="shared" si="47"/>
        <v>1</v>
      </c>
      <c r="E725">
        <v>0.20432373993367658</v>
      </c>
      <c r="F725">
        <f t="shared" si="48"/>
        <v>0</v>
      </c>
      <c r="G725" t="b">
        <f t="shared" si="49"/>
        <v>0</v>
      </c>
      <c r="H725">
        <v>0.49173446960465067</v>
      </c>
    </row>
    <row r="726" spans="1:8" x14ac:dyDescent="0.35">
      <c r="A726" s="13">
        <v>43418</v>
      </c>
      <c r="B726" s="14">
        <v>5068.8500000000004</v>
      </c>
      <c r="C726" s="2">
        <f t="shared" si="46"/>
        <v>-6.4682419122474855E-3</v>
      </c>
      <c r="D726">
        <f t="shared" si="47"/>
        <v>0</v>
      </c>
      <c r="E726">
        <v>0.32177174082224941</v>
      </c>
      <c r="F726">
        <f t="shared" si="48"/>
        <v>0</v>
      </c>
      <c r="G726" t="b">
        <f t="shared" si="49"/>
        <v>1</v>
      </c>
      <c r="H726">
        <v>0.49173422760562924</v>
      </c>
    </row>
    <row r="727" spans="1:8" x14ac:dyDescent="0.35">
      <c r="A727" s="13">
        <v>43420</v>
      </c>
      <c r="B727" s="14">
        <v>5025.2</v>
      </c>
      <c r="C727" s="2">
        <f t="shared" si="46"/>
        <v>-8.6114207364590412E-3</v>
      </c>
      <c r="D727">
        <f t="shared" si="47"/>
        <v>0</v>
      </c>
      <c r="E727">
        <v>0.2570742108099619</v>
      </c>
      <c r="F727">
        <f t="shared" si="48"/>
        <v>0</v>
      </c>
      <c r="G727" t="b">
        <f t="shared" si="49"/>
        <v>1</v>
      </c>
      <c r="H727">
        <v>0.49173379947873685</v>
      </c>
    </row>
    <row r="728" spans="1:8" x14ac:dyDescent="0.35">
      <c r="A728" s="13">
        <v>43423</v>
      </c>
      <c r="B728" s="14">
        <v>4985.45</v>
      </c>
      <c r="C728" s="2">
        <f t="shared" si="46"/>
        <v>-7.9101329300326206E-3</v>
      </c>
      <c r="D728">
        <f t="shared" si="47"/>
        <v>0</v>
      </c>
      <c r="E728">
        <v>0.22731727862492315</v>
      </c>
      <c r="F728">
        <f t="shared" si="48"/>
        <v>0</v>
      </c>
      <c r="G728" t="b">
        <f t="shared" si="49"/>
        <v>1</v>
      </c>
      <c r="H728">
        <v>0.49173370643996073</v>
      </c>
    </row>
    <row r="729" spans="1:8" x14ac:dyDescent="0.35">
      <c r="A729" s="13">
        <v>43424</v>
      </c>
      <c r="B729" s="14">
        <v>4924.8900000000003</v>
      </c>
      <c r="C729" s="2">
        <f t="shared" si="46"/>
        <v>-1.2147348784964151E-2</v>
      </c>
      <c r="D729">
        <f t="shared" si="47"/>
        <v>0</v>
      </c>
      <c r="E729">
        <v>0.20396864520083183</v>
      </c>
      <c r="F729">
        <f t="shared" si="48"/>
        <v>0</v>
      </c>
      <c r="G729" t="b">
        <f t="shared" si="49"/>
        <v>1</v>
      </c>
      <c r="H729">
        <v>0.49173367247561256</v>
      </c>
    </row>
    <row r="730" spans="1:8" x14ac:dyDescent="0.35">
      <c r="A730" s="13">
        <v>43425</v>
      </c>
      <c r="B730" s="14">
        <v>4975.5</v>
      </c>
      <c r="C730" s="2">
        <f t="shared" si="46"/>
        <v>1.0276371655001393E-2</v>
      </c>
      <c r="D730">
        <f t="shared" si="47"/>
        <v>1</v>
      </c>
      <c r="E730">
        <v>0.18479622211328103</v>
      </c>
      <c r="F730">
        <f t="shared" si="48"/>
        <v>0</v>
      </c>
      <c r="G730" t="b">
        <f t="shared" si="49"/>
        <v>0</v>
      </c>
      <c r="H730">
        <v>0.49173379471082862</v>
      </c>
    </row>
    <row r="731" spans="1:8" x14ac:dyDescent="0.35">
      <c r="A731" s="13">
        <v>43426</v>
      </c>
      <c r="B731" s="14">
        <v>4938.1400000000003</v>
      </c>
      <c r="C731" s="2">
        <f t="shared" si="46"/>
        <v>-7.5087930861219565E-3</v>
      </c>
      <c r="D731">
        <f t="shared" si="47"/>
        <v>0</v>
      </c>
      <c r="E731">
        <v>0.28535512167436283</v>
      </c>
      <c r="F731">
        <f t="shared" si="48"/>
        <v>0</v>
      </c>
      <c r="G731" t="b">
        <f t="shared" si="49"/>
        <v>1</v>
      </c>
      <c r="H731">
        <v>0.49173362130195603</v>
      </c>
    </row>
    <row r="732" spans="1:8" x14ac:dyDescent="0.35">
      <c r="A732" s="13">
        <v>43427</v>
      </c>
      <c r="B732" s="14">
        <v>4946.95</v>
      </c>
      <c r="C732" s="2">
        <f t="shared" si="46"/>
        <v>1.7840725455331441E-3</v>
      </c>
      <c r="D732">
        <f t="shared" si="47"/>
        <v>1</v>
      </c>
      <c r="E732">
        <v>0.2302717880649319</v>
      </c>
      <c r="F732">
        <f t="shared" si="48"/>
        <v>0</v>
      </c>
      <c r="G732" t="b">
        <f t="shared" si="49"/>
        <v>0</v>
      </c>
      <c r="H732">
        <v>0.49173459859040985</v>
      </c>
    </row>
    <row r="733" spans="1:8" x14ac:dyDescent="0.35">
      <c r="A733" s="13">
        <v>43430</v>
      </c>
      <c r="B733" s="14">
        <v>4994.9799999999996</v>
      </c>
      <c r="C733" s="2">
        <f t="shared" si="46"/>
        <v>9.7090126239398611E-3</v>
      </c>
      <c r="D733">
        <f t="shared" si="47"/>
        <v>1</v>
      </c>
      <c r="E733">
        <v>0.35307540060102377</v>
      </c>
      <c r="F733">
        <f t="shared" si="48"/>
        <v>0</v>
      </c>
      <c r="G733" t="b">
        <f t="shared" si="49"/>
        <v>0</v>
      </c>
      <c r="H733">
        <v>0.49173473802380013</v>
      </c>
    </row>
    <row r="734" spans="1:8" x14ac:dyDescent="0.35">
      <c r="A734" s="13">
        <v>43431</v>
      </c>
      <c r="B734" s="14">
        <v>4983.1499999999996</v>
      </c>
      <c r="C734" s="2">
        <f t="shared" si="46"/>
        <v>-2.3683778513627907E-3</v>
      </c>
      <c r="D734">
        <f t="shared" si="47"/>
        <v>0</v>
      </c>
      <c r="E734">
        <v>0.45146618101469044</v>
      </c>
      <c r="F734">
        <f t="shared" si="48"/>
        <v>0</v>
      </c>
      <c r="G734" t="b">
        <f t="shared" si="49"/>
        <v>1</v>
      </c>
      <c r="H734">
        <v>0.49173383818843497</v>
      </c>
    </row>
    <row r="735" spans="1:8" x14ac:dyDescent="0.35">
      <c r="A735" s="15">
        <v>43432</v>
      </c>
      <c r="B735" s="16">
        <v>4983.24</v>
      </c>
      <c r="C735" s="2">
        <f t="shared" si="46"/>
        <v>1.8060865115465674E-5</v>
      </c>
      <c r="D735">
        <f t="shared" si="47"/>
        <v>1</v>
      </c>
      <c r="E735">
        <v>0.35878621611196243</v>
      </c>
      <c r="F735">
        <f t="shared" si="48"/>
        <v>0</v>
      </c>
      <c r="G735" t="b">
        <f t="shared" si="49"/>
        <v>0</v>
      </c>
      <c r="H735">
        <v>0.49173485370371844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7BFBA-9EE7-4C30-933D-0079A172EEEC}">
  <sheetPr codeName="Feuil6"/>
  <dimension ref="A1:I23"/>
  <sheetViews>
    <sheetView tabSelected="1" topLeftCell="A3" workbookViewId="0">
      <selection activeCell="C18" sqref="C18"/>
    </sheetView>
  </sheetViews>
  <sheetFormatPr baseColWidth="10" defaultRowHeight="14.5" x14ac:dyDescent="0.35"/>
  <cols>
    <col min="1" max="1" width="28.54296875" customWidth="1"/>
    <col min="2" max="2" width="18.7265625" customWidth="1"/>
    <col min="3" max="3" width="15.08984375" customWidth="1"/>
    <col min="5" max="5" width="13.08984375" customWidth="1"/>
    <col min="6" max="6" width="11.08984375" customWidth="1"/>
    <col min="7" max="7" width="12.1796875" customWidth="1"/>
    <col min="8" max="8" width="14.81640625" customWidth="1"/>
  </cols>
  <sheetData>
    <row r="1" spans="1:8" x14ac:dyDescent="0.35">
      <c r="A1" s="25" t="s">
        <v>40</v>
      </c>
      <c r="B1" s="9">
        <v>42387</v>
      </c>
    </row>
    <row r="2" spans="1:8" x14ac:dyDescent="0.35">
      <c r="A2" s="25" t="s">
        <v>39</v>
      </c>
      <c r="B2" s="9">
        <v>42737</v>
      </c>
      <c r="F2" s="30" t="s">
        <v>59</v>
      </c>
      <c r="G2">
        <f xml:space="preserve"> COUNTA('AR-GARCH'!B2:'AR-GARCH'!B735)</f>
        <v>734</v>
      </c>
    </row>
    <row r="3" spans="1:8" x14ac:dyDescent="0.35">
      <c r="A3" t="s">
        <v>41</v>
      </c>
    </row>
    <row r="5" spans="1:8" x14ac:dyDescent="0.35">
      <c r="A5" s="25" t="s">
        <v>42</v>
      </c>
      <c r="B5" s="27" t="s">
        <v>37</v>
      </c>
      <c r="C5" s="23">
        <v>9</v>
      </c>
    </row>
    <row r="6" spans="1:8" x14ac:dyDescent="0.35">
      <c r="A6" s="26"/>
      <c r="B6" s="27" t="s">
        <v>38</v>
      </c>
      <c r="C6" s="23">
        <v>6</v>
      </c>
    </row>
    <row r="8" spans="1:8" x14ac:dyDescent="0.35">
      <c r="A8" s="25" t="s">
        <v>43</v>
      </c>
      <c r="B8" s="27" t="s">
        <v>44</v>
      </c>
      <c r="C8" s="23">
        <v>0.5</v>
      </c>
    </row>
    <row r="9" spans="1:8" x14ac:dyDescent="0.35">
      <c r="H9" s="3"/>
    </row>
    <row r="10" spans="1:8" x14ac:dyDescent="0.35">
      <c r="A10" s="26" t="s">
        <v>45</v>
      </c>
      <c r="B10" s="26"/>
      <c r="C10" s="26"/>
    </row>
    <row r="12" spans="1:8" x14ac:dyDescent="0.35">
      <c r="A12" s="25" t="s">
        <v>46</v>
      </c>
      <c r="B12" s="27" t="s">
        <v>47</v>
      </c>
      <c r="C12">
        <f ca="1" xml:space="preserve"> RAND()</f>
        <v>0.92524714910503381</v>
      </c>
    </row>
    <row r="13" spans="1:8" x14ac:dyDescent="0.35">
      <c r="B13" s="27" t="s">
        <v>48</v>
      </c>
      <c r="C13">
        <f ca="1">RAND()</f>
        <v>0.54101927907566572</v>
      </c>
    </row>
    <row r="16" spans="1:8" x14ac:dyDescent="0.35">
      <c r="B16" s="31"/>
      <c r="C16" s="31" t="s">
        <v>35</v>
      </c>
      <c r="D16" s="32" t="s">
        <v>54</v>
      </c>
      <c r="E16" s="32" t="s">
        <v>55</v>
      </c>
      <c r="F16" s="32" t="s">
        <v>56</v>
      </c>
      <c r="G16" s="32" t="s">
        <v>57</v>
      </c>
    </row>
    <row r="17" spans="2:9" x14ac:dyDescent="0.35">
      <c r="B17" s="31" t="s">
        <v>49</v>
      </c>
      <c r="E17" s="35">
        <f xml:space="preserve"> 1 - SUMSQ('AR-GARCH'!E5:E735)/SUMSQ('AR-GARCH'!P5:P735)</f>
        <v>-9.8938319680278308</v>
      </c>
      <c r="F17" s="33">
        <f xml:space="preserve"> 100/(G2-2)*SUM('AR-GARCH'!Q5:Q735)</f>
        <v>1584.3860292033864</v>
      </c>
      <c r="G17">
        <f xml:space="preserve"> SQRT(1/(G2-2)*SUMSQ('AR-GARCH'!E5:E735))</f>
        <v>3.2592572660047787E-2</v>
      </c>
      <c r="I17" t="s">
        <v>62</v>
      </c>
    </row>
    <row r="18" spans="2:9" x14ac:dyDescent="0.35">
      <c r="B18" s="31" t="s">
        <v>50</v>
      </c>
      <c r="C18" s="3">
        <f xml:space="preserve"> SimplePerceptron!N10</f>
        <v>0.52510460251046021</v>
      </c>
    </row>
    <row r="19" spans="2:9" x14ac:dyDescent="0.35">
      <c r="B19" s="31" t="s">
        <v>51</v>
      </c>
      <c r="C19" s="3">
        <f xml:space="preserve"> MultilayerPerceptron!J8</f>
        <v>0.55020920502092052</v>
      </c>
    </row>
    <row r="20" spans="2:9" x14ac:dyDescent="0.35">
      <c r="B20" s="31" t="s">
        <v>52</v>
      </c>
      <c r="C20" s="3">
        <f xml:space="preserve"> 'ML-MomentumPerceptron'!J8</f>
        <v>0.53138075313807531</v>
      </c>
    </row>
    <row r="21" spans="2:9" x14ac:dyDescent="0.35">
      <c r="B21" s="31" t="s">
        <v>53</v>
      </c>
      <c r="C21" s="3">
        <f xml:space="preserve"> 'ML-NonconstantPerceptron'!J8</f>
        <v>0.55439330543933052</v>
      </c>
    </row>
    <row r="23" spans="2:9" x14ac:dyDescent="0.35">
      <c r="B23" s="24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AR-GARCH</vt:lpstr>
      <vt:lpstr>SimplePerceptron</vt:lpstr>
      <vt:lpstr>MultilayerPerceptron</vt:lpstr>
      <vt:lpstr>ML-MomentumPerceptron</vt:lpstr>
      <vt:lpstr>ML-NonconstantPerceptron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Pierre</dc:creator>
  <cp:lastModifiedBy>Sébastien Pierre</cp:lastModifiedBy>
  <dcterms:created xsi:type="dcterms:W3CDTF">2018-11-20T13:41:39Z</dcterms:created>
  <dcterms:modified xsi:type="dcterms:W3CDTF">2018-12-27T18:41:23Z</dcterms:modified>
</cp:coreProperties>
</file>